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Zaryab\Desktop\QCE CEP\"/>
    </mc:Choice>
  </mc:AlternateContent>
  <xr:revisionPtr revIDLastSave="0" documentId="8_{6A7713C9-B49F-B642-9030-3F1BCD18DF31}" xr6:coauthVersionLast="47" xr6:coauthVersionMax="47" xr10:uidLastSave="{00000000-0000-0000-0000-000000000000}"/>
  <bookViews>
    <workbookView xWindow="0" yWindow="0" windowWidth="23040" windowHeight="9252" firstSheet="17" activeTab="21" xr2:uid="{00000000-000D-0000-FFFF-FFFF00000000}"/>
  </bookViews>
  <sheets>
    <sheet name="MS (Sub Structure)" sheetId="1" r:id="rId1"/>
    <sheet name="MS (Super Structure)" sheetId="4" r:id="rId2"/>
    <sheet name=" BBS (Footings,Columns,Slab,St)" sheetId="2" r:id="rId3"/>
    <sheet name="BBS OF TANKS" sheetId="9" r:id="rId4"/>
    <sheet name="MS (Wooden Works)" sheetId="11" r:id="rId5"/>
    <sheet name="BBS PB" sheetId="13" r:id="rId6"/>
    <sheet name="BBS FB" sheetId="15" r:id="rId7"/>
    <sheet name="BBS RB" sheetId="30" r:id="rId8"/>
    <sheet name="BBS Tanks" sheetId="8" r:id="rId9"/>
    <sheet name="MS (Masonary and Finishing)" sheetId="5" r:id="rId10"/>
    <sheet name="MS (Flooring And Marble)" sheetId="7" r:id="rId11"/>
    <sheet name="MS (Plaster Quantities)" sheetId="6" r:id="rId12"/>
    <sheet name="Rate Site" sheetId="18" r:id="rId13"/>
    <sheet name="Rate Excavation" sheetId="19" r:id="rId14"/>
    <sheet name="Rate Earth fill" sheetId="20" r:id="rId15"/>
    <sheet name="Rate Termite" sheetId="21" r:id="rId16"/>
    <sheet name="Rate Block Masonary" sheetId="23" r:id="rId17"/>
    <sheet name="Rate Plaster" sheetId="24" r:id="rId18"/>
    <sheet name="Rate Marble" sheetId="25" r:id="rId19"/>
    <sheet name="Rate Tile" sheetId="26" r:id="rId20"/>
    <sheet name="Rate Wooden Work" sheetId="27" r:id="rId21"/>
    <sheet name="Rate Rf in sub structure" sheetId="28" r:id="rId22"/>
    <sheet name="Concrete Rate" sheetId="17" r:id="rId23"/>
  </sheets>
  <definedNames>
    <definedName name="_xlnm._FilterDatabase" localSheetId="22" hidden="1">'Concrete Rate'!$G$23:$I$28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28" l="1"/>
  <c r="H5" i="15"/>
  <c r="I5" i="15"/>
  <c r="J5" i="15"/>
  <c r="K5" i="15"/>
  <c r="L5" i="15"/>
  <c r="H6" i="15"/>
  <c r="I6" i="15"/>
  <c r="J6" i="15"/>
  <c r="K6" i="15"/>
  <c r="L6" i="15"/>
  <c r="E7" i="15"/>
  <c r="H7" i="15"/>
  <c r="I7" i="15"/>
  <c r="J7" i="15"/>
  <c r="K7" i="15"/>
  <c r="L7" i="15"/>
  <c r="L8" i="15"/>
  <c r="H11" i="15"/>
  <c r="I11" i="15"/>
  <c r="J11" i="15"/>
  <c r="K11" i="15"/>
  <c r="L11" i="15"/>
  <c r="H12" i="15"/>
  <c r="I12" i="15"/>
  <c r="J12" i="15"/>
  <c r="K12" i="15"/>
  <c r="L12" i="15"/>
  <c r="E13" i="15"/>
  <c r="H13" i="15"/>
  <c r="I13" i="15"/>
  <c r="J13" i="15"/>
  <c r="K13" i="15"/>
  <c r="L13" i="15"/>
  <c r="L14" i="15"/>
  <c r="H17" i="15"/>
  <c r="I17" i="15"/>
  <c r="J17" i="15"/>
  <c r="K17" i="15"/>
  <c r="L17" i="15"/>
  <c r="H18" i="15"/>
  <c r="I18" i="15"/>
  <c r="J18" i="15"/>
  <c r="K18" i="15"/>
  <c r="L18" i="15"/>
  <c r="E19" i="15"/>
  <c r="H19" i="15"/>
  <c r="I19" i="15"/>
  <c r="J19" i="15"/>
  <c r="K19" i="15"/>
  <c r="L19" i="15"/>
  <c r="L20" i="15"/>
  <c r="H23" i="15"/>
  <c r="I23" i="15"/>
  <c r="J23" i="15"/>
  <c r="K23" i="15"/>
  <c r="L23" i="15"/>
  <c r="H24" i="15"/>
  <c r="I24" i="15"/>
  <c r="J24" i="15"/>
  <c r="K24" i="15"/>
  <c r="L24" i="15"/>
  <c r="E25" i="15"/>
  <c r="H25" i="15"/>
  <c r="I25" i="15"/>
  <c r="J25" i="15"/>
  <c r="K25" i="15"/>
  <c r="L25" i="15"/>
  <c r="L26" i="15"/>
  <c r="H29" i="15"/>
  <c r="I29" i="15"/>
  <c r="J29" i="15"/>
  <c r="K29" i="15"/>
  <c r="L29" i="15"/>
  <c r="H30" i="15"/>
  <c r="I30" i="15"/>
  <c r="J30" i="15"/>
  <c r="K30" i="15"/>
  <c r="L30" i="15"/>
  <c r="E31" i="15"/>
  <c r="H31" i="15"/>
  <c r="I31" i="15"/>
  <c r="J31" i="15"/>
  <c r="K31" i="15"/>
  <c r="L31" i="15"/>
  <c r="L32" i="15"/>
  <c r="H35" i="15"/>
  <c r="I35" i="15"/>
  <c r="J35" i="15"/>
  <c r="K35" i="15"/>
  <c r="L35" i="15"/>
  <c r="H36" i="15"/>
  <c r="I36" i="15"/>
  <c r="J36" i="15"/>
  <c r="K36" i="15"/>
  <c r="L36" i="15"/>
  <c r="I37" i="15"/>
  <c r="J37" i="15"/>
  <c r="K37" i="15"/>
  <c r="L37" i="15"/>
  <c r="E38" i="15"/>
  <c r="H38" i="15"/>
  <c r="I38" i="15"/>
  <c r="J38" i="15"/>
  <c r="K38" i="15"/>
  <c r="L38" i="15"/>
  <c r="L39" i="15"/>
  <c r="H42" i="15"/>
  <c r="I42" i="15"/>
  <c r="J42" i="15"/>
  <c r="K42" i="15"/>
  <c r="L42" i="15"/>
  <c r="H43" i="15"/>
  <c r="I43" i="15"/>
  <c r="J43" i="15"/>
  <c r="K43" i="15"/>
  <c r="L43" i="15"/>
  <c r="H44" i="15"/>
  <c r="I44" i="15"/>
  <c r="J44" i="15"/>
  <c r="K44" i="15"/>
  <c r="L44" i="15"/>
  <c r="E45" i="15"/>
  <c r="H45" i="15"/>
  <c r="I45" i="15"/>
  <c r="J45" i="15"/>
  <c r="K45" i="15"/>
  <c r="L45" i="15"/>
  <c r="L46" i="15"/>
  <c r="H49" i="15"/>
  <c r="I49" i="15"/>
  <c r="J49" i="15"/>
  <c r="K49" i="15"/>
  <c r="L49" i="15"/>
  <c r="I50" i="15"/>
  <c r="J50" i="15"/>
  <c r="K50" i="15"/>
  <c r="L50" i="15"/>
  <c r="H51" i="15"/>
  <c r="I51" i="15"/>
  <c r="J51" i="15"/>
  <c r="K51" i="15"/>
  <c r="L51" i="15"/>
  <c r="E52" i="15"/>
  <c r="H52" i="15"/>
  <c r="I52" i="15"/>
  <c r="J52" i="15"/>
  <c r="K52" i="15"/>
  <c r="L52" i="15"/>
  <c r="L53" i="15"/>
  <c r="H56" i="15"/>
  <c r="I56" i="15"/>
  <c r="J56" i="15"/>
  <c r="K56" i="15"/>
  <c r="L56" i="15"/>
  <c r="H57" i="15"/>
  <c r="I57" i="15"/>
  <c r="J57" i="15"/>
  <c r="K57" i="15"/>
  <c r="L57" i="15"/>
  <c r="E58" i="15"/>
  <c r="H58" i="15"/>
  <c r="I58" i="15"/>
  <c r="J58" i="15"/>
  <c r="K58" i="15"/>
  <c r="L58" i="15"/>
  <c r="L59" i="15"/>
  <c r="H62" i="15"/>
  <c r="I62" i="15"/>
  <c r="J62" i="15"/>
  <c r="K62" i="15"/>
  <c r="L62" i="15"/>
  <c r="I63" i="15"/>
  <c r="J63" i="15"/>
  <c r="K63" i="15"/>
  <c r="L63" i="15"/>
  <c r="H64" i="15"/>
  <c r="I64" i="15"/>
  <c r="J64" i="15"/>
  <c r="K64" i="15"/>
  <c r="L64" i="15"/>
  <c r="E65" i="15"/>
  <c r="H65" i="15"/>
  <c r="I65" i="15"/>
  <c r="J65" i="15"/>
  <c r="K65" i="15"/>
  <c r="L65" i="15"/>
  <c r="L66" i="15"/>
  <c r="H69" i="15"/>
  <c r="I69" i="15"/>
  <c r="J69" i="15"/>
  <c r="K69" i="15"/>
  <c r="L69" i="15"/>
  <c r="H70" i="15"/>
  <c r="I70" i="15"/>
  <c r="J70" i="15"/>
  <c r="K70" i="15"/>
  <c r="L70" i="15"/>
  <c r="E71" i="15"/>
  <c r="H71" i="15"/>
  <c r="I71" i="15"/>
  <c r="J71" i="15"/>
  <c r="K71" i="15"/>
  <c r="L71" i="15"/>
  <c r="L72" i="15"/>
  <c r="H75" i="15"/>
  <c r="I75" i="15"/>
  <c r="J75" i="15"/>
  <c r="K75" i="15"/>
  <c r="L75" i="15"/>
  <c r="H76" i="15"/>
  <c r="I76" i="15"/>
  <c r="J76" i="15"/>
  <c r="K76" i="15"/>
  <c r="L76" i="15"/>
  <c r="E77" i="15"/>
  <c r="H77" i="15"/>
  <c r="I77" i="15"/>
  <c r="J77" i="15"/>
  <c r="K77" i="15"/>
  <c r="L77" i="15"/>
  <c r="L78" i="15"/>
  <c r="H81" i="15"/>
  <c r="I81" i="15"/>
  <c r="J81" i="15"/>
  <c r="K81" i="15"/>
  <c r="L81" i="15"/>
  <c r="H82" i="15"/>
  <c r="I82" i="15"/>
  <c r="J82" i="15"/>
  <c r="K82" i="15"/>
  <c r="L82" i="15"/>
  <c r="E83" i="15"/>
  <c r="H83" i="15"/>
  <c r="I83" i="15"/>
  <c r="J83" i="15"/>
  <c r="K83" i="15"/>
  <c r="L83" i="15"/>
  <c r="L84" i="15"/>
  <c r="H87" i="15"/>
  <c r="I87" i="15"/>
  <c r="J87" i="15"/>
  <c r="K87" i="15"/>
  <c r="L87" i="15"/>
  <c r="H88" i="15"/>
  <c r="I88" i="15"/>
  <c r="J88" i="15"/>
  <c r="K88" i="15"/>
  <c r="L88" i="15"/>
  <c r="E89" i="15"/>
  <c r="H89" i="15"/>
  <c r="I89" i="15"/>
  <c r="J89" i="15"/>
  <c r="K89" i="15"/>
  <c r="L89" i="15"/>
  <c r="L90" i="15"/>
  <c r="H94" i="15"/>
  <c r="I94" i="15"/>
  <c r="J94" i="15"/>
  <c r="K94" i="15"/>
  <c r="L94" i="15"/>
  <c r="I95" i="15"/>
  <c r="J95" i="15"/>
  <c r="K95" i="15"/>
  <c r="L95" i="15"/>
  <c r="H96" i="15"/>
  <c r="I96" i="15"/>
  <c r="J96" i="15"/>
  <c r="K96" i="15"/>
  <c r="L96" i="15"/>
  <c r="H97" i="15"/>
  <c r="I97" i="15"/>
  <c r="J97" i="15"/>
  <c r="K97" i="15"/>
  <c r="L97" i="15"/>
  <c r="E98" i="15"/>
  <c r="H98" i="15"/>
  <c r="I98" i="15"/>
  <c r="J98" i="15"/>
  <c r="K98" i="15"/>
  <c r="L98" i="15"/>
  <c r="L99" i="15"/>
  <c r="H101" i="15"/>
  <c r="I101" i="15"/>
  <c r="J101" i="15"/>
  <c r="K101" i="15"/>
  <c r="L101" i="15"/>
  <c r="I102" i="15"/>
  <c r="J102" i="15"/>
  <c r="K102" i="15"/>
  <c r="L102" i="15"/>
  <c r="H103" i="15"/>
  <c r="I103" i="15"/>
  <c r="J103" i="15"/>
  <c r="K103" i="15"/>
  <c r="L103" i="15"/>
  <c r="H104" i="15"/>
  <c r="I104" i="15"/>
  <c r="J104" i="15"/>
  <c r="K104" i="15"/>
  <c r="L104" i="15"/>
  <c r="E105" i="15"/>
  <c r="H105" i="15"/>
  <c r="I105" i="15"/>
  <c r="J105" i="15"/>
  <c r="K105" i="15"/>
  <c r="L105" i="15"/>
  <c r="L106" i="15"/>
  <c r="G110" i="15"/>
  <c r="H110" i="15"/>
  <c r="I110" i="15"/>
  <c r="J110" i="15"/>
  <c r="K110" i="15"/>
  <c r="L110" i="15"/>
  <c r="G111" i="15"/>
  <c r="I111" i="15"/>
  <c r="J111" i="15"/>
  <c r="K111" i="15"/>
  <c r="L111" i="15"/>
  <c r="G112" i="15"/>
  <c r="H112" i="15"/>
  <c r="I112" i="15"/>
  <c r="J112" i="15"/>
  <c r="K112" i="15"/>
  <c r="L112" i="15"/>
  <c r="G113" i="15"/>
  <c r="H113" i="15"/>
  <c r="I113" i="15"/>
  <c r="J113" i="15"/>
  <c r="K113" i="15"/>
  <c r="L113" i="15"/>
  <c r="E114" i="15"/>
  <c r="H114" i="15"/>
  <c r="I114" i="15"/>
  <c r="J114" i="15"/>
  <c r="K114" i="15"/>
  <c r="L114" i="15"/>
  <c r="L115" i="15"/>
  <c r="H118" i="15"/>
  <c r="I118" i="15"/>
  <c r="J118" i="15"/>
  <c r="K118" i="15"/>
  <c r="L118" i="15"/>
  <c r="H119" i="15"/>
  <c r="I119" i="15"/>
  <c r="J119" i="15"/>
  <c r="K119" i="15"/>
  <c r="L119" i="15"/>
  <c r="E120" i="15"/>
  <c r="H120" i="15"/>
  <c r="I120" i="15"/>
  <c r="J120" i="15"/>
  <c r="K120" i="15"/>
  <c r="L120" i="15"/>
  <c r="L121" i="15"/>
  <c r="H123" i="15"/>
  <c r="I123" i="15"/>
  <c r="J123" i="15"/>
  <c r="K123" i="15"/>
  <c r="L123" i="15"/>
  <c r="H124" i="15"/>
  <c r="I124" i="15"/>
  <c r="J124" i="15"/>
  <c r="K124" i="15"/>
  <c r="L124" i="15"/>
  <c r="E125" i="15"/>
  <c r="H125" i="15"/>
  <c r="I125" i="15"/>
  <c r="J125" i="15"/>
  <c r="K125" i="15"/>
  <c r="L125" i="15"/>
  <c r="L126" i="15"/>
  <c r="H131" i="15"/>
  <c r="I131" i="15"/>
  <c r="J131" i="15"/>
  <c r="K131" i="15"/>
  <c r="L131" i="15"/>
  <c r="H132" i="15"/>
  <c r="I132" i="15"/>
  <c r="J132" i="15"/>
  <c r="K132" i="15"/>
  <c r="L132" i="15"/>
  <c r="E133" i="15"/>
  <c r="H133" i="15"/>
  <c r="I133" i="15"/>
  <c r="J133" i="15"/>
  <c r="K133" i="15"/>
  <c r="L133" i="15"/>
  <c r="L134" i="15"/>
  <c r="H137" i="15"/>
  <c r="I137" i="15"/>
  <c r="J137" i="15"/>
  <c r="K137" i="15"/>
  <c r="L137" i="15"/>
  <c r="H138" i="15"/>
  <c r="I138" i="15"/>
  <c r="J138" i="15"/>
  <c r="K138" i="15"/>
  <c r="L138" i="15"/>
  <c r="E139" i="15"/>
  <c r="H139" i="15"/>
  <c r="I139" i="15"/>
  <c r="J139" i="15"/>
  <c r="K139" i="15"/>
  <c r="L139" i="15"/>
  <c r="L140" i="15"/>
  <c r="H144" i="15"/>
  <c r="I144" i="15"/>
  <c r="J144" i="15"/>
  <c r="K144" i="15"/>
  <c r="L144" i="15"/>
  <c r="H145" i="15"/>
  <c r="I145" i="15"/>
  <c r="J145" i="15"/>
  <c r="K145" i="15"/>
  <c r="L145" i="15"/>
  <c r="E146" i="15"/>
  <c r="H146" i="15"/>
  <c r="I146" i="15"/>
  <c r="J146" i="15"/>
  <c r="K146" i="15"/>
  <c r="L146" i="15"/>
  <c r="L147" i="15"/>
  <c r="H151" i="15"/>
  <c r="I151" i="15"/>
  <c r="J151" i="15"/>
  <c r="K151" i="15"/>
  <c r="L151" i="15"/>
  <c r="H152" i="15"/>
  <c r="I152" i="15"/>
  <c r="J152" i="15"/>
  <c r="K152" i="15"/>
  <c r="L152" i="15"/>
  <c r="H153" i="15"/>
  <c r="I153" i="15"/>
  <c r="J153" i="15"/>
  <c r="K153" i="15"/>
  <c r="L153" i="15"/>
  <c r="E154" i="15"/>
  <c r="H154" i="15"/>
  <c r="I154" i="15"/>
  <c r="J154" i="15"/>
  <c r="K154" i="15"/>
  <c r="L154" i="15"/>
  <c r="L155" i="15"/>
  <c r="H158" i="15"/>
  <c r="I158" i="15"/>
  <c r="J158" i="15"/>
  <c r="K158" i="15"/>
  <c r="L158" i="15"/>
  <c r="H159" i="15"/>
  <c r="I159" i="15"/>
  <c r="J159" i="15"/>
  <c r="K159" i="15"/>
  <c r="L159" i="15"/>
  <c r="E160" i="15"/>
  <c r="H160" i="15"/>
  <c r="I160" i="15"/>
  <c r="J160" i="15"/>
  <c r="K160" i="15"/>
  <c r="L160" i="15"/>
  <c r="L161" i="15"/>
  <c r="H164" i="15"/>
  <c r="I164" i="15"/>
  <c r="J164" i="15"/>
  <c r="K164" i="15"/>
  <c r="L164" i="15"/>
  <c r="H165" i="15"/>
  <c r="I165" i="15"/>
  <c r="J165" i="15"/>
  <c r="K165" i="15"/>
  <c r="L165" i="15"/>
  <c r="E166" i="15"/>
  <c r="H166" i="15"/>
  <c r="I166" i="15"/>
  <c r="J166" i="15"/>
  <c r="K166" i="15"/>
  <c r="L166" i="15"/>
  <c r="L167" i="15"/>
  <c r="H170" i="15"/>
  <c r="I170" i="15"/>
  <c r="J170" i="15"/>
  <c r="K170" i="15"/>
  <c r="L170" i="15"/>
  <c r="H171" i="15"/>
  <c r="I171" i="15"/>
  <c r="J171" i="15"/>
  <c r="K171" i="15"/>
  <c r="L171" i="15"/>
  <c r="E172" i="15"/>
  <c r="H172" i="15"/>
  <c r="I172" i="15"/>
  <c r="J172" i="15"/>
  <c r="K172" i="15"/>
  <c r="L172" i="15"/>
  <c r="L173" i="15"/>
  <c r="H175" i="15"/>
  <c r="I175" i="15"/>
  <c r="J175" i="15"/>
  <c r="K175" i="15"/>
  <c r="L175" i="15"/>
  <c r="H176" i="15"/>
  <c r="I176" i="15"/>
  <c r="J176" i="15"/>
  <c r="K176" i="15"/>
  <c r="L176" i="15"/>
  <c r="E177" i="15"/>
  <c r="H177" i="15"/>
  <c r="I177" i="15"/>
  <c r="J177" i="15"/>
  <c r="K177" i="15"/>
  <c r="L177" i="15"/>
  <c r="L178" i="15"/>
  <c r="H181" i="15"/>
  <c r="I181" i="15"/>
  <c r="J181" i="15"/>
  <c r="K181" i="15"/>
  <c r="L181" i="15"/>
  <c r="H182" i="15"/>
  <c r="I182" i="15"/>
  <c r="J182" i="15"/>
  <c r="K182" i="15"/>
  <c r="L182" i="15"/>
  <c r="E183" i="15"/>
  <c r="H183" i="15"/>
  <c r="I183" i="15"/>
  <c r="J183" i="15"/>
  <c r="K183" i="15"/>
  <c r="L183" i="15"/>
  <c r="L184" i="15"/>
  <c r="H188" i="15"/>
  <c r="I188" i="15"/>
  <c r="J188" i="15"/>
  <c r="K188" i="15"/>
  <c r="L188" i="15"/>
  <c r="H189" i="15"/>
  <c r="I189" i="15"/>
  <c r="J189" i="15"/>
  <c r="K189" i="15"/>
  <c r="L189" i="15"/>
  <c r="E190" i="15"/>
  <c r="H190" i="15"/>
  <c r="I190" i="15"/>
  <c r="J190" i="15"/>
  <c r="K190" i="15"/>
  <c r="L190" i="15"/>
  <c r="L191" i="15"/>
  <c r="H194" i="15"/>
  <c r="I194" i="15"/>
  <c r="J194" i="15"/>
  <c r="K194" i="15"/>
  <c r="L194" i="15"/>
  <c r="H195" i="15"/>
  <c r="I195" i="15"/>
  <c r="J195" i="15"/>
  <c r="K195" i="15"/>
  <c r="L195" i="15"/>
  <c r="E196" i="15"/>
  <c r="H196" i="15"/>
  <c r="I196" i="15"/>
  <c r="J196" i="15"/>
  <c r="K196" i="15"/>
  <c r="L196" i="15"/>
  <c r="L197" i="15"/>
  <c r="H201" i="15"/>
  <c r="I201" i="15"/>
  <c r="J201" i="15"/>
  <c r="K201" i="15"/>
  <c r="L201" i="15"/>
  <c r="H202" i="15"/>
  <c r="I202" i="15"/>
  <c r="J202" i="15"/>
  <c r="K202" i="15"/>
  <c r="L202" i="15"/>
  <c r="E203" i="15"/>
  <c r="H203" i="15"/>
  <c r="I203" i="15"/>
  <c r="J203" i="15"/>
  <c r="K203" i="15"/>
  <c r="L203" i="15"/>
  <c r="L204" i="15"/>
  <c r="G207" i="15"/>
  <c r="H207" i="15"/>
  <c r="I207" i="15"/>
  <c r="J207" i="15"/>
  <c r="K207" i="15"/>
  <c r="L207" i="15"/>
  <c r="G208" i="15"/>
  <c r="H208" i="15"/>
  <c r="I208" i="15"/>
  <c r="J208" i="15"/>
  <c r="K208" i="15"/>
  <c r="L208" i="15"/>
  <c r="E209" i="15"/>
  <c r="H209" i="15"/>
  <c r="I209" i="15"/>
  <c r="J209" i="15"/>
  <c r="K209" i="15"/>
  <c r="L209" i="15"/>
  <c r="L210" i="15"/>
  <c r="H213" i="15"/>
  <c r="I213" i="15"/>
  <c r="J213" i="15"/>
  <c r="K213" i="15"/>
  <c r="L213" i="15"/>
  <c r="H214" i="15"/>
  <c r="I214" i="15"/>
  <c r="J214" i="15"/>
  <c r="K214" i="15"/>
  <c r="L214" i="15"/>
  <c r="E215" i="15"/>
  <c r="H215" i="15"/>
  <c r="I215" i="15"/>
  <c r="J215" i="15"/>
  <c r="K215" i="15"/>
  <c r="L215" i="15"/>
  <c r="L216" i="15"/>
  <c r="H220" i="15"/>
  <c r="I220" i="15"/>
  <c r="J220" i="15"/>
  <c r="K220" i="15"/>
  <c r="L220" i="15"/>
  <c r="I221" i="15"/>
  <c r="J221" i="15"/>
  <c r="K221" i="15"/>
  <c r="L221" i="15"/>
  <c r="H222" i="15"/>
  <c r="I222" i="15"/>
  <c r="J222" i="15"/>
  <c r="K222" i="15"/>
  <c r="L222" i="15"/>
  <c r="H223" i="15"/>
  <c r="I223" i="15"/>
  <c r="J223" i="15"/>
  <c r="K223" i="15"/>
  <c r="L223" i="15"/>
  <c r="E224" i="15"/>
  <c r="H224" i="15"/>
  <c r="I224" i="15"/>
  <c r="J224" i="15"/>
  <c r="K224" i="15"/>
  <c r="L224" i="15"/>
  <c r="L225" i="15"/>
  <c r="H228" i="15"/>
  <c r="I228" i="15"/>
  <c r="J228" i="15"/>
  <c r="K228" i="15"/>
  <c r="L228" i="15"/>
  <c r="I229" i="15"/>
  <c r="J229" i="15"/>
  <c r="K229" i="15"/>
  <c r="L229" i="15"/>
  <c r="H230" i="15"/>
  <c r="I230" i="15"/>
  <c r="J230" i="15"/>
  <c r="K230" i="15"/>
  <c r="L230" i="15"/>
  <c r="H231" i="15"/>
  <c r="I231" i="15"/>
  <c r="J231" i="15"/>
  <c r="K231" i="15"/>
  <c r="L231" i="15"/>
  <c r="E232" i="15"/>
  <c r="H232" i="15"/>
  <c r="I232" i="15"/>
  <c r="J232" i="15"/>
  <c r="K232" i="15"/>
  <c r="L232" i="15"/>
  <c r="L233" i="15"/>
  <c r="H236" i="15"/>
  <c r="I236" i="15"/>
  <c r="J236" i="15"/>
  <c r="K236" i="15"/>
  <c r="L236" i="15"/>
  <c r="H237" i="15"/>
  <c r="I237" i="15"/>
  <c r="J237" i="15"/>
  <c r="K237" i="15"/>
  <c r="L237" i="15"/>
  <c r="E238" i="15"/>
  <c r="H238" i="15"/>
  <c r="I238" i="15"/>
  <c r="J238" i="15"/>
  <c r="K238" i="15"/>
  <c r="L238" i="15"/>
  <c r="L239" i="15"/>
  <c r="H242" i="15"/>
  <c r="I242" i="15"/>
  <c r="J242" i="15"/>
  <c r="K242" i="15"/>
  <c r="L242" i="15"/>
  <c r="H243" i="15"/>
  <c r="I243" i="15"/>
  <c r="J243" i="15"/>
  <c r="K243" i="15"/>
  <c r="L243" i="15"/>
  <c r="E244" i="15"/>
  <c r="H244" i="15"/>
  <c r="I244" i="15"/>
  <c r="J244" i="15"/>
  <c r="K244" i="15"/>
  <c r="L244" i="15"/>
  <c r="L245" i="15"/>
  <c r="H248" i="15"/>
  <c r="I248" i="15"/>
  <c r="J248" i="15"/>
  <c r="K248" i="15"/>
  <c r="L248" i="15"/>
  <c r="H249" i="15"/>
  <c r="I249" i="15"/>
  <c r="J249" i="15"/>
  <c r="K249" i="15"/>
  <c r="L249" i="15"/>
  <c r="E250" i="15"/>
  <c r="H250" i="15"/>
  <c r="I250" i="15"/>
  <c r="J250" i="15"/>
  <c r="K250" i="15"/>
  <c r="L250" i="15"/>
  <c r="L251" i="15"/>
  <c r="H254" i="15"/>
  <c r="I254" i="15"/>
  <c r="J254" i="15"/>
  <c r="K254" i="15"/>
  <c r="L254" i="15"/>
  <c r="H255" i="15"/>
  <c r="I255" i="15"/>
  <c r="J255" i="15"/>
  <c r="K255" i="15"/>
  <c r="L255" i="15"/>
  <c r="E256" i="15"/>
  <c r="H256" i="15"/>
  <c r="I256" i="15"/>
  <c r="J256" i="15"/>
  <c r="K256" i="15"/>
  <c r="L256" i="15"/>
  <c r="L257" i="15"/>
  <c r="L259" i="15"/>
  <c r="K257" i="15"/>
  <c r="H5" i="30"/>
  <c r="I5" i="30"/>
  <c r="J5" i="30"/>
  <c r="K5" i="30"/>
  <c r="L5" i="30"/>
  <c r="H6" i="30"/>
  <c r="I6" i="30"/>
  <c r="J6" i="30"/>
  <c r="K6" i="30"/>
  <c r="L6" i="30"/>
  <c r="E7" i="30"/>
  <c r="H7" i="30"/>
  <c r="I7" i="30"/>
  <c r="J7" i="30"/>
  <c r="K7" i="30"/>
  <c r="L7" i="30"/>
  <c r="L8" i="30"/>
  <c r="K8" i="30"/>
  <c r="H11" i="30"/>
  <c r="I11" i="30"/>
  <c r="J11" i="30"/>
  <c r="K11" i="30"/>
  <c r="L11" i="30"/>
  <c r="H12" i="30"/>
  <c r="I12" i="30"/>
  <c r="J12" i="30"/>
  <c r="K12" i="30"/>
  <c r="L12" i="30"/>
  <c r="E13" i="30"/>
  <c r="H13" i="30"/>
  <c r="I13" i="30"/>
  <c r="J13" i="30"/>
  <c r="K13" i="30"/>
  <c r="L13" i="30"/>
  <c r="H17" i="30"/>
  <c r="I17" i="30"/>
  <c r="J17" i="30"/>
  <c r="K17" i="30"/>
  <c r="L17" i="30"/>
  <c r="H18" i="30"/>
  <c r="I18" i="30"/>
  <c r="J18" i="30"/>
  <c r="K18" i="30"/>
  <c r="E19" i="30"/>
  <c r="H19" i="30"/>
  <c r="I19" i="30"/>
  <c r="J19" i="30"/>
  <c r="K19" i="30"/>
  <c r="L19" i="30"/>
  <c r="H23" i="30"/>
  <c r="I23" i="30"/>
  <c r="J23" i="30"/>
  <c r="K23" i="30"/>
  <c r="H24" i="30"/>
  <c r="I24" i="30"/>
  <c r="J24" i="30"/>
  <c r="K24" i="30"/>
  <c r="L24" i="30"/>
  <c r="E25" i="30"/>
  <c r="H25" i="30"/>
  <c r="I25" i="30"/>
  <c r="J25" i="30"/>
  <c r="K25" i="30"/>
  <c r="L25" i="30"/>
  <c r="H29" i="30"/>
  <c r="I29" i="30"/>
  <c r="J29" i="30"/>
  <c r="K29" i="30"/>
  <c r="L29" i="30"/>
  <c r="H30" i="30"/>
  <c r="I30" i="30"/>
  <c r="J30" i="30"/>
  <c r="K30" i="30"/>
  <c r="L30" i="30"/>
  <c r="E31" i="30"/>
  <c r="H31" i="30"/>
  <c r="I31" i="30"/>
  <c r="J31" i="30"/>
  <c r="K31" i="30"/>
  <c r="L31" i="30"/>
  <c r="L32" i="30"/>
  <c r="K32" i="30"/>
  <c r="H35" i="30"/>
  <c r="I35" i="30"/>
  <c r="J35" i="30"/>
  <c r="K35" i="30"/>
  <c r="L35" i="30"/>
  <c r="H36" i="30"/>
  <c r="I36" i="30"/>
  <c r="J36" i="30"/>
  <c r="K36" i="30"/>
  <c r="L36" i="30"/>
  <c r="I37" i="30"/>
  <c r="J37" i="30"/>
  <c r="K37" i="30"/>
  <c r="L37" i="30"/>
  <c r="E38" i="30"/>
  <c r="H38" i="30"/>
  <c r="I38" i="30"/>
  <c r="J38" i="30"/>
  <c r="H42" i="30"/>
  <c r="I42" i="30"/>
  <c r="J42" i="30"/>
  <c r="K42" i="30"/>
  <c r="H43" i="30"/>
  <c r="I43" i="30"/>
  <c r="J43" i="30"/>
  <c r="H44" i="30"/>
  <c r="I44" i="30"/>
  <c r="J44" i="30"/>
  <c r="K44" i="30"/>
  <c r="L44" i="30"/>
  <c r="E45" i="30"/>
  <c r="H45" i="30"/>
  <c r="I45" i="30"/>
  <c r="J45" i="30"/>
  <c r="K45" i="30"/>
  <c r="L45" i="30"/>
  <c r="H49" i="30"/>
  <c r="I49" i="30"/>
  <c r="J49" i="30"/>
  <c r="K49" i="30"/>
  <c r="L49" i="30"/>
  <c r="I50" i="30"/>
  <c r="J50" i="30"/>
  <c r="K50" i="30"/>
  <c r="L50" i="30"/>
  <c r="H51" i="30"/>
  <c r="I51" i="30"/>
  <c r="J51" i="30"/>
  <c r="K51" i="30"/>
  <c r="L51" i="30"/>
  <c r="E52" i="30"/>
  <c r="H52" i="30"/>
  <c r="I52" i="30"/>
  <c r="J52" i="30"/>
  <c r="K52" i="30"/>
  <c r="L52" i="30"/>
  <c r="K53" i="30"/>
  <c r="H56" i="30"/>
  <c r="I56" i="30"/>
  <c r="J56" i="30"/>
  <c r="K56" i="30"/>
  <c r="H57" i="30"/>
  <c r="I57" i="30"/>
  <c r="J57" i="30"/>
  <c r="K57" i="30"/>
  <c r="E58" i="30"/>
  <c r="H58" i="30"/>
  <c r="I58" i="30"/>
  <c r="J58" i="30"/>
  <c r="K58" i="30"/>
  <c r="K59" i="30"/>
  <c r="L56" i="30"/>
  <c r="L57" i="30"/>
  <c r="L58" i="30"/>
  <c r="H62" i="30"/>
  <c r="I62" i="30"/>
  <c r="J62" i="30"/>
  <c r="K62" i="30"/>
  <c r="L62" i="30"/>
  <c r="I63" i="30"/>
  <c r="J63" i="30"/>
  <c r="K63" i="30"/>
  <c r="L63" i="30"/>
  <c r="H64" i="30"/>
  <c r="I64" i="30"/>
  <c r="J64" i="30"/>
  <c r="K64" i="30"/>
  <c r="L64" i="30"/>
  <c r="E65" i="30"/>
  <c r="H65" i="30"/>
  <c r="I65" i="30"/>
  <c r="J65" i="30"/>
  <c r="K65" i="30"/>
  <c r="L65" i="30"/>
  <c r="L66" i="30"/>
  <c r="K66" i="30"/>
  <c r="H69" i="30"/>
  <c r="I69" i="30"/>
  <c r="J69" i="30"/>
  <c r="K69" i="30"/>
  <c r="H70" i="30"/>
  <c r="I70" i="30"/>
  <c r="J70" i="30"/>
  <c r="K70" i="30"/>
  <c r="L70" i="30"/>
  <c r="E71" i="30"/>
  <c r="H71" i="30"/>
  <c r="I71" i="30"/>
  <c r="J71" i="30"/>
  <c r="K71" i="30"/>
  <c r="L71" i="30"/>
  <c r="H75" i="30"/>
  <c r="I75" i="30"/>
  <c r="J75" i="30"/>
  <c r="K75" i="30"/>
  <c r="L75" i="30"/>
  <c r="H76" i="30"/>
  <c r="I76" i="30"/>
  <c r="J76" i="30"/>
  <c r="K76" i="30"/>
  <c r="L76" i="30"/>
  <c r="E77" i="30"/>
  <c r="H77" i="30"/>
  <c r="I77" i="30"/>
  <c r="J77" i="30"/>
  <c r="K77" i="30"/>
  <c r="L77" i="30"/>
  <c r="L78" i="30"/>
  <c r="K78" i="30"/>
  <c r="H81" i="30"/>
  <c r="I81" i="30"/>
  <c r="J81" i="30"/>
  <c r="K81" i="30"/>
  <c r="H82" i="30"/>
  <c r="I82" i="30"/>
  <c r="J82" i="30"/>
  <c r="K82" i="30"/>
  <c r="E83" i="30"/>
  <c r="H83" i="30"/>
  <c r="I83" i="30"/>
  <c r="J83" i="30"/>
  <c r="K83" i="30"/>
  <c r="K84" i="30"/>
  <c r="L81" i="30"/>
  <c r="L82" i="30"/>
  <c r="L83" i="30"/>
  <c r="L84" i="30"/>
  <c r="H87" i="30"/>
  <c r="I87" i="30"/>
  <c r="J87" i="30"/>
  <c r="K87" i="30"/>
  <c r="L87" i="30"/>
  <c r="H88" i="30"/>
  <c r="I88" i="30"/>
  <c r="J88" i="30"/>
  <c r="K88" i="30"/>
  <c r="L88" i="30"/>
  <c r="E89" i="30"/>
  <c r="H89" i="30"/>
  <c r="I89" i="30"/>
  <c r="J89" i="30"/>
  <c r="K89" i="30"/>
  <c r="L89" i="30"/>
  <c r="L90" i="30"/>
  <c r="K90" i="30"/>
  <c r="H94" i="30"/>
  <c r="I94" i="30"/>
  <c r="J94" i="30"/>
  <c r="K94" i="30"/>
  <c r="I95" i="30"/>
  <c r="J95" i="30"/>
  <c r="H96" i="30"/>
  <c r="I96" i="30"/>
  <c r="J96" i="30"/>
  <c r="K96" i="30"/>
  <c r="L96" i="30"/>
  <c r="H97" i="30"/>
  <c r="I97" i="30"/>
  <c r="J97" i="30"/>
  <c r="K97" i="30"/>
  <c r="L97" i="30"/>
  <c r="E98" i="30"/>
  <c r="H98" i="30"/>
  <c r="I98" i="30"/>
  <c r="J98" i="30"/>
  <c r="K98" i="30"/>
  <c r="L98" i="30"/>
  <c r="H101" i="30"/>
  <c r="I101" i="30"/>
  <c r="J101" i="30"/>
  <c r="K101" i="30"/>
  <c r="L101" i="30"/>
  <c r="I102" i="30"/>
  <c r="J102" i="30"/>
  <c r="K102" i="30"/>
  <c r="L102" i="30"/>
  <c r="H103" i="30"/>
  <c r="I103" i="30"/>
  <c r="J103" i="30"/>
  <c r="K103" i="30"/>
  <c r="L103" i="30"/>
  <c r="H104" i="30"/>
  <c r="I104" i="30"/>
  <c r="J104" i="30"/>
  <c r="K104" i="30"/>
  <c r="L104" i="30"/>
  <c r="E105" i="30"/>
  <c r="H105" i="30"/>
  <c r="I105" i="30"/>
  <c r="J105" i="30"/>
  <c r="K105" i="30"/>
  <c r="L105" i="30"/>
  <c r="L106" i="30"/>
  <c r="G110" i="30"/>
  <c r="H110" i="30"/>
  <c r="I110" i="30"/>
  <c r="J110" i="30"/>
  <c r="K110" i="30"/>
  <c r="L110" i="30"/>
  <c r="G111" i="30"/>
  <c r="I111" i="30"/>
  <c r="J111" i="30"/>
  <c r="K111" i="30"/>
  <c r="L111" i="30"/>
  <c r="G112" i="30"/>
  <c r="H112" i="30"/>
  <c r="J112" i="30"/>
  <c r="G113" i="30"/>
  <c r="H113" i="30"/>
  <c r="I113" i="30"/>
  <c r="J113" i="30"/>
  <c r="K113" i="30"/>
  <c r="L113" i="30"/>
  <c r="E114" i="30"/>
  <c r="H114" i="30"/>
  <c r="I114" i="30"/>
  <c r="J114" i="30"/>
  <c r="K114" i="30"/>
  <c r="L114" i="30"/>
  <c r="H118" i="30"/>
  <c r="I118" i="30"/>
  <c r="J118" i="30"/>
  <c r="K118" i="30"/>
  <c r="H119" i="30"/>
  <c r="I119" i="30"/>
  <c r="J119" i="30"/>
  <c r="K119" i="30"/>
  <c r="E120" i="30"/>
  <c r="H120" i="30"/>
  <c r="I120" i="30"/>
  <c r="J120" i="30"/>
  <c r="K120" i="30"/>
  <c r="K121" i="30"/>
  <c r="L118" i="30"/>
  <c r="L119" i="30"/>
  <c r="L120" i="30"/>
  <c r="L121" i="30"/>
  <c r="H123" i="30"/>
  <c r="I123" i="30"/>
  <c r="J123" i="30"/>
  <c r="K123" i="30"/>
  <c r="H124" i="30"/>
  <c r="I124" i="30"/>
  <c r="J124" i="30"/>
  <c r="K124" i="30"/>
  <c r="E125" i="30"/>
  <c r="H125" i="30"/>
  <c r="I125" i="30"/>
  <c r="J125" i="30"/>
  <c r="K125" i="30"/>
  <c r="K126" i="30"/>
  <c r="L123" i="30"/>
  <c r="L124" i="30"/>
  <c r="L125" i="30"/>
  <c r="L126" i="30"/>
  <c r="H131" i="30"/>
  <c r="I131" i="30"/>
  <c r="J131" i="30"/>
  <c r="K131" i="30"/>
  <c r="H132" i="30"/>
  <c r="I132" i="30"/>
  <c r="J132" i="30"/>
  <c r="K132" i="30"/>
  <c r="L132" i="30"/>
  <c r="E133" i="30"/>
  <c r="H133" i="30"/>
  <c r="I133" i="30"/>
  <c r="J133" i="30"/>
  <c r="K133" i="30"/>
  <c r="L133" i="30"/>
  <c r="H137" i="30"/>
  <c r="I137" i="30"/>
  <c r="J137" i="30"/>
  <c r="K137" i="30"/>
  <c r="H138" i="30"/>
  <c r="I138" i="30"/>
  <c r="J138" i="30"/>
  <c r="K138" i="30"/>
  <c r="E139" i="30"/>
  <c r="H139" i="30"/>
  <c r="I139" i="30"/>
  <c r="J139" i="30"/>
  <c r="K139" i="30"/>
  <c r="K140" i="30"/>
  <c r="L137" i="30"/>
  <c r="L138" i="30"/>
  <c r="L139" i="30"/>
  <c r="L140" i="30"/>
  <c r="H144" i="30"/>
  <c r="I144" i="30"/>
  <c r="J144" i="30"/>
  <c r="K144" i="30"/>
  <c r="H145" i="30"/>
  <c r="I145" i="30"/>
  <c r="J145" i="30"/>
  <c r="K145" i="30"/>
  <c r="E146" i="30"/>
  <c r="H146" i="30"/>
  <c r="I146" i="30"/>
  <c r="J146" i="30"/>
  <c r="K146" i="30"/>
  <c r="K147" i="30"/>
  <c r="L144" i="30"/>
  <c r="L145" i="30"/>
  <c r="L146" i="30"/>
  <c r="L147" i="30"/>
  <c r="H151" i="30"/>
  <c r="I151" i="30"/>
  <c r="J151" i="30"/>
  <c r="K151" i="30"/>
  <c r="L151" i="30"/>
  <c r="H152" i="30"/>
  <c r="I152" i="30"/>
  <c r="J152" i="30"/>
  <c r="K152" i="30"/>
  <c r="H153" i="30"/>
  <c r="I153" i="30"/>
  <c r="J153" i="30"/>
  <c r="K153" i="30"/>
  <c r="E154" i="30"/>
  <c r="H154" i="30"/>
  <c r="I154" i="30"/>
  <c r="J154" i="30"/>
  <c r="K154" i="30"/>
  <c r="K155" i="30"/>
  <c r="L152" i="30"/>
  <c r="L153" i="30"/>
  <c r="L154" i="30"/>
  <c r="L155" i="30"/>
  <c r="H158" i="30"/>
  <c r="I158" i="30"/>
  <c r="J158" i="30"/>
  <c r="K158" i="30"/>
  <c r="L158" i="30"/>
  <c r="H159" i="30"/>
  <c r="I159" i="30"/>
  <c r="J159" i="30"/>
  <c r="K159" i="30"/>
  <c r="E160" i="30"/>
  <c r="H160" i="30"/>
  <c r="I160" i="30"/>
  <c r="J160" i="30"/>
  <c r="K160" i="30"/>
  <c r="L160" i="30"/>
  <c r="H164" i="30"/>
  <c r="I164" i="30"/>
  <c r="J164" i="30"/>
  <c r="K164" i="30"/>
  <c r="H165" i="30"/>
  <c r="I165" i="30"/>
  <c r="J165" i="30"/>
  <c r="K165" i="30"/>
  <c r="L165" i="30"/>
  <c r="E166" i="30"/>
  <c r="H166" i="30"/>
  <c r="I166" i="30"/>
  <c r="J166" i="30"/>
  <c r="K166" i="30"/>
  <c r="L166" i="30"/>
  <c r="H170" i="30"/>
  <c r="I170" i="30"/>
  <c r="J170" i="30"/>
  <c r="K170" i="30"/>
  <c r="L170" i="30"/>
  <c r="H171" i="30"/>
  <c r="I171" i="30"/>
  <c r="J171" i="30"/>
  <c r="K171" i="30"/>
  <c r="L171" i="30"/>
  <c r="E172" i="30"/>
  <c r="H172" i="30"/>
  <c r="I172" i="30"/>
  <c r="J172" i="30"/>
  <c r="K172" i="30"/>
  <c r="L172" i="30"/>
  <c r="H175" i="30"/>
  <c r="I175" i="30"/>
  <c r="J175" i="30"/>
  <c r="K175" i="30"/>
  <c r="H176" i="30"/>
  <c r="I176" i="30"/>
  <c r="J176" i="30"/>
  <c r="K176" i="30"/>
  <c r="E177" i="30"/>
  <c r="H177" i="30"/>
  <c r="I177" i="30"/>
  <c r="J177" i="30"/>
  <c r="K177" i="30"/>
  <c r="K178" i="30"/>
  <c r="L175" i="30"/>
  <c r="L176" i="30"/>
  <c r="L177" i="30"/>
  <c r="L178" i="30"/>
  <c r="H181" i="30"/>
  <c r="I181" i="30"/>
  <c r="J181" i="30"/>
  <c r="K181" i="30"/>
  <c r="L181" i="30"/>
  <c r="H182" i="30"/>
  <c r="I182" i="30"/>
  <c r="J182" i="30"/>
  <c r="K182" i="30"/>
  <c r="E183" i="30"/>
  <c r="H183" i="30"/>
  <c r="I183" i="30"/>
  <c r="J183" i="30"/>
  <c r="K183" i="30"/>
  <c r="L183" i="30"/>
  <c r="H188" i="30"/>
  <c r="I188" i="30"/>
  <c r="J188" i="30"/>
  <c r="K188" i="30"/>
  <c r="H189" i="30"/>
  <c r="I189" i="30"/>
  <c r="J189" i="30"/>
  <c r="K189" i="30"/>
  <c r="L189" i="30"/>
  <c r="E190" i="30"/>
  <c r="H190" i="30"/>
  <c r="I190" i="30"/>
  <c r="J190" i="30"/>
  <c r="K190" i="30"/>
  <c r="L190" i="30"/>
  <c r="H194" i="30"/>
  <c r="I194" i="30"/>
  <c r="J194" i="30"/>
  <c r="K194" i="30"/>
  <c r="L194" i="30"/>
  <c r="H195" i="30"/>
  <c r="I195" i="30"/>
  <c r="J195" i="30"/>
  <c r="K195" i="30"/>
  <c r="L195" i="30"/>
  <c r="E196" i="30"/>
  <c r="H196" i="30"/>
  <c r="I196" i="30"/>
  <c r="J196" i="30"/>
  <c r="K196" i="30"/>
  <c r="L196" i="30"/>
  <c r="H201" i="30"/>
  <c r="I201" i="30"/>
  <c r="J201" i="30"/>
  <c r="K201" i="30"/>
  <c r="H202" i="30"/>
  <c r="I202" i="30"/>
  <c r="J202" i="30"/>
  <c r="K202" i="30"/>
  <c r="E203" i="30"/>
  <c r="H203" i="30"/>
  <c r="I203" i="30"/>
  <c r="J203" i="30"/>
  <c r="K203" i="30"/>
  <c r="K204" i="30"/>
  <c r="L201" i="30"/>
  <c r="L202" i="30"/>
  <c r="L203" i="30"/>
  <c r="L204" i="30"/>
  <c r="G207" i="30"/>
  <c r="H207" i="30"/>
  <c r="I207" i="30"/>
  <c r="J207" i="30"/>
  <c r="K207" i="30"/>
  <c r="L207" i="30"/>
  <c r="G208" i="30"/>
  <c r="H208" i="30"/>
  <c r="I208" i="30"/>
  <c r="J208" i="30"/>
  <c r="K208" i="30"/>
  <c r="L208" i="30"/>
  <c r="E209" i="30"/>
  <c r="H209" i="30"/>
  <c r="I209" i="30"/>
  <c r="J209" i="30"/>
  <c r="K209" i="30"/>
  <c r="L209" i="30"/>
  <c r="L210" i="30"/>
  <c r="K210" i="30"/>
  <c r="H213" i="30"/>
  <c r="I213" i="30"/>
  <c r="J213" i="30"/>
  <c r="K213" i="30"/>
  <c r="L213" i="30"/>
  <c r="H214" i="30"/>
  <c r="I214" i="30"/>
  <c r="J214" i="30"/>
  <c r="K214" i="30"/>
  <c r="E215" i="30"/>
  <c r="H215" i="30"/>
  <c r="I215" i="30"/>
  <c r="J215" i="30"/>
  <c r="K215" i="30"/>
  <c r="K216" i="30"/>
  <c r="L214" i="30"/>
  <c r="L215" i="30"/>
  <c r="H220" i="30"/>
  <c r="I220" i="30"/>
  <c r="J220" i="30"/>
  <c r="K220" i="30"/>
  <c r="L220" i="30"/>
  <c r="I221" i="30"/>
  <c r="J221" i="30"/>
  <c r="K221" i="30"/>
  <c r="L221" i="30"/>
  <c r="H222" i="30"/>
  <c r="I222" i="30"/>
  <c r="J222" i="30"/>
  <c r="K222" i="30"/>
  <c r="L222" i="30"/>
  <c r="H223" i="30"/>
  <c r="I223" i="30"/>
  <c r="J223" i="30"/>
  <c r="K223" i="30"/>
  <c r="L223" i="30"/>
  <c r="E224" i="30"/>
  <c r="H224" i="30"/>
  <c r="I224" i="30"/>
  <c r="J224" i="30"/>
  <c r="K224" i="30"/>
  <c r="L224" i="30"/>
  <c r="H228" i="30"/>
  <c r="I228" i="30"/>
  <c r="J228" i="30"/>
  <c r="K228" i="30"/>
  <c r="I229" i="30"/>
  <c r="J229" i="30"/>
  <c r="K229" i="30"/>
  <c r="H230" i="30"/>
  <c r="I230" i="30"/>
  <c r="J230" i="30"/>
  <c r="K230" i="30"/>
  <c r="H231" i="30"/>
  <c r="I231" i="30"/>
  <c r="J231" i="30"/>
  <c r="K231" i="30"/>
  <c r="E232" i="30"/>
  <c r="H232" i="30"/>
  <c r="I232" i="30"/>
  <c r="J232" i="30"/>
  <c r="K232" i="30"/>
  <c r="K233" i="30"/>
  <c r="L228" i="30"/>
  <c r="L229" i="30"/>
  <c r="L230" i="30"/>
  <c r="L231" i="30"/>
  <c r="L232" i="30"/>
  <c r="L233" i="30"/>
  <c r="H236" i="30"/>
  <c r="I236" i="30"/>
  <c r="J236" i="30"/>
  <c r="K236" i="30"/>
  <c r="L236" i="30"/>
  <c r="H237" i="30"/>
  <c r="I237" i="30"/>
  <c r="J237" i="30"/>
  <c r="K237" i="30"/>
  <c r="L237" i="30"/>
  <c r="E238" i="30"/>
  <c r="H238" i="30"/>
  <c r="I238" i="30"/>
  <c r="J238" i="30"/>
  <c r="K238" i="30"/>
  <c r="L238" i="30"/>
  <c r="L239" i="30"/>
  <c r="K239" i="30"/>
  <c r="H242" i="30"/>
  <c r="I242" i="30"/>
  <c r="J242" i="30"/>
  <c r="K242" i="30"/>
  <c r="H243" i="30"/>
  <c r="I243" i="30"/>
  <c r="J243" i="30"/>
  <c r="K243" i="30"/>
  <c r="L243" i="30"/>
  <c r="E244" i="30"/>
  <c r="H244" i="30"/>
  <c r="I244" i="30"/>
  <c r="J244" i="30"/>
  <c r="K244" i="30"/>
  <c r="L244" i="30"/>
  <c r="H248" i="30"/>
  <c r="I248" i="30"/>
  <c r="J248" i="30"/>
  <c r="K248" i="30"/>
  <c r="L248" i="30"/>
  <c r="H249" i="30"/>
  <c r="I249" i="30"/>
  <c r="J249" i="30"/>
  <c r="K249" i="30"/>
  <c r="L249" i="30"/>
  <c r="E250" i="30"/>
  <c r="H250" i="30"/>
  <c r="I250" i="30"/>
  <c r="J250" i="30"/>
  <c r="K250" i="30"/>
  <c r="L250" i="30"/>
  <c r="H254" i="30"/>
  <c r="I254" i="30"/>
  <c r="J254" i="30"/>
  <c r="K254" i="30"/>
  <c r="H255" i="30"/>
  <c r="I255" i="30"/>
  <c r="J255" i="30"/>
  <c r="K255" i="30"/>
  <c r="E256" i="30"/>
  <c r="H256" i="30"/>
  <c r="I256" i="30"/>
  <c r="J256" i="30"/>
  <c r="K256" i="30"/>
  <c r="K257" i="30"/>
  <c r="L254" i="30"/>
  <c r="L255" i="30"/>
  <c r="L256" i="30"/>
  <c r="L242" i="30"/>
  <c r="L245" i="30"/>
  <c r="K245" i="30"/>
  <c r="L23" i="30"/>
  <c r="L26" i="30"/>
  <c r="K26" i="30"/>
  <c r="L225" i="30"/>
  <c r="K173" i="30"/>
  <c r="L159" i="30"/>
  <c r="L161" i="30"/>
  <c r="K161" i="30"/>
  <c r="K134" i="30"/>
  <c r="L131" i="30"/>
  <c r="L134" i="30"/>
  <c r="L94" i="30"/>
  <c r="K95" i="30"/>
  <c r="L95" i="30"/>
  <c r="L99" i="30"/>
  <c r="K99" i="30"/>
  <c r="K251" i="30"/>
  <c r="K197" i="30"/>
  <c r="L182" i="30"/>
  <c r="K184" i="30"/>
  <c r="L14" i="30"/>
  <c r="L184" i="30"/>
  <c r="L59" i="30"/>
  <c r="L18" i="30"/>
  <c r="L20" i="30"/>
  <c r="K20" i="30"/>
  <c r="K14" i="30"/>
  <c r="L173" i="30"/>
  <c r="K167" i="30"/>
  <c r="L164" i="30"/>
  <c r="L167" i="30"/>
  <c r="L257" i="30"/>
  <c r="L197" i="30"/>
  <c r="I112" i="30"/>
  <c r="K112" i="30"/>
  <c r="L112" i="30"/>
  <c r="L115" i="30"/>
  <c r="K72" i="30"/>
  <c r="L69" i="30"/>
  <c r="L72" i="30"/>
  <c r="K191" i="30"/>
  <c r="L188" i="30"/>
  <c r="L191" i="30"/>
  <c r="K225" i="30"/>
  <c r="L53" i="30"/>
  <c r="L251" i="30"/>
  <c r="K106" i="30"/>
  <c r="L216" i="30"/>
  <c r="K38" i="30"/>
  <c r="L38" i="30"/>
  <c r="L39" i="30"/>
  <c r="K43" i="30"/>
  <c r="L43" i="30"/>
  <c r="L42" i="30"/>
  <c r="C33" i="28"/>
  <c r="C35" i="28"/>
  <c r="B24" i="28"/>
  <c r="C37" i="28"/>
  <c r="B25" i="28"/>
  <c r="C38" i="28"/>
  <c r="C39" i="28"/>
  <c r="C40" i="28"/>
  <c r="C42" i="28"/>
  <c r="C41" i="28"/>
  <c r="B3" i="28"/>
  <c r="B4" i="28"/>
  <c r="C11" i="28"/>
  <c r="C13" i="28"/>
  <c r="E13" i="27"/>
  <c r="E17" i="27"/>
  <c r="E19" i="27"/>
  <c r="E20" i="27"/>
  <c r="B26" i="27"/>
  <c r="E32" i="27"/>
  <c r="E33" i="27"/>
  <c r="E40" i="27"/>
  <c r="E41" i="27"/>
  <c r="E43" i="27"/>
  <c r="D9" i="26"/>
  <c r="D10" i="26"/>
  <c r="D11" i="26"/>
  <c r="D12" i="26"/>
  <c r="D16" i="26"/>
  <c r="D17" i="26"/>
  <c r="B7" i="25"/>
  <c r="C12" i="25"/>
  <c r="C13" i="25"/>
  <c r="C15" i="25"/>
  <c r="B21" i="25"/>
  <c r="B26" i="25"/>
  <c r="B28" i="25"/>
  <c r="D9" i="24"/>
  <c r="B10" i="24"/>
  <c r="D14" i="24"/>
  <c r="D15" i="24"/>
  <c r="D16" i="24"/>
  <c r="C22" i="24"/>
  <c r="B26" i="24"/>
  <c r="B28" i="24"/>
  <c r="B34" i="24"/>
  <c r="B9" i="23"/>
  <c r="B12" i="23"/>
  <c r="B14" i="23"/>
  <c r="B15" i="23"/>
  <c r="B20" i="23"/>
  <c r="D20" i="23"/>
  <c r="D19" i="23"/>
  <c r="D21" i="23"/>
  <c r="C27" i="23"/>
  <c r="B29" i="23"/>
  <c r="C35" i="23"/>
  <c r="B39" i="23"/>
  <c r="B41" i="23"/>
  <c r="B42" i="23"/>
  <c r="B44" i="23"/>
  <c r="D11" i="21"/>
  <c r="B19" i="21"/>
  <c r="C25" i="21"/>
  <c r="B10" i="20"/>
  <c r="B12" i="20"/>
  <c r="B17" i="20"/>
  <c r="B23" i="20"/>
  <c r="B25" i="20"/>
  <c r="B27" i="20"/>
  <c r="B29" i="20"/>
  <c r="D15" i="19"/>
  <c r="D16" i="19"/>
  <c r="B35" i="19"/>
  <c r="D38" i="19"/>
  <c r="B9" i="18"/>
  <c r="B15" i="18"/>
  <c r="B24" i="18"/>
  <c r="K46" i="30"/>
  <c r="K39" i="30"/>
  <c r="L46" i="30"/>
  <c r="L259" i="30"/>
  <c r="K115" i="30"/>
  <c r="E44" i="27"/>
  <c r="E45" i="27"/>
  <c r="E46" i="27"/>
  <c r="B29" i="25"/>
  <c r="B30" i="25"/>
  <c r="B31" i="25"/>
  <c r="B26" i="18"/>
  <c r="B28" i="18"/>
  <c r="B31" i="18"/>
  <c r="B32" i="18"/>
  <c r="C15" i="28"/>
  <c r="C16" i="28"/>
  <c r="C17" i="28"/>
  <c r="B36" i="24"/>
  <c r="B35" i="24"/>
  <c r="B37" i="24"/>
  <c r="D22" i="26"/>
  <c r="D24" i="26"/>
  <c r="B24" i="17"/>
  <c r="B25" i="17"/>
  <c r="H24" i="17"/>
  <c r="H25" i="17"/>
  <c r="B32" i="17"/>
  <c r="H32" i="17"/>
  <c r="H54" i="17"/>
  <c r="J54" i="17"/>
  <c r="B33" i="17"/>
  <c r="H33" i="17"/>
  <c r="H55" i="17"/>
  <c r="J55" i="17"/>
  <c r="B41" i="17"/>
  <c r="H41" i="17"/>
  <c r="B47" i="17"/>
  <c r="H47" i="17"/>
  <c r="B49" i="17"/>
  <c r="H49" i="17"/>
  <c r="D53" i="17"/>
  <c r="D54" i="17"/>
  <c r="D55" i="17"/>
  <c r="D56" i="17"/>
  <c r="I56" i="17"/>
  <c r="D57" i="17"/>
  <c r="D59" i="17"/>
  <c r="D60" i="17"/>
  <c r="D61" i="17"/>
  <c r="D63" i="17"/>
  <c r="D64" i="17"/>
  <c r="D65" i="17"/>
  <c r="D66" i="17"/>
  <c r="J59" i="17"/>
  <c r="J60" i="17"/>
  <c r="J61" i="17"/>
  <c r="J63" i="17"/>
  <c r="J64" i="17"/>
  <c r="J65" i="17"/>
  <c r="B78" i="17"/>
  <c r="B79" i="17"/>
  <c r="H78" i="17"/>
  <c r="H79" i="17"/>
  <c r="B96" i="17"/>
  <c r="H96" i="17"/>
  <c r="B99" i="17"/>
  <c r="H99" i="17"/>
  <c r="B102" i="17"/>
  <c r="D126" i="17"/>
  <c r="H102" i="17"/>
  <c r="J126" i="17"/>
  <c r="B108" i="17"/>
  <c r="H108" i="17"/>
  <c r="B110" i="17"/>
  <c r="D120" i="17"/>
  <c r="H110" i="17"/>
  <c r="J120" i="17"/>
  <c r="D114" i="17"/>
  <c r="I117" i="17"/>
  <c r="D124" i="17"/>
  <c r="J124" i="17"/>
  <c r="D125" i="17"/>
  <c r="J125" i="17"/>
  <c r="C18" i="28"/>
  <c r="C19" i="28"/>
  <c r="C20" i="28"/>
  <c r="D25" i="26"/>
  <c r="D26" i="26"/>
  <c r="D27" i="26"/>
  <c r="B81" i="17"/>
  <c r="B89" i="17"/>
  <c r="B91" i="17"/>
  <c r="D117" i="17"/>
  <c r="D67" i="17"/>
  <c r="D68" i="17"/>
  <c r="D69" i="17"/>
  <c r="D70" i="17"/>
  <c r="H35" i="17"/>
  <c r="H37" i="17"/>
  <c r="H56" i="17"/>
  <c r="J56" i="17"/>
  <c r="H27" i="17"/>
  <c r="H28" i="17"/>
  <c r="H53" i="17"/>
  <c r="J53" i="17"/>
  <c r="J57" i="17"/>
  <c r="J66" i="17"/>
  <c r="J127" i="17"/>
  <c r="J128" i="17"/>
  <c r="H81" i="17"/>
  <c r="H82" i="17"/>
  <c r="H114" i="17"/>
  <c r="J114" i="17"/>
  <c r="H89" i="17"/>
  <c r="H91" i="17"/>
  <c r="H117" i="17"/>
  <c r="J117" i="17"/>
  <c r="B35" i="17"/>
  <c r="B37" i="17"/>
  <c r="B27" i="17"/>
  <c r="H86" i="17"/>
  <c r="H115" i="17"/>
  <c r="J115" i="17"/>
  <c r="J121" i="17"/>
  <c r="J122" i="17"/>
  <c r="B86" i="17"/>
  <c r="D115" i="17"/>
  <c r="B87" i="17"/>
  <c r="D116" i="17"/>
  <c r="D118" i="17"/>
  <c r="D121" i="17"/>
  <c r="D122" i="17"/>
  <c r="D127" i="17"/>
  <c r="D128" i="17"/>
  <c r="D129" i="17"/>
  <c r="H87" i="17"/>
  <c r="H116" i="17"/>
  <c r="J116" i="17"/>
  <c r="K53" i="15"/>
  <c r="K66" i="15"/>
  <c r="K216" i="15"/>
  <c r="K239" i="15"/>
  <c r="K251" i="15"/>
  <c r="J92" i="13"/>
  <c r="E92" i="13"/>
  <c r="H92" i="13"/>
  <c r="I92" i="13"/>
  <c r="K92" i="13"/>
  <c r="L92" i="13"/>
  <c r="J91" i="13"/>
  <c r="E91" i="13"/>
  <c r="H91" i="13"/>
  <c r="I91" i="13"/>
  <c r="K91" i="13"/>
  <c r="L91" i="13"/>
  <c r="J90" i="13"/>
  <c r="E90" i="13"/>
  <c r="H90" i="13"/>
  <c r="I90" i="13"/>
  <c r="K90" i="13"/>
  <c r="J86" i="13"/>
  <c r="E86" i="13"/>
  <c r="H86" i="13"/>
  <c r="I86" i="13"/>
  <c r="K86" i="13"/>
  <c r="L86" i="13"/>
  <c r="J85" i="13"/>
  <c r="E85" i="13"/>
  <c r="H85" i="13"/>
  <c r="I85" i="13"/>
  <c r="K85" i="13"/>
  <c r="L85" i="13"/>
  <c r="J84" i="13"/>
  <c r="E84" i="13"/>
  <c r="H84" i="13"/>
  <c r="I84" i="13"/>
  <c r="K84" i="13"/>
  <c r="J80" i="13"/>
  <c r="E80" i="13"/>
  <c r="H80" i="13"/>
  <c r="I80" i="13"/>
  <c r="K80" i="13"/>
  <c r="L80" i="13"/>
  <c r="J79" i="13"/>
  <c r="E79" i="13"/>
  <c r="H79" i="13"/>
  <c r="I79" i="13"/>
  <c r="K79" i="13"/>
  <c r="L79" i="13"/>
  <c r="J78" i="13"/>
  <c r="E78" i="13"/>
  <c r="H78" i="13"/>
  <c r="I78" i="13"/>
  <c r="K78" i="13"/>
  <c r="J72" i="13"/>
  <c r="E72" i="13"/>
  <c r="H72" i="13"/>
  <c r="I72" i="13"/>
  <c r="K72" i="13"/>
  <c r="L72" i="13"/>
  <c r="J71" i="13"/>
  <c r="E71" i="13"/>
  <c r="H71" i="13"/>
  <c r="I71" i="13"/>
  <c r="K71" i="13"/>
  <c r="L71" i="13"/>
  <c r="J70" i="13"/>
  <c r="I70" i="13"/>
  <c r="K70" i="13"/>
  <c r="L70" i="13"/>
  <c r="E70" i="13"/>
  <c r="J69" i="13"/>
  <c r="E69" i="13"/>
  <c r="H69" i="13"/>
  <c r="I69" i="13"/>
  <c r="K69" i="13"/>
  <c r="J64" i="13"/>
  <c r="E64" i="13"/>
  <c r="H64" i="13"/>
  <c r="I64" i="13"/>
  <c r="K64" i="13"/>
  <c r="L64" i="13"/>
  <c r="J63" i="13"/>
  <c r="E63" i="13"/>
  <c r="H63" i="13"/>
  <c r="I63" i="13"/>
  <c r="K63" i="13"/>
  <c r="L63" i="13"/>
  <c r="J62" i="13"/>
  <c r="E62" i="13"/>
  <c r="H62" i="13"/>
  <c r="I62" i="13"/>
  <c r="K62" i="13"/>
  <c r="J57" i="13"/>
  <c r="E57" i="13"/>
  <c r="H57" i="13"/>
  <c r="I57" i="13"/>
  <c r="K57" i="13"/>
  <c r="L57" i="13"/>
  <c r="J56" i="13"/>
  <c r="E56" i="13"/>
  <c r="H56" i="13"/>
  <c r="I56" i="13"/>
  <c r="K56" i="13"/>
  <c r="L56" i="13"/>
  <c r="J55" i="13"/>
  <c r="E55" i="13"/>
  <c r="H55" i="13"/>
  <c r="I55" i="13"/>
  <c r="K55" i="13"/>
  <c r="J50" i="13"/>
  <c r="E50" i="13"/>
  <c r="H50" i="13"/>
  <c r="I50" i="13"/>
  <c r="K50" i="13"/>
  <c r="L50" i="13"/>
  <c r="J49" i="13"/>
  <c r="E49" i="13"/>
  <c r="H49" i="13"/>
  <c r="I49" i="13"/>
  <c r="K49" i="13"/>
  <c r="L49" i="13"/>
  <c r="J48" i="13"/>
  <c r="E48" i="13"/>
  <c r="H48" i="13"/>
  <c r="I48" i="13"/>
  <c r="K48" i="13"/>
  <c r="J42" i="13"/>
  <c r="E42" i="13"/>
  <c r="H42" i="13"/>
  <c r="I42" i="13"/>
  <c r="K42" i="13"/>
  <c r="L42" i="13"/>
  <c r="E41" i="13"/>
  <c r="J40" i="13"/>
  <c r="E40" i="13"/>
  <c r="H40" i="13"/>
  <c r="I40" i="13"/>
  <c r="K40" i="13"/>
  <c r="L40" i="13"/>
  <c r="E39" i="13"/>
  <c r="J38" i="13"/>
  <c r="E38" i="13"/>
  <c r="H38" i="13"/>
  <c r="I38" i="13"/>
  <c r="K38" i="13"/>
  <c r="L38" i="13"/>
  <c r="J34" i="13"/>
  <c r="E34" i="13"/>
  <c r="H34" i="13"/>
  <c r="I34" i="13"/>
  <c r="K34" i="13"/>
  <c r="L34" i="13"/>
  <c r="J33" i="13"/>
  <c r="I33" i="13"/>
  <c r="K33" i="13"/>
  <c r="L33" i="13"/>
  <c r="E33" i="13"/>
  <c r="J32" i="13"/>
  <c r="E32" i="13"/>
  <c r="H32" i="13"/>
  <c r="I32" i="13"/>
  <c r="K32" i="13"/>
  <c r="L32" i="13"/>
  <c r="J31" i="13"/>
  <c r="I31" i="13"/>
  <c r="K31" i="13"/>
  <c r="L31" i="13"/>
  <c r="E31" i="13"/>
  <c r="J30" i="13"/>
  <c r="E30" i="13"/>
  <c r="H30" i="13"/>
  <c r="I30" i="13"/>
  <c r="K30" i="13"/>
  <c r="J26" i="13"/>
  <c r="E26" i="13"/>
  <c r="H26" i="13"/>
  <c r="I26" i="13"/>
  <c r="K26" i="13"/>
  <c r="L26" i="13"/>
  <c r="J25" i="13"/>
  <c r="I25" i="13"/>
  <c r="K25" i="13"/>
  <c r="L25" i="13"/>
  <c r="E25" i="13"/>
  <c r="J24" i="13"/>
  <c r="E24" i="13"/>
  <c r="H24" i="13"/>
  <c r="I24" i="13"/>
  <c r="K24" i="13"/>
  <c r="L24" i="13"/>
  <c r="J23" i="13"/>
  <c r="I23" i="13"/>
  <c r="K23" i="13"/>
  <c r="L23" i="13"/>
  <c r="E23" i="13"/>
  <c r="J22" i="13"/>
  <c r="E22" i="13"/>
  <c r="H22" i="13"/>
  <c r="I22" i="13"/>
  <c r="K22" i="13"/>
  <c r="J18" i="13"/>
  <c r="E18" i="13"/>
  <c r="H18" i="13"/>
  <c r="I18" i="13"/>
  <c r="K18" i="13"/>
  <c r="L18" i="13"/>
  <c r="J17" i="13"/>
  <c r="I17" i="13"/>
  <c r="K17" i="13"/>
  <c r="L17" i="13"/>
  <c r="J16" i="13"/>
  <c r="H16" i="13"/>
  <c r="I16" i="13"/>
  <c r="K16" i="13"/>
  <c r="L16" i="13"/>
  <c r="J15" i="13"/>
  <c r="I15" i="13"/>
  <c r="K15" i="13"/>
  <c r="L15" i="13"/>
  <c r="J14" i="13"/>
  <c r="H14" i="13"/>
  <c r="I14" i="13"/>
  <c r="K14" i="13"/>
  <c r="J10" i="13"/>
  <c r="E10" i="13"/>
  <c r="H10" i="13"/>
  <c r="I10" i="13"/>
  <c r="K10" i="13"/>
  <c r="L10" i="13"/>
  <c r="J9" i="13"/>
  <c r="I9" i="13"/>
  <c r="K9" i="13"/>
  <c r="L9" i="13"/>
  <c r="J8" i="13"/>
  <c r="H8" i="13"/>
  <c r="I8" i="13"/>
  <c r="K8" i="13"/>
  <c r="L8" i="13"/>
  <c r="J7" i="13"/>
  <c r="I7" i="13"/>
  <c r="K7" i="13"/>
  <c r="L7" i="13"/>
  <c r="J6" i="13"/>
  <c r="H6" i="13"/>
  <c r="I6" i="13"/>
  <c r="K6" i="13"/>
  <c r="G6" i="11"/>
  <c r="H6" i="11"/>
  <c r="G7" i="11"/>
  <c r="H7" i="11"/>
  <c r="G8" i="11"/>
  <c r="H8" i="11"/>
  <c r="D9" i="11"/>
  <c r="G9" i="11"/>
  <c r="H9" i="11"/>
  <c r="G10" i="11"/>
  <c r="H10" i="11"/>
  <c r="G13" i="11"/>
  <c r="H13" i="11"/>
  <c r="G14" i="11"/>
  <c r="H14" i="11"/>
  <c r="G15" i="11"/>
  <c r="H15" i="11"/>
  <c r="G16" i="11"/>
  <c r="H16" i="11"/>
  <c r="G17" i="11"/>
  <c r="H17" i="11"/>
  <c r="G20" i="11"/>
  <c r="H20" i="11"/>
  <c r="H22" i="11"/>
  <c r="G26" i="11"/>
  <c r="H26" i="11"/>
  <c r="G27" i="11"/>
  <c r="H27" i="11"/>
  <c r="G28" i="11"/>
  <c r="H28" i="11"/>
  <c r="G29" i="11"/>
  <c r="H29" i="11"/>
  <c r="G30" i="11"/>
  <c r="H30" i="11"/>
  <c r="G33" i="11"/>
  <c r="H33" i="11"/>
  <c r="G34" i="11"/>
  <c r="H34" i="11"/>
  <c r="G35" i="11"/>
  <c r="H35" i="11"/>
  <c r="G36" i="11"/>
  <c r="H36" i="11"/>
  <c r="G37" i="11"/>
  <c r="H37" i="11"/>
  <c r="G40" i="11"/>
  <c r="H40" i="11"/>
  <c r="G43" i="11"/>
  <c r="H43" i="11"/>
  <c r="G44" i="11"/>
  <c r="H44" i="11"/>
  <c r="H46" i="11"/>
  <c r="H50" i="11"/>
  <c r="H51" i="11"/>
  <c r="H52" i="11"/>
  <c r="H53" i="11"/>
  <c r="H54" i="11"/>
  <c r="G57" i="11"/>
  <c r="H57" i="11"/>
  <c r="G58" i="11"/>
  <c r="H58" i="11"/>
  <c r="G59" i="11"/>
  <c r="H59" i="11"/>
  <c r="G60" i="11"/>
  <c r="H60" i="11"/>
  <c r="G61" i="11"/>
  <c r="H61" i="11"/>
  <c r="G64" i="11"/>
  <c r="H64" i="11"/>
  <c r="H66" i="11"/>
  <c r="E7" i="9"/>
  <c r="I7" i="9"/>
  <c r="J7" i="9"/>
  <c r="K7" i="9"/>
  <c r="L7" i="9"/>
  <c r="E8" i="9"/>
  <c r="I8" i="9"/>
  <c r="J8" i="9"/>
  <c r="K8" i="9"/>
  <c r="L8" i="9"/>
  <c r="E9" i="9"/>
  <c r="I9" i="9"/>
  <c r="J9" i="9"/>
  <c r="K9" i="9"/>
  <c r="L9" i="9"/>
  <c r="E10" i="9"/>
  <c r="I10" i="9"/>
  <c r="J10" i="9"/>
  <c r="K10" i="9"/>
  <c r="L10" i="9"/>
  <c r="E12" i="9"/>
  <c r="I12" i="9"/>
  <c r="J12" i="9"/>
  <c r="K12" i="9"/>
  <c r="L12" i="9"/>
  <c r="E13" i="9"/>
  <c r="I13" i="9"/>
  <c r="J13" i="9"/>
  <c r="K13" i="9"/>
  <c r="L13" i="9"/>
  <c r="E16" i="9"/>
  <c r="H16" i="9"/>
  <c r="I16" i="9"/>
  <c r="J16" i="9"/>
  <c r="K16" i="9"/>
  <c r="E17" i="9"/>
  <c r="H17" i="9"/>
  <c r="I17" i="9"/>
  <c r="J17" i="9"/>
  <c r="K17" i="9"/>
  <c r="L17" i="9"/>
  <c r="E18" i="9"/>
  <c r="H18" i="9"/>
  <c r="I18" i="9"/>
  <c r="J18" i="9"/>
  <c r="K18" i="9"/>
  <c r="L18" i="9"/>
  <c r="E19" i="9"/>
  <c r="H19" i="9"/>
  <c r="I19" i="9"/>
  <c r="J19" i="9"/>
  <c r="K19" i="9"/>
  <c r="L19" i="9"/>
  <c r="E21" i="9"/>
  <c r="I21" i="9"/>
  <c r="J21" i="9"/>
  <c r="K21" i="9"/>
  <c r="L21" i="9"/>
  <c r="E22" i="9"/>
  <c r="I22" i="9"/>
  <c r="J22" i="9"/>
  <c r="K22" i="9"/>
  <c r="L22" i="9"/>
  <c r="E25" i="9"/>
  <c r="I25" i="9"/>
  <c r="J25" i="9"/>
  <c r="K25" i="9"/>
  <c r="L25" i="9"/>
  <c r="E26" i="9"/>
  <c r="I26" i="9"/>
  <c r="J26" i="9"/>
  <c r="K26" i="9"/>
  <c r="L26" i="9"/>
  <c r="E27" i="9"/>
  <c r="I27" i="9"/>
  <c r="J27" i="9"/>
  <c r="K27" i="9"/>
  <c r="L27" i="9"/>
  <c r="E28" i="9"/>
  <c r="I28" i="9"/>
  <c r="J28" i="9"/>
  <c r="K28" i="9"/>
  <c r="L28" i="9"/>
  <c r="E31" i="9"/>
  <c r="I31" i="9"/>
  <c r="J31" i="9"/>
  <c r="K31" i="9"/>
  <c r="L31" i="9"/>
  <c r="I32" i="9"/>
  <c r="J32" i="9"/>
  <c r="K32" i="9"/>
  <c r="L32" i="9"/>
  <c r="I33" i="9"/>
  <c r="J33" i="9"/>
  <c r="K33" i="9"/>
  <c r="L33" i="9"/>
  <c r="I34" i="9"/>
  <c r="J34" i="9"/>
  <c r="K34" i="9"/>
  <c r="L34" i="9"/>
  <c r="L35" i="9"/>
  <c r="E32" i="9"/>
  <c r="E33" i="9"/>
  <c r="E34" i="9"/>
  <c r="E37" i="9"/>
  <c r="I37" i="9"/>
  <c r="J37" i="9"/>
  <c r="K37" i="9"/>
  <c r="L37" i="9"/>
  <c r="E38" i="9"/>
  <c r="I38" i="9"/>
  <c r="J38" i="9"/>
  <c r="K38" i="9"/>
  <c r="L38" i="9"/>
  <c r="E45" i="9"/>
  <c r="I45" i="9"/>
  <c r="J45" i="9"/>
  <c r="K45" i="9"/>
  <c r="I46" i="9"/>
  <c r="J46" i="9"/>
  <c r="K46" i="9"/>
  <c r="I47" i="9"/>
  <c r="J47" i="9"/>
  <c r="K47" i="9"/>
  <c r="I48" i="9"/>
  <c r="J48" i="9"/>
  <c r="K48" i="9"/>
  <c r="K49" i="9"/>
  <c r="L45" i="9"/>
  <c r="E46" i="9"/>
  <c r="L46" i="9"/>
  <c r="E47" i="9"/>
  <c r="L47" i="9"/>
  <c r="E48" i="9"/>
  <c r="L48" i="9"/>
  <c r="E51" i="9"/>
  <c r="I51" i="9"/>
  <c r="J51" i="9"/>
  <c r="K51" i="9"/>
  <c r="L51" i="9"/>
  <c r="E52" i="9"/>
  <c r="I52" i="9"/>
  <c r="J52" i="9"/>
  <c r="K52" i="9"/>
  <c r="E53" i="9"/>
  <c r="I53" i="9"/>
  <c r="J53" i="9"/>
  <c r="K53" i="9"/>
  <c r="L53" i="9"/>
  <c r="E57" i="9"/>
  <c r="I57" i="9"/>
  <c r="J57" i="9"/>
  <c r="K57" i="9"/>
  <c r="E58" i="9"/>
  <c r="I58" i="9"/>
  <c r="J58" i="9"/>
  <c r="K58" i="9"/>
  <c r="L58" i="9"/>
  <c r="E59" i="9"/>
  <c r="I59" i="9"/>
  <c r="J59" i="9"/>
  <c r="K59" i="9"/>
  <c r="L59" i="9"/>
  <c r="E60" i="9"/>
  <c r="I60" i="9"/>
  <c r="J60" i="9"/>
  <c r="K60" i="9"/>
  <c r="L60" i="9"/>
  <c r="E63" i="9"/>
  <c r="I63" i="9"/>
  <c r="J63" i="9"/>
  <c r="K63" i="9"/>
  <c r="L63" i="9"/>
  <c r="E64" i="9"/>
  <c r="I64" i="9"/>
  <c r="J64" i="9"/>
  <c r="K64" i="9"/>
  <c r="L64" i="9"/>
  <c r="E65" i="9"/>
  <c r="I65" i="9"/>
  <c r="J65" i="9"/>
  <c r="K65" i="9"/>
  <c r="L65" i="9"/>
  <c r="E66" i="9"/>
  <c r="I66" i="9"/>
  <c r="J66" i="9"/>
  <c r="K66" i="9"/>
  <c r="L66" i="9"/>
  <c r="E68" i="9"/>
  <c r="I68" i="9"/>
  <c r="J68" i="9"/>
  <c r="K68" i="9"/>
  <c r="L68" i="9"/>
  <c r="J68" i="8"/>
  <c r="I68" i="8"/>
  <c r="K68" i="8"/>
  <c r="E68" i="8"/>
  <c r="J66" i="8"/>
  <c r="I66" i="8"/>
  <c r="K66" i="8"/>
  <c r="L66" i="8"/>
  <c r="E66" i="8"/>
  <c r="J65" i="8"/>
  <c r="I65" i="8"/>
  <c r="K65" i="8"/>
  <c r="L65" i="8"/>
  <c r="E65" i="8"/>
  <c r="J64" i="8"/>
  <c r="I64" i="8"/>
  <c r="K64" i="8"/>
  <c r="L64" i="8"/>
  <c r="E64" i="8"/>
  <c r="J63" i="8"/>
  <c r="I63" i="8"/>
  <c r="K63" i="8"/>
  <c r="E63" i="8"/>
  <c r="J60" i="8"/>
  <c r="I60" i="8"/>
  <c r="K60" i="8"/>
  <c r="L60" i="8"/>
  <c r="E60" i="8"/>
  <c r="J59" i="8"/>
  <c r="I59" i="8"/>
  <c r="K59" i="8"/>
  <c r="L59" i="8"/>
  <c r="E59" i="8"/>
  <c r="J58" i="8"/>
  <c r="I58" i="8"/>
  <c r="K58" i="8"/>
  <c r="L58" i="8"/>
  <c r="E58" i="8"/>
  <c r="I57" i="8"/>
  <c r="J57" i="8"/>
  <c r="K57" i="8"/>
  <c r="E57" i="8"/>
  <c r="J53" i="8"/>
  <c r="I53" i="8"/>
  <c r="K53" i="8"/>
  <c r="L53" i="8"/>
  <c r="E53" i="8"/>
  <c r="I52" i="8"/>
  <c r="J52" i="8"/>
  <c r="K52" i="8"/>
  <c r="L52" i="8"/>
  <c r="E52" i="8"/>
  <c r="J51" i="8"/>
  <c r="I51" i="8"/>
  <c r="K51" i="8"/>
  <c r="E51" i="8"/>
  <c r="I48" i="8"/>
  <c r="J48" i="8"/>
  <c r="K48" i="8"/>
  <c r="L48" i="8"/>
  <c r="E48" i="8"/>
  <c r="J47" i="8"/>
  <c r="I47" i="8"/>
  <c r="K47" i="8"/>
  <c r="L47" i="8"/>
  <c r="E47" i="8"/>
  <c r="J46" i="8"/>
  <c r="I46" i="8"/>
  <c r="K46" i="8"/>
  <c r="L46" i="8"/>
  <c r="E46" i="8"/>
  <c r="J45" i="8"/>
  <c r="I45" i="8"/>
  <c r="K45" i="8"/>
  <c r="E45" i="8"/>
  <c r="I38" i="8"/>
  <c r="J38" i="8"/>
  <c r="K38" i="8"/>
  <c r="L38" i="8"/>
  <c r="E38" i="8"/>
  <c r="J37" i="8"/>
  <c r="I37" i="8"/>
  <c r="K37" i="8"/>
  <c r="E37" i="8"/>
  <c r="I34" i="8"/>
  <c r="J34" i="8"/>
  <c r="K34" i="8"/>
  <c r="L34" i="8"/>
  <c r="E34" i="8"/>
  <c r="J33" i="8"/>
  <c r="I33" i="8"/>
  <c r="K33" i="8"/>
  <c r="L33" i="8"/>
  <c r="E33" i="8"/>
  <c r="J32" i="8"/>
  <c r="I32" i="8"/>
  <c r="K32" i="8"/>
  <c r="L32" i="8"/>
  <c r="E32" i="8"/>
  <c r="J31" i="8"/>
  <c r="I31" i="8"/>
  <c r="K31" i="8"/>
  <c r="E31" i="8"/>
  <c r="J28" i="8"/>
  <c r="I28" i="8"/>
  <c r="K28" i="8"/>
  <c r="L28" i="8"/>
  <c r="E28" i="8"/>
  <c r="J27" i="8"/>
  <c r="I27" i="8"/>
  <c r="K27" i="8"/>
  <c r="L27" i="8"/>
  <c r="E27" i="8"/>
  <c r="J26" i="8"/>
  <c r="I26" i="8"/>
  <c r="K26" i="8"/>
  <c r="L26" i="8"/>
  <c r="E26" i="8"/>
  <c r="J25" i="8"/>
  <c r="I25" i="8"/>
  <c r="K25" i="8"/>
  <c r="E25" i="8"/>
  <c r="J22" i="8"/>
  <c r="I22" i="8"/>
  <c r="K22" i="8"/>
  <c r="L22" i="8"/>
  <c r="E22" i="8"/>
  <c r="J21" i="8"/>
  <c r="I21" i="8"/>
  <c r="K21" i="8"/>
  <c r="L21" i="8"/>
  <c r="E21" i="8"/>
  <c r="J19" i="8"/>
  <c r="E19" i="8"/>
  <c r="H19" i="8"/>
  <c r="I19" i="8"/>
  <c r="K19" i="8"/>
  <c r="L19" i="8"/>
  <c r="J18" i="8"/>
  <c r="E18" i="8"/>
  <c r="H18" i="8"/>
  <c r="I18" i="8"/>
  <c r="K18" i="8"/>
  <c r="L18" i="8"/>
  <c r="J17" i="8"/>
  <c r="E17" i="8"/>
  <c r="H17" i="8"/>
  <c r="I17" i="8"/>
  <c r="K17" i="8"/>
  <c r="L17" i="8"/>
  <c r="J16" i="8"/>
  <c r="E16" i="8"/>
  <c r="H16" i="8"/>
  <c r="I16" i="8"/>
  <c r="K16" i="8"/>
  <c r="J13" i="8"/>
  <c r="I13" i="8"/>
  <c r="K13" i="8"/>
  <c r="L13" i="8"/>
  <c r="E13" i="8"/>
  <c r="J12" i="8"/>
  <c r="I12" i="8"/>
  <c r="K12" i="8"/>
  <c r="L12" i="8"/>
  <c r="E12" i="8"/>
  <c r="J10" i="8"/>
  <c r="I10" i="8"/>
  <c r="K10" i="8"/>
  <c r="L10" i="8"/>
  <c r="E10" i="8"/>
  <c r="J9" i="8"/>
  <c r="I9" i="8"/>
  <c r="E9" i="8"/>
  <c r="J8" i="8"/>
  <c r="I8" i="8"/>
  <c r="E8" i="8"/>
  <c r="J7" i="8"/>
  <c r="I7" i="8"/>
  <c r="K7" i="8"/>
  <c r="E7" i="8"/>
  <c r="D131" i="17"/>
  <c r="D130" i="17"/>
  <c r="D132" i="17"/>
  <c r="D133" i="17"/>
  <c r="J67" i="17"/>
  <c r="J68" i="17"/>
  <c r="J69" i="17"/>
  <c r="J70" i="17"/>
  <c r="J118" i="17"/>
  <c r="J129" i="17"/>
  <c r="K161" i="15"/>
  <c r="K84" i="15"/>
  <c r="K204" i="15"/>
  <c r="K46" i="15"/>
  <c r="K78" i="15"/>
  <c r="K178" i="15"/>
  <c r="K173" i="15"/>
  <c r="K197" i="15"/>
  <c r="K140" i="15"/>
  <c r="K72" i="15"/>
  <c r="K20" i="15"/>
  <c r="K134" i="15"/>
  <c r="K147" i="15"/>
  <c r="K32" i="15"/>
  <c r="K26" i="15"/>
  <c r="K106" i="15"/>
  <c r="K155" i="15"/>
  <c r="K126" i="15"/>
  <c r="K121" i="15"/>
  <c r="K90" i="15"/>
  <c r="K14" i="15"/>
  <c r="K233" i="15"/>
  <c r="K210" i="15"/>
  <c r="K191" i="15"/>
  <c r="K115" i="15"/>
  <c r="K99" i="15"/>
  <c r="K184" i="15"/>
  <c r="K167" i="15"/>
  <c r="K8" i="15"/>
  <c r="K245" i="15"/>
  <c r="K59" i="15"/>
  <c r="K73" i="13"/>
  <c r="L69" i="13"/>
  <c r="L73" i="13"/>
  <c r="K93" i="13"/>
  <c r="L90" i="13"/>
  <c r="L93" i="13"/>
  <c r="L22" i="13"/>
  <c r="L27" i="13"/>
  <c r="K27" i="13"/>
  <c r="L30" i="13"/>
  <c r="L44" i="13"/>
  <c r="K44" i="13"/>
  <c r="K66" i="13"/>
  <c r="L62" i="13"/>
  <c r="L66" i="13"/>
  <c r="L78" i="13"/>
  <c r="L81" i="13"/>
  <c r="K81" i="13"/>
  <c r="K52" i="13"/>
  <c r="L48" i="13"/>
  <c r="L52" i="13"/>
  <c r="K11" i="13"/>
  <c r="K19" i="13"/>
  <c r="K59" i="13"/>
  <c r="K87" i="13"/>
  <c r="K95" i="13"/>
  <c r="L6" i="13"/>
  <c r="L14" i="13"/>
  <c r="L19" i="13"/>
  <c r="L55" i="13"/>
  <c r="L59" i="13"/>
  <c r="L84" i="13"/>
  <c r="L87" i="13"/>
  <c r="L67" i="9"/>
  <c r="L57" i="9"/>
  <c r="L61" i="9"/>
  <c r="L52" i="9"/>
  <c r="L55" i="9"/>
  <c r="L49" i="9"/>
  <c r="L69" i="9"/>
  <c r="K35" i="9"/>
  <c r="K55" i="9"/>
  <c r="L39" i="9"/>
  <c r="K39" i="9"/>
  <c r="L29" i="9"/>
  <c r="K14" i="9"/>
  <c r="K23" i="9"/>
  <c r="K29" i="9"/>
  <c r="K40" i="9"/>
  <c r="K67" i="9"/>
  <c r="L14" i="9"/>
  <c r="K61" i="9"/>
  <c r="L16" i="9"/>
  <c r="L23" i="9"/>
  <c r="K9" i="8"/>
  <c r="L9" i="8"/>
  <c r="K8" i="8"/>
  <c r="L8" i="8"/>
  <c r="K35" i="8"/>
  <c r="L31" i="8"/>
  <c r="L35" i="8"/>
  <c r="L37" i="8"/>
  <c r="L39" i="8"/>
  <c r="K39" i="8"/>
  <c r="L7" i="8"/>
  <c r="K49" i="8"/>
  <c r="L45" i="8"/>
  <c r="L49" i="8"/>
  <c r="L63" i="8"/>
  <c r="L67" i="8"/>
  <c r="K67" i="8"/>
  <c r="K61" i="8"/>
  <c r="K55" i="8"/>
  <c r="K69" i="8"/>
  <c r="L68" i="8"/>
  <c r="L57" i="8"/>
  <c r="L61" i="8"/>
  <c r="L51" i="8"/>
  <c r="L55" i="8"/>
  <c r="L69" i="8"/>
  <c r="K29" i="8"/>
  <c r="L25" i="8"/>
  <c r="L29" i="8"/>
  <c r="K23" i="8"/>
  <c r="L16" i="8"/>
  <c r="L23" i="8"/>
  <c r="E145" i="4"/>
  <c r="G145" i="4"/>
  <c r="H145" i="4"/>
  <c r="G146" i="4"/>
  <c r="H146" i="4"/>
  <c r="G144" i="4"/>
  <c r="H144" i="4"/>
  <c r="L184" i="2"/>
  <c r="L181" i="2"/>
  <c r="L178" i="2"/>
  <c r="L177" i="2"/>
  <c r="L174" i="2"/>
  <c r="L173" i="2"/>
  <c r="L170" i="2"/>
  <c r="L169" i="2"/>
  <c r="L166" i="2"/>
  <c r="L165" i="2"/>
  <c r="H186" i="2"/>
  <c r="G186" i="2"/>
  <c r="G169" i="2"/>
  <c r="I169" i="2"/>
  <c r="I170" i="2"/>
  <c r="G173" i="2"/>
  <c r="H173" i="2"/>
  <c r="I173" i="2"/>
  <c r="I174" i="2"/>
  <c r="G177" i="2"/>
  <c r="H177" i="2"/>
  <c r="I177" i="2"/>
  <c r="I178" i="2"/>
  <c r="J177" i="2"/>
  <c r="J173" i="2"/>
  <c r="J169" i="2"/>
  <c r="I166" i="2"/>
  <c r="J165" i="2"/>
  <c r="G165" i="2"/>
  <c r="H165" i="2"/>
  <c r="I165" i="2"/>
  <c r="G152" i="2"/>
  <c r="G128" i="2"/>
  <c r="I128" i="2"/>
  <c r="G127" i="2"/>
  <c r="I127" i="2"/>
  <c r="G109" i="2"/>
  <c r="I109" i="2"/>
  <c r="G108" i="2"/>
  <c r="I108" i="2"/>
  <c r="H106" i="2"/>
  <c r="G106" i="2"/>
  <c r="I106" i="2"/>
  <c r="H107" i="2"/>
  <c r="I107" i="2"/>
  <c r="G153" i="2"/>
  <c r="I152" i="2"/>
  <c r="J152" i="2"/>
  <c r="K152" i="2"/>
  <c r="L152" i="2"/>
  <c r="H151" i="2"/>
  <c r="H150" i="2"/>
  <c r="G151" i="2"/>
  <c r="G150" i="2"/>
  <c r="I150" i="2"/>
  <c r="J153" i="2"/>
  <c r="I153" i="2"/>
  <c r="K153" i="2"/>
  <c r="L153" i="2"/>
  <c r="E153" i="2"/>
  <c r="E152" i="2"/>
  <c r="J151" i="2"/>
  <c r="E151" i="2"/>
  <c r="J150" i="2"/>
  <c r="E150" i="2"/>
  <c r="H126" i="2"/>
  <c r="I126" i="2"/>
  <c r="H125" i="2"/>
  <c r="G125" i="2"/>
  <c r="J128" i="2"/>
  <c r="E128" i="2"/>
  <c r="J127" i="2"/>
  <c r="E127" i="2"/>
  <c r="J126" i="2"/>
  <c r="E126" i="2"/>
  <c r="J125" i="2"/>
  <c r="I125" i="2"/>
  <c r="E125" i="2"/>
  <c r="J108" i="2"/>
  <c r="J109" i="2"/>
  <c r="E109" i="2"/>
  <c r="J107" i="2"/>
  <c r="J100" i="2"/>
  <c r="J106" i="2"/>
  <c r="I100" i="2"/>
  <c r="E100" i="2"/>
  <c r="E106" i="2"/>
  <c r="E107" i="2"/>
  <c r="E108" i="2"/>
  <c r="J130" i="17"/>
  <c r="J131" i="17"/>
  <c r="J132" i="17"/>
  <c r="J133" i="17"/>
  <c r="K39" i="15"/>
  <c r="K225" i="15"/>
  <c r="L11" i="13"/>
  <c r="L95" i="13"/>
  <c r="L40" i="9"/>
  <c r="K69" i="9"/>
  <c r="K14" i="8"/>
  <c r="L14" i="8"/>
  <c r="L40" i="8"/>
  <c r="K40" i="8"/>
  <c r="I186" i="2"/>
  <c r="K186" i="2"/>
  <c r="K108" i="2"/>
  <c r="L108" i="2"/>
  <c r="K125" i="2"/>
  <c r="K109" i="2"/>
  <c r="L109" i="2"/>
  <c r="K126" i="2"/>
  <c r="L126" i="2"/>
  <c r="K127" i="2"/>
  <c r="L127" i="2"/>
  <c r="K128" i="2"/>
  <c r="L128" i="2"/>
  <c r="K150" i="2"/>
  <c r="I151" i="2"/>
  <c r="K151" i="2"/>
  <c r="L151" i="2"/>
  <c r="L150" i="2"/>
  <c r="K107" i="2"/>
  <c r="K106" i="2"/>
  <c r="K110" i="2"/>
  <c r="L125" i="2"/>
  <c r="G193" i="7"/>
  <c r="H193" i="7"/>
  <c r="G194" i="7"/>
  <c r="H194" i="7"/>
  <c r="G195" i="7"/>
  <c r="H195" i="7"/>
  <c r="G196" i="7"/>
  <c r="H196" i="7"/>
  <c r="C197" i="7"/>
  <c r="C199" i="7"/>
  <c r="G184" i="7"/>
  <c r="H184" i="7"/>
  <c r="G185" i="7"/>
  <c r="H185" i="7"/>
  <c r="G186" i="7"/>
  <c r="H186" i="7"/>
  <c r="G187" i="7"/>
  <c r="H187" i="7"/>
  <c r="C188" i="7"/>
  <c r="C190" i="7"/>
  <c r="G175" i="7"/>
  <c r="H175" i="7"/>
  <c r="G176" i="7"/>
  <c r="H176" i="7"/>
  <c r="G177" i="7"/>
  <c r="H177" i="7"/>
  <c r="G178" i="7"/>
  <c r="H178" i="7"/>
  <c r="C179" i="7"/>
  <c r="C181" i="7"/>
  <c r="G165" i="7"/>
  <c r="H165" i="7"/>
  <c r="G166" i="7"/>
  <c r="H166" i="7"/>
  <c r="C171" i="7"/>
  <c r="D114" i="7"/>
  <c r="G114" i="7"/>
  <c r="H114" i="7"/>
  <c r="D117" i="7"/>
  <c r="G117" i="7"/>
  <c r="H117" i="7"/>
  <c r="D120" i="7"/>
  <c r="G120" i="7"/>
  <c r="H120" i="7"/>
  <c r="D123" i="7"/>
  <c r="G123" i="7"/>
  <c r="H123" i="7"/>
  <c r="D126" i="7"/>
  <c r="G126" i="7"/>
  <c r="H126" i="7"/>
  <c r="D129" i="7"/>
  <c r="G129" i="7"/>
  <c r="H129" i="7"/>
  <c r="D132" i="7"/>
  <c r="G132" i="7"/>
  <c r="H132" i="7"/>
  <c r="D135" i="7"/>
  <c r="G135" i="7"/>
  <c r="H135" i="7"/>
  <c r="D138" i="7"/>
  <c r="G138" i="7"/>
  <c r="H138" i="7"/>
  <c r="D144" i="7"/>
  <c r="G144" i="7"/>
  <c r="H144" i="7"/>
  <c r="D141" i="7"/>
  <c r="G141" i="7"/>
  <c r="H141" i="7"/>
  <c r="D147" i="7"/>
  <c r="G147" i="7"/>
  <c r="H147" i="7"/>
  <c r="D150" i="7"/>
  <c r="G150" i="7"/>
  <c r="H150" i="7"/>
  <c r="D153" i="7"/>
  <c r="G153" i="7"/>
  <c r="H153" i="7"/>
  <c r="D111" i="7"/>
  <c r="G111" i="7"/>
  <c r="H111" i="7"/>
  <c r="C169" i="7"/>
  <c r="G160" i="7"/>
  <c r="H160" i="7"/>
  <c r="G161" i="7"/>
  <c r="H161" i="7"/>
  <c r="G162" i="7"/>
  <c r="H162" i="7"/>
  <c r="G163" i="7"/>
  <c r="H163" i="7"/>
  <c r="C170" i="7"/>
  <c r="G113" i="7"/>
  <c r="H113" i="7"/>
  <c r="G116" i="7"/>
  <c r="H116" i="7"/>
  <c r="G119" i="7"/>
  <c r="H119" i="7"/>
  <c r="G122" i="7"/>
  <c r="H122" i="7"/>
  <c r="G125" i="7"/>
  <c r="H125" i="7"/>
  <c r="G128" i="7"/>
  <c r="H128" i="7"/>
  <c r="G131" i="7"/>
  <c r="H131" i="7"/>
  <c r="G134" i="7"/>
  <c r="H134" i="7"/>
  <c r="G137" i="7"/>
  <c r="H137" i="7"/>
  <c r="G140" i="7"/>
  <c r="H140" i="7"/>
  <c r="G143" i="7"/>
  <c r="H143" i="7"/>
  <c r="G146" i="7"/>
  <c r="H146" i="7"/>
  <c r="G149" i="7"/>
  <c r="H149" i="7"/>
  <c r="G155" i="7"/>
  <c r="H155" i="7"/>
  <c r="G156" i="7"/>
  <c r="H156" i="7"/>
  <c r="G157" i="7"/>
  <c r="H157" i="7"/>
  <c r="G158" i="7"/>
  <c r="H158" i="7"/>
  <c r="G152" i="7"/>
  <c r="H152" i="7"/>
  <c r="G110" i="7"/>
  <c r="H110" i="7"/>
  <c r="C168" i="7"/>
  <c r="G98" i="7"/>
  <c r="H98" i="7"/>
  <c r="G99" i="7"/>
  <c r="H99" i="7"/>
  <c r="G100" i="7"/>
  <c r="H100" i="7"/>
  <c r="G101" i="7"/>
  <c r="H101" i="7"/>
  <c r="C102" i="7"/>
  <c r="C104" i="7"/>
  <c r="G89" i="7"/>
  <c r="H89" i="7"/>
  <c r="G90" i="7"/>
  <c r="H90" i="7"/>
  <c r="G91" i="7"/>
  <c r="H91" i="7"/>
  <c r="G92" i="7"/>
  <c r="H92" i="7"/>
  <c r="C93" i="7"/>
  <c r="C95" i="7"/>
  <c r="G80" i="7"/>
  <c r="H80" i="7"/>
  <c r="G81" i="7"/>
  <c r="H81" i="7"/>
  <c r="G82" i="7"/>
  <c r="H82" i="7"/>
  <c r="G83" i="7"/>
  <c r="H83" i="7"/>
  <c r="C84" i="7"/>
  <c r="C86" i="7"/>
  <c r="G71" i="7"/>
  <c r="H71" i="7"/>
  <c r="G72" i="7"/>
  <c r="H72" i="7"/>
  <c r="G73" i="7"/>
  <c r="H73" i="7"/>
  <c r="G74" i="7"/>
  <c r="H74" i="7"/>
  <c r="C75" i="7"/>
  <c r="C77" i="7"/>
  <c r="G61" i="7"/>
  <c r="H61" i="7"/>
  <c r="G62" i="7"/>
  <c r="H62" i="7"/>
  <c r="C67" i="7"/>
  <c r="D10" i="7"/>
  <c r="G10" i="7"/>
  <c r="H10" i="7"/>
  <c r="D13" i="7"/>
  <c r="G13" i="7"/>
  <c r="H13" i="7"/>
  <c r="D16" i="7"/>
  <c r="G16" i="7"/>
  <c r="H16" i="7"/>
  <c r="D19" i="7"/>
  <c r="G19" i="7"/>
  <c r="H19" i="7"/>
  <c r="D22" i="7"/>
  <c r="G22" i="7"/>
  <c r="H22" i="7"/>
  <c r="D25" i="7"/>
  <c r="G25" i="7"/>
  <c r="H25" i="7"/>
  <c r="D28" i="7"/>
  <c r="G28" i="7"/>
  <c r="H28" i="7"/>
  <c r="D31" i="7"/>
  <c r="G31" i="7"/>
  <c r="H31" i="7"/>
  <c r="D34" i="7"/>
  <c r="G34" i="7"/>
  <c r="H34" i="7"/>
  <c r="D40" i="7"/>
  <c r="G40" i="7"/>
  <c r="H40" i="7"/>
  <c r="D37" i="7"/>
  <c r="G37" i="7"/>
  <c r="H37" i="7"/>
  <c r="D43" i="7"/>
  <c r="G43" i="7"/>
  <c r="H43" i="7"/>
  <c r="D46" i="7"/>
  <c r="G46" i="7"/>
  <c r="H46" i="7"/>
  <c r="D49" i="7"/>
  <c r="G49" i="7"/>
  <c r="H49" i="7"/>
  <c r="C65" i="7"/>
  <c r="G56" i="7"/>
  <c r="H56" i="7"/>
  <c r="G57" i="7"/>
  <c r="H57" i="7"/>
  <c r="G58" i="7"/>
  <c r="H58" i="7"/>
  <c r="G59" i="7"/>
  <c r="H59" i="7"/>
  <c r="C66" i="7"/>
  <c r="G9" i="7"/>
  <c r="H9" i="7"/>
  <c r="G12" i="7"/>
  <c r="H12" i="7"/>
  <c r="G15" i="7"/>
  <c r="H15" i="7"/>
  <c r="G18" i="7"/>
  <c r="H18" i="7"/>
  <c r="G21" i="7"/>
  <c r="H21" i="7"/>
  <c r="G24" i="7"/>
  <c r="H24" i="7"/>
  <c r="G27" i="7"/>
  <c r="H27" i="7"/>
  <c r="G30" i="7"/>
  <c r="H30" i="7"/>
  <c r="G33" i="7"/>
  <c r="H33" i="7"/>
  <c r="G36" i="7"/>
  <c r="H36" i="7"/>
  <c r="G39" i="7"/>
  <c r="H39" i="7"/>
  <c r="G42" i="7"/>
  <c r="H42" i="7"/>
  <c r="G45" i="7"/>
  <c r="H45" i="7"/>
  <c r="G51" i="7"/>
  <c r="H51" i="7"/>
  <c r="G52" i="7"/>
  <c r="H52" i="7"/>
  <c r="G53" i="7"/>
  <c r="H53" i="7"/>
  <c r="G54" i="7"/>
  <c r="H54" i="7"/>
  <c r="G48" i="7"/>
  <c r="H48" i="7"/>
  <c r="C64" i="7"/>
  <c r="H466" i="6"/>
  <c r="H467" i="6"/>
  <c r="H468" i="6"/>
  <c r="H469" i="6"/>
  <c r="H471" i="6"/>
  <c r="H472" i="6"/>
  <c r="H473" i="6"/>
  <c r="H475" i="6"/>
  <c r="H476" i="6"/>
  <c r="H478" i="6"/>
  <c r="H479" i="6"/>
  <c r="H481" i="6"/>
  <c r="H482" i="6"/>
  <c r="H484" i="6"/>
  <c r="H485" i="6"/>
  <c r="H487" i="6"/>
  <c r="H488" i="6"/>
  <c r="H490" i="6"/>
  <c r="H491" i="6"/>
  <c r="H493" i="6"/>
  <c r="H494" i="6"/>
  <c r="H496" i="6"/>
  <c r="H497" i="6"/>
  <c r="H499" i="6"/>
  <c r="H504" i="6"/>
  <c r="H505" i="6"/>
  <c r="H507" i="6"/>
  <c r="H508" i="6"/>
  <c r="H509" i="6"/>
  <c r="G508" i="6"/>
  <c r="G507" i="6"/>
  <c r="G505" i="6"/>
  <c r="G504" i="6"/>
  <c r="H502" i="6"/>
  <c r="G502" i="6"/>
  <c r="H500" i="6"/>
  <c r="G500" i="6"/>
  <c r="G499" i="6"/>
  <c r="G497" i="6"/>
  <c r="G496" i="6"/>
  <c r="G494" i="6"/>
  <c r="G493" i="6"/>
  <c r="G491" i="6"/>
  <c r="G490" i="6"/>
  <c r="G488" i="6"/>
  <c r="G487" i="6"/>
  <c r="G485" i="6"/>
  <c r="G484" i="6"/>
  <c r="G482" i="6"/>
  <c r="G481" i="6"/>
  <c r="G479" i="6"/>
  <c r="G478" i="6"/>
  <c r="G476" i="6"/>
  <c r="G475" i="6"/>
  <c r="G473" i="6"/>
  <c r="G472" i="6"/>
  <c r="G471" i="6"/>
  <c r="G469" i="6"/>
  <c r="G468" i="6"/>
  <c r="G467" i="6"/>
  <c r="G466" i="6"/>
  <c r="H420" i="6"/>
  <c r="H421" i="6"/>
  <c r="H422" i="6"/>
  <c r="H423" i="6"/>
  <c r="H425" i="6"/>
  <c r="H426" i="6"/>
  <c r="H427" i="6"/>
  <c r="H429" i="6"/>
  <c r="H430" i="6"/>
  <c r="H432" i="6"/>
  <c r="H433" i="6"/>
  <c r="H435" i="6"/>
  <c r="H436" i="6"/>
  <c r="H438" i="6"/>
  <c r="H439" i="6"/>
  <c r="H441" i="6"/>
  <c r="H442" i="6"/>
  <c r="H444" i="6"/>
  <c r="H445" i="6"/>
  <c r="H447" i="6"/>
  <c r="H448" i="6"/>
  <c r="H450" i="6"/>
  <c r="H451" i="6"/>
  <c r="H453" i="6"/>
  <c r="H458" i="6"/>
  <c r="H459" i="6"/>
  <c r="H461" i="6"/>
  <c r="H462" i="6"/>
  <c r="H463" i="6"/>
  <c r="G462" i="6"/>
  <c r="G461" i="6"/>
  <c r="G459" i="6"/>
  <c r="G458" i="6"/>
  <c r="H456" i="6"/>
  <c r="G456" i="6"/>
  <c r="H454" i="6"/>
  <c r="G454" i="6"/>
  <c r="G453" i="6"/>
  <c r="G451" i="6"/>
  <c r="G450" i="6"/>
  <c r="G448" i="6"/>
  <c r="G447" i="6"/>
  <c r="G445" i="6"/>
  <c r="G444" i="6"/>
  <c r="G442" i="6"/>
  <c r="G441" i="6"/>
  <c r="G439" i="6"/>
  <c r="G438" i="6"/>
  <c r="G436" i="6"/>
  <c r="G435" i="6"/>
  <c r="G433" i="6"/>
  <c r="G432" i="6"/>
  <c r="G430" i="6"/>
  <c r="G429" i="6"/>
  <c r="G427" i="6"/>
  <c r="G426" i="6"/>
  <c r="G425" i="6"/>
  <c r="G423" i="6"/>
  <c r="G422" i="6"/>
  <c r="G421" i="6"/>
  <c r="G420" i="6"/>
  <c r="H364" i="6"/>
  <c r="H365" i="6"/>
  <c r="H367" i="6"/>
  <c r="H368" i="6"/>
  <c r="H370" i="6"/>
  <c r="H371" i="6"/>
  <c r="H373" i="6"/>
  <c r="H374" i="6"/>
  <c r="H376" i="6"/>
  <c r="H377" i="6"/>
  <c r="H379" i="6"/>
  <c r="H380" i="6"/>
  <c r="H382" i="6"/>
  <c r="H383" i="6"/>
  <c r="H385" i="6"/>
  <c r="H386" i="6"/>
  <c r="H388" i="6"/>
  <c r="H389" i="6"/>
  <c r="H391" i="6"/>
  <c r="H392" i="6"/>
  <c r="H394" i="6"/>
  <c r="H395" i="6"/>
  <c r="H397" i="6"/>
  <c r="H398" i="6"/>
  <c r="H400" i="6"/>
  <c r="H401" i="6"/>
  <c r="H403" i="6"/>
  <c r="H404" i="6"/>
  <c r="H406" i="6"/>
  <c r="H407" i="6"/>
  <c r="H409" i="6"/>
  <c r="H410" i="6"/>
  <c r="H412" i="6"/>
  <c r="H413" i="6"/>
  <c r="H415" i="6"/>
  <c r="H416" i="6"/>
  <c r="H417" i="6"/>
  <c r="G416" i="6"/>
  <c r="G415" i="6"/>
  <c r="G413" i="6"/>
  <c r="G412" i="6"/>
  <c r="G410" i="6"/>
  <c r="G409" i="6"/>
  <c r="G407" i="6"/>
  <c r="G406" i="6"/>
  <c r="G404" i="6"/>
  <c r="G403" i="6"/>
  <c r="G401" i="6"/>
  <c r="G400" i="6"/>
  <c r="G398" i="6"/>
  <c r="G397" i="6"/>
  <c r="G395" i="6"/>
  <c r="G394" i="6"/>
  <c r="G392" i="6"/>
  <c r="G391" i="6"/>
  <c r="G389" i="6"/>
  <c r="G388" i="6"/>
  <c r="G386" i="6"/>
  <c r="G385" i="6"/>
  <c r="G383" i="6"/>
  <c r="G382" i="6"/>
  <c r="G380" i="6"/>
  <c r="G379" i="6"/>
  <c r="G377" i="6"/>
  <c r="G376" i="6"/>
  <c r="G374" i="6"/>
  <c r="G373" i="6"/>
  <c r="G371" i="6"/>
  <c r="G370" i="6"/>
  <c r="G368" i="6"/>
  <c r="G367" i="6"/>
  <c r="G365" i="6"/>
  <c r="G364" i="6"/>
  <c r="H352" i="6"/>
  <c r="H353" i="6"/>
  <c r="H354" i="6"/>
  <c r="G353" i="6"/>
  <c r="G352" i="6"/>
  <c r="H346" i="6"/>
  <c r="H347" i="6"/>
  <c r="H348" i="6"/>
  <c r="H349" i="6"/>
  <c r="H350" i="6"/>
  <c r="G349" i="6"/>
  <c r="G348" i="6"/>
  <c r="G347" i="6"/>
  <c r="G346" i="6"/>
  <c r="H338" i="6"/>
  <c r="H339" i="6"/>
  <c r="H340" i="6"/>
  <c r="H341" i="6"/>
  <c r="H342" i="6"/>
  <c r="H343" i="6"/>
  <c r="H344" i="6"/>
  <c r="G343" i="6"/>
  <c r="G342" i="6"/>
  <c r="G341" i="6"/>
  <c r="G340" i="6"/>
  <c r="G339" i="6"/>
  <c r="G338" i="6"/>
  <c r="H329" i="6"/>
  <c r="H330" i="6"/>
  <c r="H331" i="6"/>
  <c r="H332" i="6"/>
  <c r="H333" i="6"/>
  <c r="H334" i="6"/>
  <c r="H335" i="6"/>
  <c r="H336" i="6"/>
  <c r="G335" i="6"/>
  <c r="G334" i="6"/>
  <c r="G333" i="6"/>
  <c r="G332" i="6"/>
  <c r="G331" i="6"/>
  <c r="G330" i="6"/>
  <c r="G329" i="6"/>
  <c r="H319" i="6"/>
  <c r="H320" i="6"/>
  <c r="H321" i="6"/>
  <c r="H322" i="6"/>
  <c r="H323" i="6"/>
  <c r="G322" i="6"/>
  <c r="G321" i="6"/>
  <c r="G320" i="6"/>
  <c r="G319" i="6"/>
  <c r="H309" i="6"/>
  <c r="H310" i="6"/>
  <c r="H311" i="6"/>
  <c r="H312" i="6"/>
  <c r="H313" i="6"/>
  <c r="H314" i="6"/>
  <c r="H315" i="6"/>
  <c r="H316" i="6"/>
  <c r="H317" i="6"/>
  <c r="G316" i="6"/>
  <c r="G315" i="6"/>
  <c r="G314" i="6"/>
  <c r="G313" i="6"/>
  <c r="G312" i="6"/>
  <c r="G311" i="6"/>
  <c r="G310" i="6"/>
  <c r="G309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H274" i="6"/>
  <c r="H275" i="6"/>
  <c r="H276" i="6"/>
  <c r="G275" i="6"/>
  <c r="G274" i="6"/>
  <c r="H217" i="6"/>
  <c r="H218" i="6"/>
  <c r="H219" i="6"/>
  <c r="H220" i="6"/>
  <c r="H222" i="6"/>
  <c r="H223" i="6"/>
  <c r="H224" i="6"/>
  <c r="H226" i="6"/>
  <c r="H227" i="6"/>
  <c r="H229" i="6"/>
  <c r="H230" i="6"/>
  <c r="H232" i="6"/>
  <c r="H233" i="6"/>
  <c r="H235" i="6"/>
  <c r="H236" i="6"/>
  <c r="H238" i="6"/>
  <c r="H239" i="6"/>
  <c r="H241" i="6"/>
  <c r="H242" i="6"/>
  <c r="H244" i="6"/>
  <c r="H245" i="6"/>
  <c r="H247" i="6"/>
  <c r="H248" i="6"/>
  <c r="H250" i="6"/>
  <c r="H252" i="6"/>
  <c r="H254" i="6"/>
  <c r="H255" i="6"/>
  <c r="H256" i="6"/>
  <c r="H258" i="6"/>
  <c r="H259" i="6"/>
  <c r="H260" i="6"/>
  <c r="G259" i="6"/>
  <c r="G258" i="6"/>
  <c r="G256" i="6"/>
  <c r="G255" i="6"/>
  <c r="G254" i="6"/>
  <c r="G252" i="6"/>
  <c r="G250" i="6"/>
  <c r="G248" i="6"/>
  <c r="G247" i="6"/>
  <c r="G245" i="6"/>
  <c r="G244" i="6"/>
  <c r="G242" i="6"/>
  <c r="G241" i="6"/>
  <c r="G239" i="6"/>
  <c r="G238" i="6"/>
  <c r="G236" i="6"/>
  <c r="G235" i="6"/>
  <c r="G233" i="6"/>
  <c r="G232" i="6"/>
  <c r="G230" i="6"/>
  <c r="G229" i="6"/>
  <c r="G227" i="6"/>
  <c r="G226" i="6"/>
  <c r="G224" i="6"/>
  <c r="G223" i="6"/>
  <c r="G222" i="6"/>
  <c r="G220" i="6"/>
  <c r="G219" i="6"/>
  <c r="G218" i="6"/>
  <c r="G217" i="6"/>
  <c r="H170" i="6"/>
  <c r="H171" i="6"/>
  <c r="H172" i="6"/>
  <c r="H173" i="6"/>
  <c r="H175" i="6"/>
  <c r="H176" i="6"/>
  <c r="H177" i="6"/>
  <c r="H179" i="6"/>
  <c r="H180" i="6"/>
  <c r="H182" i="6"/>
  <c r="H183" i="6"/>
  <c r="H185" i="6"/>
  <c r="H186" i="6"/>
  <c r="H188" i="6"/>
  <c r="H189" i="6"/>
  <c r="H191" i="6"/>
  <c r="H192" i="6"/>
  <c r="H194" i="6"/>
  <c r="H195" i="6"/>
  <c r="H197" i="6"/>
  <c r="H198" i="6"/>
  <c r="H200" i="6"/>
  <c r="H201" i="6"/>
  <c r="H203" i="6"/>
  <c r="H205" i="6"/>
  <c r="H207" i="6"/>
  <c r="H208" i="6"/>
  <c r="H209" i="6"/>
  <c r="H211" i="6"/>
  <c r="H212" i="6"/>
  <c r="H213" i="6"/>
  <c r="G212" i="6"/>
  <c r="G211" i="6"/>
  <c r="G209" i="6"/>
  <c r="G208" i="6"/>
  <c r="G207" i="6"/>
  <c r="G205" i="6"/>
  <c r="G203" i="6"/>
  <c r="G201" i="6"/>
  <c r="G200" i="6"/>
  <c r="G198" i="6"/>
  <c r="G197" i="6"/>
  <c r="G195" i="6"/>
  <c r="G194" i="6"/>
  <c r="G192" i="6"/>
  <c r="G191" i="6"/>
  <c r="G189" i="6"/>
  <c r="G188" i="6"/>
  <c r="G186" i="6"/>
  <c r="G185" i="6"/>
  <c r="G183" i="6"/>
  <c r="G182" i="6"/>
  <c r="G180" i="6"/>
  <c r="G179" i="6"/>
  <c r="G177" i="6"/>
  <c r="G176" i="6"/>
  <c r="G175" i="6"/>
  <c r="G173" i="6"/>
  <c r="G172" i="6"/>
  <c r="G171" i="6"/>
  <c r="G170" i="6"/>
  <c r="H113" i="6"/>
  <c r="H114" i="6"/>
  <c r="H116" i="6"/>
  <c r="H117" i="6"/>
  <c r="H119" i="6"/>
  <c r="H120" i="6"/>
  <c r="H122" i="6"/>
  <c r="H123" i="6"/>
  <c r="H125" i="6"/>
  <c r="H126" i="6"/>
  <c r="H128" i="6"/>
  <c r="H129" i="6"/>
  <c r="H131" i="6"/>
  <c r="H132" i="6"/>
  <c r="H134" i="6"/>
  <c r="H135" i="6"/>
  <c r="H137" i="6"/>
  <c r="H138" i="6"/>
  <c r="H140" i="6"/>
  <c r="H141" i="6"/>
  <c r="H143" i="6"/>
  <c r="H144" i="6"/>
  <c r="H146" i="6"/>
  <c r="H147" i="6"/>
  <c r="H149" i="6"/>
  <c r="H150" i="6"/>
  <c r="H152" i="6"/>
  <c r="H153" i="6"/>
  <c r="H155" i="6"/>
  <c r="H156" i="6"/>
  <c r="H158" i="6"/>
  <c r="H159" i="6"/>
  <c r="H161" i="6"/>
  <c r="H162" i="6"/>
  <c r="H164" i="6"/>
  <c r="H165" i="6"/>
  <c r="H166" i="6"/>
  <c r="G165" i="6"/>
  <c r="G164" i="6"/>
  <c r="G162" i="6"/>
  <c r="G161" i="6"/>
  <c r="G159" i="6"/>
  <c r="G158" i="6"/>
  <c r="G156" i="6"/>
  <c r="G155" i="6"/>
  <c r="G153" i="6"/>
  <c r="G152" i="6"/>
  <c r="G150" i="6"/>
  <c r="G149" i="6"/>
  <c r="G147" i="6"/>
  <c r="G146" i="6"/>
  <c r="G144" i="6"/>
  <c r="G143" i="6"/>
  <c r="G141" i="6"/>
  <c r="G140" i="6"/>
  <c r="G138" i="6"/>
  <c r="G137" i="6"/>
  <c r="G135" i="6"/>
  <c r="G134" i="6"/>
  <c r="G132" i="6"/>
  <c r="G131" i="6"/>
  <c r="G129" i="6"/>
  <c r="G128" i="6"/>
  <c r="G126" i="6"/>
  <c r="G125" i="6"/>
  <c r="G123" i="6"/>
  <c r="G122" i="6"/>
  <c r="G120" i="6"/>
  <c r="G119" i="6"/>
  <c r="G117" i="6"/>
  <c r="G116" i="6"/>
  <c r="G114" i="6"/>
  <c r="G113" i="6"/>
  <c r="H101" i="6"/>
  <c r="H102" i="6"/>
  <c r="H103" i="6"/>
  <c r="G102" i="6"/>
  <c r="G101" i="6"/>
  <c r="H95" i="6"/>
  <c r="H96" i="6"/>
  <c r="H97" i="6"/>
  <c r="H98" i="6"/>
  <c r="H99" i="6"/>
  <c r="G98" i="6"/>
  <c r="G97" i="6"/>
  <c r="G96" i="6"/>
  <c r="G95" i="6"/>
  <c r="H87" i="6"/>
  <c r="H88" i="6"/>
  <c r="H89" i="6"/>
  <c r="H90" i="6"/>
  <c r="H91" i="6"/>
  <c r="H92" i="6"/>
  <c r="H93" i="6"/>
  <c r="G92" i="6"/>
  <c r="G91" i="6"/>
  <c r="G90" i="6"/>
  <c r="G89" i="6"/>
  <c r="G88" i="6"/>
  <c r="G87" i="6"/>
  <c r="H78" i="6"/>
  <c r="H79" i="6"/>
  <c r="H80" i="6"/>
  <c r="H81" i="6"/>
  <c r="H82" i="6"/>
  <c r="H83" i="6"/>
  <c r="H84" i="6"/>
  <c r="H85" i="6"/>
  <c r="G84" i="6"/>
  <c r="G83" i="6"/>
  <c r="G82" i="6"/>
  <c r="G81" i="6"/>
  <c r="G80" i="6"/>
  <c r="G79" i="6"/>
  <c r="G78" i="6"/>
  <c r="H68" i="6"/>
  <c r="H69" i="6"/>
  <c r="H70" i="6"/>
  <c r="H71" i="6"/>
  <c r="H72" i="6"/>
  <c r="G71" i="6"/>
  <c r="G70" i="6"/>
  <c r="G69" i="6"/>
  <c r="G68" i="6"/>
  <c r="H58" i="6"/>
  <c r="H59" i="6"/>
  <c r="H60" i="6"/>
  <c r="H61" i="6"/>
  <c r="H62" i="6"/>
  <c r="H63" i="6"/>
  <c r="H64" i="6"/>
  <c r="H65" i="6"/>
  <c r="H66" i="6"/>
  <c r="G65" i="6"/>
  <c r="G64" i="6"/>
  <c r="G63" i="6"/>
  <c r="G62" i="6"/>
  <c r="G61" i="6"/>
  <c r="G60" i="6"/>
  <c r="G59" i="6"/>
  <c r="G58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G55" i="6"/>
  <c r="G54" i="6"/>
  <c r="G53" i="6"/>
  <c r="G52" i="6"/>
  <c r="G51" i="6"/>
  <c r="G50" i="6"/>
  <c r="G49" i="6"/>
  <c r="G48" i="6"/>
  <c r="G47" i="6"/>
  <c r="G46" i="6"/>
  <c r="G45" i="6"/>
  <c r="G44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H23" i="6"/>
  <c r="H24" i="6"/>
  <c r="H25" i="6"/>
  <c r="G24" i="6"/>
  <c r="G23" i="6"/>
  <c r="H15" i="6"/>
  <c r="H16" i="6"/>
  <c r="H17" i="6"/>
  <c r="G16" i="6"/>
  <c r="G15" i="6"/>
  <c r="H9" i="6"/>
  <c r="H8" i="6"/>
  <c r="H11" i="6"/>
  <c r="H12" i="6"/>
  <c r="H13" i="6"/>
  <c r="G12" i="6"/>
  <c r="G11" i="6"/>
  <c r="G9" i="6"/>
  <c r="G8" i="6"/>
  <c r="D7" i="5"/>
  <c r="G7" i="5"/>
  <c r="H7" i="5"/>
  <c r="D8" i="5"/>
  <c r="G8" i="5"/>
  <c r="H8" i="5"/>
  <c r="D9" i="5"/>
  <c r="G9" i="5"/>
  <c r="H9" i="5"/>
  <c r="D10" i="5"/>
  <c r="G10" i="5"/>
  <c r="H10" i="5"/>
  <c r="D11" i="5"/>
  <c r="G11" i="5"/>
  <c r="H11" i="5"/>
  <c r="D12" i="5"/>
  <c r="G12" i="5"/>
  <c r="H12" i="5"/>
  <c r="D13" i="5"/>
  <c r="G13" i="5"/>
  <c r="H13" i="5"/>
  <c r="D14" i="5"/>
  <c r="G14" i="5"/>
  <c r="H14" i="5"/>
  <c r="D15" i="5"/>
  <c r="G15" i="5"/>
  <c r="H15" i="5"/>
  <c r="D16" i="5"/>
  <c r="G16" i="5"/>
  <c r="H16" i="5"/>
  <c r="D17" i="5"/>
  <c r="G17" i="5"/>
  <c r="H17" i="5"/>
  <c r="D19" i="5"/>
  <c r="G19" i="5"/>
  <c r="H19" i="5"/>
  <c r="D20" i="5"/>
  <c r="G20" i="5"/>
  <c r="H20" i="5"/>
  <c r="D21" i="5"/>
  <c r="G21" i="5"/>
  <c r="H21" i="5"/>
  <c r="D22" i="5"/>
  <c r="G22" i="5"/>
  <c r="H22" i="5"/>
  <c r="D23" i="5"/>
  <c r="G23" i="5"/>
  <c r="H23" i="5"/>
  <c r="D24" i="5"/>
  <c r="G24" i="5"/>
  <c r="H24" i="5"/>
  <c r="D25" i="5"/>
  <c r="G25" i="5"/>
  <c r="H25" i="5"/>
  <c r="D26" i="5"/>
  <c r="G26" i="5"/>
  <c r="H26" i="5"/>
  <c r="D27" i="5"/>
  <c r="G27" i="5"/>
  <c r="H27" i="5"/>
  <c r="G28" i="5"/>
  <c r="H28" i="5"/>
  <c r="D29" i="5"/>
  <c r="G29" i="5"/>
  <c r="H29" i="5"/>
  <c r="D30" i="5"/>
  <c r="G30" i="5"/>
  <c r="H30" i="5"/>
  <c r="D31" i="5"/>
  <c r="G31" i="5"/>
  <c r="H31" i="5"/>
  <c r="D32" i="5"/>
  <c r="G32" i="5"/>
  <c r="H32" i="5"/>
  <c r="H33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H49" i="5"/>
  <c r="C96" i="5"/>
  <c r="D53" i="5"/>
  <c r="G53" i="5"/>
  <c r="H53" i="5"/>
  <c r="D54" i="5"/>
  <c r="G54" i="5"/>
  <c r="H54" i="5"/>
  <c r="D55" i="5"/>
  <c r="G55" i="5"/>
  <c r="H55" i="5"/>
  <c r="D56" i="5"/>
  <c r="G56" i="5"/>
  <c r="H56" i="5"/>
  <c r="D57" i="5"/>
  <c r="G57" i="5"/>
  <c r="H57" i="5"/>
  <c r="D58" i="5"/>
  <c r="G58" i="5"/>
  <c r="H58" i="5"/>
  <c r="D59" i="5"/>
  <c r="G59" i="5"/>
  <c r="H59" i="5"/>
  <c r="D60" i="5"/>
  <c r="G60" i="5"/>
  <c r="H60" i="5"/>
  <c r="D61" i="5"/>
  <c r="G61" i="5"/>
  <c r="H61" i="5"/>
  <c r="D62" i="5"/>
  <c r="G62" i="5"/>
  <c r="H62" i="5"/>
  <c r="D63" i="5"/>
  <c r="G63" i="5"/>
  <c r="H63" i="5"/>
  <c r="D65" i="5"/>
  <c r="G65" i="5"/>
  <c r="H65" i="5"/>
  <c r="D66" i="5"/>
  <c r="G66" i="5"/>
  <c r="H66" i="5"/>
  <c r="D67" i="5"/>
  <c r="G67" i="5"/>
  <c r="H67" i="5"/>
  <c r="D68" i="5"/>
  <c r="G68" i="5"/>
  <c r="H68" i="5"/>
  <c r="D69" i="5"/>
  <c r="G69" i="5"/>
  <c r="H69" i="5"/>
  <c r="D70" i="5"/>
  <c r="G70" i="5"/>
  <c r="H70" i="5"/>
  <c r="D71" i="5"/>
  <c r="G71" i="5"/>
  <c r="H71" i="5"/>
  <c r="D72" i="5"/>
  <c r="G72" i="5"/>
  <c r="H72" i="5"/>
  <c r="D73" i="5"/>
  <c r="G73" i="5"/>
  <c r="H73" i="5"/>
  <c r="G74" i="5"/>
  <c r="H74" i="5"/>
  <c r="D75" i="5"/>
  <c r="G75" i="5"/>
  <c r="H75" i="5"/>
  <c r="D76" i="5"/>
  <c r="G76" i="5"/>
  <c r="H76" i="5"/>
  <c r="D77" i="5"/>
  <c r="G77" i="5"/>
  <c r="H77" i="5"/>
  <c r="D78" i="5"/>
  <c r="G78" i="5"/>
  <c r="H78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H89" i="5"/>
  <c r="C97" i="5"/>
  <c r="D91" i="5"/>
  <c r="G91" i="5"/>
  <c r="H91" i="5"/>
  <c r="D92" i="5"/>
  <c r="G92" i="5"/>
  <c r="H92" i="5"/>
  <c r="D93" i="5"/>
  <c r="G93" i="5"/>
  <c r="H93" i="5"/>
  <c r="D94" i="5"/>
  <c r="G94" i="5"/>
  <c r="H94" i="5"/>
  <c r="H95" i="5"/>
  <c r="C98" i="5"/>
  <c r="C99" i="5"/>
  <c r="C101" i="5"/>
  <c r="J99" i="2"/>
  <c r="I99" i="2"/>
  <c r="E99" i="2"/>
  <c r="C99" i="2"/>
  <c r="J98" i="2"/>
  <c r="E98" i="2"/>
  <c r="H98" i="2"/>
  <c r="I98" i="2"/>
  <c r="C98" i="2"/>
  <c r="K98" i="2"/>
  <c r="J96" i="2"/>
  <c r="I96" i="2"/>
  <c r="E96" i="2"/>
  <c r="C96" i="2"/>
  <c r="J95" i="2"/>
  <c r="E95" i="2"/>
  <c r="H95" i="2"/>
  <c r="I95" i="2"/>
  <c r="C95" i="2"/>
  <c r="J93" i="2"/>
  <c r="I93" i="2"/>
  <c r="E93" i="2"/>
  <c r="C93" i="2"/>
  <c r="J92" i="2"/>
  <c r="E92" i="2"/>
  <c r="H92" i="2"/>
  <c r="I92" i="2"/>
  <c r="C92" i="2"/>
  <c r="K92" i="2"/>
  <c r="L92" i="2"/>
  <c r="J90" i="2"/>
  <c r="I90" i="2"/>
  <c r="E90" i="2"/>
  <c r="C90" i="2"/>
  <c r="J89" i="2"/>
  <c r="E89" i="2"/>
  <c r="H89" i="2"/>
  <c r="I89" i="2"/>
  <c r="C89" i="2"/>
  <c r="J83" i="2"/>
  <c r="I83" i="2"/>
  <c r="C83" i="2"/>
  <c r="K83" i="2"/>
  <c r="L83" i="2"/>
  <c r="E83" i="2"/>
  <c r="J82" i="2"/>
  <c r="E82" i="2"/>
  <c r="H82" i="2"/>
  <c r="I82" i="2"/>
  <c r="C82" i="2"/>
  <c r="J80" i="2"/>
  <c r="I80" i="2"/>
  <c r="E80" i="2"/>
  <c r="C80" i="2"/>
  <c r="J79" i="2"/>
  <c r="E79" i="2"/>
  <c r="H79" i="2"/>
  <c r="I79" i="2"/>
  <c r="C79" i="2"/>
  <c r="K79" i="2"/>
  <c r="L79" i="2"/>
  <c r="J77" i="2"/>
  <c r="I77" i="2"/>
  <c r="K77" i="2"/>
  <c r="L77" i="2"/>
  <c r="E77" i="2"/>
  <c r="J76" i="2"/>
  <c r="E76" i="2"/>
  <c r="H76" i="2"/>
  <c r="I76" i="2"/>
  <c r="J74" i="2"/>
  <c r="I74" i="2"/>
  <c r="K74" i="2"/>
  <c r="E74" i="2"/>
  <c r="J73" i="2"/>
  <c r="E73" i="2"/>
  <c r="H73" i="2"/>
  <c r="I73" i="2"/>
  <c r="K73" i="2"/>
  <c r="L73" i="2"/>
  <c r="J71" i="2"/>
  <c r="I71" i="2"/>
  <c r="C71" i="2"/>
  <c r="K71" i="2"/>
  <c r="L71" i="2"/>
  <c r="E71" i="2"/>
  <c r="J70" i="2"/>
  <c r="E70" i="2"/>
  <c r="H70" i="2"/>
  <c r="I70" i="2"/>
  <c r="C70" i="2"/>
  <c r="J68" i="2"/>
  <c r="G68" i="2"/>
  <c r="I68" i="2"/>
  <c r="C68" i="2"/>
  <c r="K68" i="2"/>
  <c r="L68" i="2"/>
  <c r="E68" i="2"/>
  <c r="J67" i="2"/>
  <c r="E67" i="2"/>
  <c r="H67" i="2"/>
  <c r="I67" i="2"/>
  <c r="C67" i="2"/>
  <c r="K67" i="2"/>
  <c r="L67" i="2"/>
  <c r="J65" i="2"/>
  <c r="G65" i="2"/>
  <c r="I65" i="2"/>
  <c r="E65" i="2"/>
  <c r="C65" i="2"/>
  <c r="J64" i="2"/>
  <c r="E64" i="2"/>
  <c r="H64" i="2"/>
  <c r="I64" i="2"/>
  <c r="C64" i="2"/>
  <c r="K64" i="2"/>
  <c r="L64" i="2"/>
  <c r="J62" i="2"/>
  <c r="G62" i="2"/>
  <c r="I62" i="2"/>
  <c r="C62" i="2"/>
  <c r="K62" i="2"/>
  <c r="L62" i="2"/>
  <c r="E62" i="2"/>
  <c r="J61" i="2"/>
  <c r="E61" i="2"/>
  <c r="H61" i="2"/>
  <c r="I61" i="2"/>
  <c r="C61" i="2"/>
  <c r="J55" i="2"/>
  <c r="G55" i="2"/>
  <c r="I55" i="2"/>
  <c r="E55" i="2"/>
  <c r="C55" i="2"/>
  <c r="J54" i="2"/>
  <c r="E54" i="2"/>
  <c r="H54" i="2"/>
  <c r="I54" i="2"/>
  <c r="C54" i="2"/>
  <c r="K54" i="2"/>
  <c r="L54" i="2"/>
  <c r="J52" i="2"/>
  <c r="G52" i="2"/>
  <c r="I52" i="2"/>
  <c r="E52" i="2"/>
  <c r="C52" i="2"/>
  <c r="J51" i="2"/>
  <c r="E51" i="2"/>
  <c r="H51" i="2"/>
  <c r="I51" i="2"/>
  <c r="C51" i="2"/>
  <c r="K51" i="2"/>
  <c r="L51" i="2"/>
  <c r="J49" i="2"/>
  <c r="G49" i="2"/>
  <c r="I49" i="2"/>
  <c r="E49" i="2"/>
  <c r="J48" i="2"/>
  <c r="E48" i="2"/>
  <c r="H48" i="2"/>
  <c r="I48" i="2"/>
  <c r="J46" i="2"/>
  <c r="G46" i="2"/>
  <c r="I46" i="2"/>
  <c r="E46" i="2"/>
  <c r="J45" i="2"/>
  <c r="E45" i="2"/>
  <c r="H45" i="2"/>
  <c r="I45" i="2"/>
  <c r="C45" i="2"/>
  <c r="K45" i="2"/>
  <c r="L45" i="2"/>
  <c r="J43" i="2"/>
  <c r="G43" i="2"/>
  <c r="I43" i="2"/>
  <c r="E43" i="2"/>
  <c r="C43" i="2"/>
  <c r="J42" i="2"/>
  <c r="E42" i="2"/>
  <c r="H42" i="2"/>
  <c r="I42" i="2"/>
  <c r="C42" i="2"/>
  <c r="J40" i="2"/>
  <c r="G40" i="2"/>
  <c r="I40" i="2"/>
  <c r="C40" i="2"/>
  <c r="K40" i="2"/>
  <c r="L40" i="2"/>
  <c r="E40" i="2"/>
  <c r="J39" i="2"/>
  <c r="E39" i="2"/>
  <c r="H39" i="2"/>
  <c r="I39" i="2"/>
  <c r="C39" i="2"/>
  <c r="K39" i="2"/>
  <c r="L39" i="2"/>
  <c r="J37" i="2"/>
  <c r="G37" i="2"/>
  <c r="I37" i="2"/>
  <c r="E37" i="2"/>
  <c r="C37" i="2"/>
  <c r="J36" i="2"/>
  <c r="E36" i="2"/>
  <c r="H36" i="2"/>
  <c r="I36" i="2"/>
  <c r="C36" i="2"/>
  <c r="J34" i="2"/>
  <c r="G34" i="2"/>
  <c r="I34" i="2"/>
  <c r="C34" i="2"/>
  <c r="K34" i="2"/>
  <c r="L34" i="2"/>
  <c r="E34" i="2"/>
  <c r="J33" i="2"/>
  <c r="E33" i="2"/>
  <c r="H33" i="2"/>
  <c r="I33" i="2"/>
  <c r="C33" i="2"/>
  <c r="J27" i="2"/>
  <c r="E27" i="2"/>
  <c r="H27" i="2"/>
  <c r="I27" i="2"/>
  <c r="C27" i="2"/>
  <c r="K27" i="2"/>
  <c r="L27" i="2"/>
  <c r="J26" i="2"/>
  <c r="E26" i="2"/>
  <c r="H26" i="2"/>
  <c r="I26" i="2"/>
  <c r="C26" i="2"/>
  <c r="K26" i="2"/>
  <c r="L26" i="2"/>
  <c r="J24" i="2"/>
  <c r="E24" i="2"/>
  <c r="H24" i="2"/>
  <c r="I24" i="2"/>
  <c r="C24" i="2"/>
  <c r="J23" i="2"/>
  <c r="E23" i="2"/>
  <c r="H23" i="2"/>
  <c r="I23" i="2"/>
  <c r="C23" i="2"/>
  <c r="K23" i="2"/>
  <c r="L23" i="2"/>
  <c r="J21" i="2"/>
  <c r="E21" i="2"/>
  <c r="H21" i="2"/>
  <c r="I21" i="2"/>
  <c r="C21" i="2"/>
  <c r="K21" i="2"/>
  <c r="L21" i="2"/>
  <c r="J20" i="2"/>
  <c r="E20" i="2"/>
  <c r="H20" i="2"/>
  <c r="I20" i="2"/>
  <c r="C20" i="2"/>
  <c r="J18" i="2"/>
  <c r="E18" i="2"/>
  <c r="H18" i="2"/>
  <c r="I18" i="2"/>
  <c r="C18" i="2"/>
  <c r="K18" i="2"/>
  <c r="L18" i="2"/>
  <c r="J17" i="2"/>
  <c r="E17" i="2"/>
  <c r="H17" i="2"/>
  <c r="I17" i="2"/>
  <c r="C17" i="2"/>
  <c r="K17" i="2"/>
  <c r="L17" i="2"/>
  <c r="J15" i="2"/>
  <c r="E15" i="2"/>
  <c r="H15" i="2"/>
  <c r="I15" i="2"/>
  <c r="C15" i="2"/>
  <c r="J14" i="2"/>
  <c r="E14" i="2"/>
  <c r="H14" i="2"/>
  <c r="I14" i="2"/>
  <c r="C14" i="2"/>
  <c r="K14" i="2"/>
  <c r="L14" i="2"/>
  <c r="J12" i="2"/>
  <c r="E12" i="2"/>
  <c r="H12" i="2"/>
  <c r="I12" i="2"/>
  <c r="C12" i="2"/>
  <c r="K12" i="2"/>
  <c r="L12" i="2"/>
  <c r="J11" i="2"/>
  <c r="E11" i="2"/>
  <c r="H11" i="2"/>
  <c r="I11" i="2"/>
  <c r="C11" i="2"/>
  <c r="J9" i="2"/>
  <c r="E9" i="2"/>
  <c r="H9" i="2"/>
  <c r="G9" i="2"/>
  <c r="I9" i="2"/>
  <c r="G8" i="2"/>
  <c r="C9" i="2"/>
  <c r="K9" i="2"/>
  <c r="L9" i="2"/>
  <c r="J8" i="2"/>
  <c r="E8" i="2"/>
  <c r="H8" i="2"/>
  <c r="I8" i="2"/>
  <c r="C8" i="2"/>
  <c r="K8" i="2"/>
  <c r="L8" i="2"/>
  <c r="J6" i="2"/>
  <c r="E6" i="2"/>
  <c r="H6" i="2"/>
  <c r="I6" i="2"/>
  <c r="G5" i="2"/>
  <c r="C6" i="2"/>
  <c r="E5" i="2"/>
  <c r="H5" i="2"/>
  <c r="I5" i="2"/>
  <c r="C5" i="2"/>
  <c r="J5" i="2"/>
  <c r="K5" i="2"/>
  <c r="L5" i="2"/>
  <c r="G135" i="4"/>
  <c r="H135" i="4"/>
  <c r="G136" i="4"/>
  <c r="H136" i="4"/>
  <c r="G137" i="4"/>
  <c r="H137" i="4"/>
  <c r="G138" i="4"/>
  <c r="H138" i="4"/>
  <c r="G139" i="4"/>
  <c r="H139" i="4"/>
  <c r="H141" i="4"/>
  <c r="D127" i="4"/>
  <c r="E127" i="4"/>
  <c r="G127" i="4"/>
  <c r="H127" i="4"/>
  <c r="D128" i="4"/>
  <c r="E128" i="4"/>
  <c r="G128" i="4"/>
  <c r="H128" i="4"/>
  <c r="D129" i="4"/>
  <c r="E129" i="4"/>
  <c r="G129" i="4"/>
  <c r="H129" i="4"/>
  <c r="D130" i="4"/>
  <c r="G130" i="4"/>
  <c r="H130" i="4"/>
  <c r="D131" i="4"/>
  <c r="E131" i="4"/>
  <c r="G131" i="4"/>
  <c r="H131" i="4"/>
  <c r="H132" i="4"/>
  <c r="D119" i="4"/>
  <c r="E119" i="4"/>
  <c r="G119" i="4"/>
  <c r="H119" i="4"/>
  <c r="D120" i="4"/>
  <c r="E120" i="4"/>
  <c r="G120" i="4"/>
  <c r="H120" i="4"/>
  <c r="D121" i="4"/>
  <c r="E121" i="4"/>
  <c r="G121" i="4"/>
  <c r="H121" i="4"/>
  <c r="D122" i="4"/>
  <c r="G122" i="4"/>
  <c r="H122" i="4"/>
  <c r="D123" i="4"/>
  <c r="E123" i="4"/>
  <c r="G123" i="4"/>
  <c r="H123" i="4"/>
  <c r="H124" i="4"/>
  <c r="G111" i="4"/>
  <c r="H111" i="4"/>
  <c r="G112" i="4"/>
  <c r="H112" i="4"/>
  <c r="G113" i="4"/>
  <c r="H113" i="4"/>
  <c r="G114" i="4"/>
  <c r="H114" i="4"/>
  <c r="H115" i="4"/>
  <c r="G100" i="4"/>
  <c r="H100" i="4"/>
  <c r="G101" i="4"/>
  <c r="H101" i="4"/>
  <c r="G102" i="4"/>
  <c r="H102" i="4"/>
  <c r="G103" i="4"/>
  <c r="H103" i="4"/>
  <c r="E104" i="4"/>
  <c r="G104" i="4"/>
  <c r="H104" i="4"/>
  <c r="E105" i="4"/>
  <c r="G105" i="4"/>
  <c r="H105" i="4"/>
  <c r="G106" i="4"/>
  <c r="H106" i="4"/>
  <c r="G107" i="4"/>
  <c r="H107" i="4"/>
  <c r="H108" i="4"/>
  <c r="D67" i="4"/>
  <c r="F67" i="4"/>
  <c r="G67" i="4"/>
  <c r="H67" i="4"/>
  <c r="D68" i="4"/>
  <c r="E68" i="4"/>
  <c r="F68" i="4"/>
  <c r="G68" i="4"/>
  <c r="H68" i="4"/>
  <c r="D69" i="4"/>
  <c r="F69" i="4"/>
  <c r="G69" i="4"/>
  <c r="H69" i="4"/>
  <c r="D70" i="4"/>
  <c r="F70" i="4"/>
  <c r="G70" i="4"/>
  <c r="H70" i="4"/>
  <c r="D71" i="4"/>
  <c r="F71" i="4"/>
  <c r="G71" i="4"/>
  <c r="H71" i="4"/>
  <c r="D72" i="4"/>
  <c r="F72" i="4"/>
  <c r="G72" i="4"/>
  <c r="H72" i="4"/>
  <c r="D73" i="4"/>
  <c r="F73" i="4"/>
  <c r="G73" i="4"/>
  <c r="H73" i="4"/>
  <c r="D74" i="4"/>
  <c r="F74" i="4"/>
  <c r="G74" i="4"/>
  <c r="H74" i="4"/>
  <c r="D75" i="4"/>
  <c r="F75" i="4"/>
  <c r="G75" i="4"/>
  <c r="H75" i="4"/>
  <c r="D76" i="4"/>
  <c r="F76" i="4"/>
  <c r="G76" i="4"/>
  <c r="H76" i="4"/>
  <c r="D77" i="4"/>
  <c r="F77" i="4"/>
  <c r="G77" i="4"/>
  <c r="H77" i="4"/>
  <c r="D78" i="4"/>
  <c r="F78" i="4"/>
  <c r="G78" i="4"/>
  <c r="H78" i="4"/>
  <c r="D79" i="4"/>
  <c r="F79" i="4"/>
  <c r="G79" i="4"/>
  <c r="H79" i="4"/>
  <c r="D80" i="4"/>
  <c r="F80" i="4"/>
  <c r="G80" i="4"/>
  <c r="H80" i="4"/>
  <c r="D81" i="4"/>
  <c r="F81" i="4"/>
  <c r="G81" i="4"/>
  <c r="H81" i="4"/>
  <c r="D82" i="4"/>
  <c r="F82" i="4"/>
  <c r="G82" i="4"/>
  <c r="H82" i="4"/>
  <c r="D83" i="4"/>
  <c r="F83" i="4"/>
  <c r="G83" i="4"/>
  <c r="H83" i="4"/>
  <c r="D84" i="4"/>
  <c r="F84" i="4"/>
  <c r="G84" i="4"/>
  <c r="H84" i="4"/>
  <c r="D85" i="4"/>
  <c r="F85" i="4"/>
  <c r="G85" i="4"/>
  <c r="H85" i="4"/>
  <c r="D86" i="4"/>
  <c r="F86" i="4"/>
  <c r="G86" i="4"/>
  <c r="H86" i="4"/>
  <c r="D87" i="4"/>
  <c r="F87" i="4"/>
  <c r="G87" i="4"/>
  <c r="H87" i="4"/>
  <c r="D88" i="4"/>
  <c r="F88" i="4"/>
  <c r="G88" i="4"/>
  <c r="H88" i="4"/>
  <c r="F89" i="4"/>
  <c r="G89" i="4"/>
  <c r="H89" i="4"/>
  <c r="D90" i="4"/>
  <c r="F90" i="4"/>
  <c r="G90" i="4"/>
  <c r="H90" i="4"/>
  <c r="D91" i="4"/>
  <c r="F91" i="4"/>
  <c r="G91" i="4"/>
  <c r="H91" i="4"/>
  <c r="D92" i="4"/>
  <c r="F92" i="4"/>
  <c r="G92" i="4"/>
  <c r="H92" i="4"/>
  <c r="D93" i="4"/>
  <c r="F93" i="4"/>
  <c r="G93" i="4"/>
  <c r="H93" i="4"/>
  <c r="H94" i="4"/>
  <c r="D37" i="4"/>
  <c r="F37" i="4"/>
  <c r="G37" i="4"/>
  <c r="H37" i="4"/>
  <c r="D38" i="4"/>
  <c r="F38" i="4"/>
  <c r="G38" i="4"/>
  <c r="H38" i="4"/>
  <c r="D39" i="4"/>
  <c r="F39" i="4"/>
  <c r="G39" i="4"/>
  <c r="H39" i="4"/>
  <c r="D40" i="4"/>
  <c r="F40" i="4"/>
  <c r="G40" i="4"/>
  <c r="H40" i="4"/>
  <c r="D41" i="4"/>
  <c r="F41" i="4"/>
  <c r="G41" i="4"/>
  <c r="H41" i="4"/>
  <c r="D42" i="4"/>
  <c r="F42" i="4"/>
  <c r="G42" i="4"/>
  <c r="H42" i="4"/>
  <c r="D43" i="4"/>
  <c r="F43" i="4"/>
  <c r="G43" i="4"/>
  <c r="H43" i="4"/>
  <c r="D44" i="4"/>
  <c r="F44" i="4"/>
  <c r="G44" i="4"/>
  <c r="H44" i="4"/>
  <c r="D45" i="4"/>
  <c r="F45" i="4"/>
  <c r="G45" i="4"/>
  <c r="H45" i="4"/>
  <c r="D46" i="4"/>
  <c r="F46" i="4"/>
  <c r="G46" i="4"/>
  <c r="H46" i="4"/>
  <c r="D47" i="4"/>
  <c r="F47" i="4"/>
  <c r="G47" i="4"/>
  <c r="H47" i="4"/>
  <c r="D48" i="4"/>
  <c r="F48" i="4"/>
  <c r="G48" i="4"/>
  <c r="H48" i="4"/>
  <c r="D49" i="4"/>
  <c r="F49" i="4"/>
  <c r="G49" i="4"/>
  <c r="H49" i="4"/>
  <c r="D50" i="4"/>
  <c r="F50" i="4"/>
  <c r="G50" i="4"/>
  <c r="H50" i="4"/>
  <c r="D51" i="4"/>
  <c r="F51" i="4"/>
  <c r="G51" i="4"/>
  <c r="H51" i="4"/>
  <c r="D52" i="4"/>
  <c r="F52" i="4"/>
  <c r="G52" i="4"/>
  <c r="H52" i="4"/>
  <c r="D53" i="4"/>
  <c r="F53" i="4"/>
  <c r="G53" i="4"/>
  <c r="H53" i="4"/>
  <c r="D54" i="4"/>
  <c r="F54" i="4"/>
  <c r="G54" i="4"/>
  <c r="H54" i="4"/>
  <c r="D55" i="4"/>
  <c r="F55" i="4"/>
  <c r="G55" i="4"/>
  <c r="H55" i="4"/>
  <c r="D56" i="4"/>
  <c r="F56" i="4"/>
  <c r="G56" i="4"/>
  <c r="H56" i="4"/>
  <c r="D57" i="4"/>
  <c r="F57" i="4"/>
  <c r="G57" i="4"/>
  <c r="H57" i="4"/>
  <c r="F58" i="4"/>
  <c r="G58" i="4"/>
  <c r="H58" i="4"/>
  <c r="D59" i="4"/>
  <c r="F59" i="4"/>
  <c r="G59" i="4"/>
  <c r="H59" i="4"/>
  <c r="D60" i="4"/>
  <c r="F60" i="4"/>
  <c r="G60" i="4"/>
  <c r="H60" i="4"/>
  <c r="D61" i="4"/>
  <c r="F61" i="4"/>
  <c r="G61" i="4"/>
  <c r="H61" i="4"/>
  <c r="D62" i="4"/>
  <c r="F62" i="4"/>
  <c r="G62" i="4"/>
  <c r="H62" i="4"/>
  <c r="D63" i="4"/>
  <c r="F63" i="4"/>
  <c r="G63" i="4"/>
  <c r="H63" i="4"/>
  <c r="H64" i="4"/>
  <c r="D7" i="4"/>
  <c r="G7" i="4"/>
  <c r="H7" i="4"/>
  <c r="D8" i="4"/>
  <c r="E8" i="4"/>
  <c r="G8" i="4"/>
  <c r="H8" i="4"/>
  <c r="D9" i="4"/>
  <c r="G9" i="4"/>
  <c r="H9" i="4"/>
  <c r="D10" i="4"/>
  <c r="G10" i="4"/>
  <c r="H10" i="4"/>
  <c r="D11" i="4"/>
  <c r="G11" i="4"/>
  <c r="H11" i="4"/>
  <c r="D12" i="4"/>
  <c r="G12" i="4"/>
  <c r="H12" i="4"/>
  <c r="D13" i="4"/>
  <c r="G13" i="4"/>
  <c r="H13" i="4"/>
  <c r="D14" i="4"/>
  <c r="G14" i="4"/>
  <c r="H14" i="4"/>
  <c r="D15" i="4"/>
  <c r="G15" i="4"/>
  <c r="H15" i="4"/>
  <c r="D16" i="4"/>
  <c r="G16" i="4"/>
  <c r="H16" i="4"/>
  <c r="D17" i="4"/>
  <c r="G17" i="4"/>
  <c r="H17" i="4"/>
  <c r="D18" i="4"/>
  <c r="G18" i="4"/>
  <c r="H18" i="4"/>
  <c r="D19" i="4"/>
  <c r="G19" i="4"/>
  <c r="H19" i="4"/>
  <c r="D20" i="4"/>
  <c r="G20" i="4"/>
  <c r="H20" i="4"/>
  <c r="D21" i="4"/>
  <c r="G21" i="4"/>
  <c r="H21" i="4"/>
  <c r="D22" i="4"/>
  <c r="G22" i="4"/>
  <c r="H22" i="4"/>
  <c r="D23" i="4"/>
  <c r="G23" i="4"/>
  <c r="H23" i="4"/>
  <c r="D24" i="4"/>
  <c r="G24" i="4"/>
  <c r="H24" i="4"/>
  <c r="D25" i="4"/>
  <c r="G25" i="4"/>
  <c r="H25" i="4"/>
  <c r="D26" i="4"/>
  <c r="G26" i="4"/>
  <c r="H26" i="4"/>
  <c r="D27" i="4"/>
  <c r="G27" i="4"/>
  <c r="H27" i="4"/>
  <c r="D28" i="4"/>
  <c r="G28" i="4"/>
  <c r="H28" i="4"/>
  <c r="G29" i="4"/>
  <c r="H29" i="4"/>
  <c r="D30" i="4"/>
  <c r="G30" i="4"/>
  <c r="H30" i="4"/>
  <c r="D31" i="4"/>
  <c r="G31" i="4"/>
  <c r="H31" i="4"/>
  <c r="D32" i="4"/>
  <c r="G32" i="4"/>
  <c r="H32" i="4"/>
  <c r="D33" i="4"/>
  <c r="G33" i="4"/>
  <c r="H33" i="4"/>
  <c r="H34" i="4"/>
  <c r="H96" i="4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D16" i="1"/>
  <c r="G16" i="1"/>
  <c r="H16" i="1"/>
  <c r="D17" i="1"/>
  <c r="G17" i="1"/>
  <c r="H17" i="1"/>
  <c r="D18" i="1"/>
  <c r="G18" i="1"/>
  <c r="H18" i="1"/>
  <c r="D19" i="1"/>
  <c r="G19" i="1"/>
  <c r="H19" i="1"/>
  <c r="D21" i="1"/>
  <c r="G21" i="1"/>
  <c r="H21" i="1"/>
  <c r="D22" i="1"/>
  <c r="G22" i="1"/>
  <c r="H22" i="1"/>
  <c r="D23" i="1"/>
  <c r="G23" i="1"/>
  <c r="H23" i="1"/>
  <c r="D24" i="1"/>
  <c r="G24" i="1"/>
  <c r="H24" i="1"/>
  <c r="D26" i="1"/>
  <c r="E26" i="1"/>
  <c r="G26" i="1"/>
  <c r="H26" i="1"/>
  <c r="H27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D40" i="1"/>
  <c r="E40" i="1"/>
  <c r="F40" i="1"/>
  <c r="G40" i="1"/>
  <c r="H40" i="1"/>
  <c r="D42" i="1"/>
  <c r="G42" i="1"/>
  <c r="H42" i="1"/>
  <c r="D43" i="1"/>
  <c r="G43" i="1"/>
  <c r="H43" i="1"/>
  <c r="D44" i="1"/>
  <c r="G44" i="1"/>
  <c r="H44" i="1"/>
  <c r="D45" i="1"/>
  <c r="G45" i="1"/>
  <c r="H45" i="1"/>
  <c r="D47" i="1"/>
  <c r="G47" i="1"/>
  <c r="H47" i="1"/>
  <c r="D48" i="1"/>
  <c r="G48" i="1"/>
  <c r="H48" i="1"/>
  <c r="D49" i="1"/>
  <c r="G49" i="1"/>
  <c r="H49" i="1"/>
  <c r="D50" i="1"/>
  <c r="G50" i="1"/>
  <c r="H50" i="1"/>
  <c r="D51" i="1"/>
  <c r="G51" i="1"/>
  <c r="H51" i="1"/>
  <c r="D52" i="1"/>
  <c r="G52" i="1"/>
  <c r="H52" i="1"/>
  <c r="D53" i="1"/>
  <c r="G53" i="1"/>
  <c r="H53" i="1"/>
  <c r="D54" i="1"/>
  <c r="G54" i="1"/>
  <c r="H54" i="1"/>
  <c r="D55" i="1"/>
  <c r="G55" i="1"/>
  <c r="H55" i="1"/>
  <c r="D56" i="1"/>
  <c r="G56" i="1"/>
  <c r="H56" i="1"/>
  <c r="D57" i="1"/>
  <c r="G57" i="1"/>
  <c r="H57" i="1"/>
  <c r="D59" i="1"/>
  <c r="G59" i="1"/>
  <c r="H59" i="1"/>
  <c r="D60" i="1"/>
  <c r="G60" i="1"/>
  <c r="H60" i="1"/>
  <c r="D61" i="1"/>
  <c r="G61" i="1"/>
  <c r="H61" i="1"/>
  <c r="D62" i="1"/>
  <c r="G62" i="1"/>
  <c r="H62" i="1"/>
  <c r="D63" i="1"/>
  <c r="G63" i="1"/>
  <c r="H63" i="1"/>
  <c r="D64" i="1"/>
  <c r="G64" i="1"/>
  <c r="H64" i="1"/>
  <c r="D65" i="1"/>
  <c r="G65" i="1"/>
  <c r="H65" i="1"/>
  <c r="D66" i="1"/>
  <c r="G66" i="1"/>
  <c r="H66" i="1"/>
  <c r="D67" i="1"/>
  <c r="G67" i="1"/>
  <c r="H67" i="1"/>
  <c r="G68" i="1"/>
  <c r="H68" i="1"/>
  <c r="D69" i="1"/>
  <c r="G69" i="1"/>
  <c r="H69" i="1"/>
  <c r="D70" i="1"/>
  <c r="G70" i="1"/>
  <c r="H70" i="1"/>
  <c r="D71" i="1"/>
  <c r="G71" i="1"/>
  <c r="H71" i="1"/>
  <c r="D72" i="1"/>
  <c r="G72" i="1"/>
  <c r="H72" i="1"/>
  <c r="H73" i="1"/>
  <c r="D77" i="1"/>
  <c r="G77" i="1"/>
  <c r="H77" i="1"/>
  <c r="D78" i="1"/>
  <c r="G78" i="1"/>
  <c r="H78" i="1"/>
  <c r="D79" i="1"/>
  <c r="G79" i="1"/>
  <c r="H79" i="1"/>
  <c r="D80" i="1"/>
  <c r="G80" i="1"/>
  <c r="H80" i="1"/>
  <c r="D82" i="1"/>
  <c r="G82" i="1"/>
  <c r="H82" i="1"/>
  <c r="D83" i="1"/>
  <c r="G83" i="1"/>
  <c r="H83" i="1"/>
  <c r="D84" i="1"/>
  <c r="G84" i="1"/>
  <c r="H84" i="1"/>
  <c r="D85" i="1"/>
  <c r="G85" i="1"/>
  <c r="H85" i="1"/>
  <c r="H86" i="1"/>
  <c r="D112" i="1"/>
  <c r="E112" i="1"/>
  <c r="G112" i="1"/>
  <c r="H112" i="1"/>
  <c r="D113" i="1"/>
  <c r="E113" i="1"/>
  <c r="F113" i="1"/>
  <c r="G113" i="1"/>
  <c r="H113" i="1"/>
  <c r="E114" i="1"/>
  <c r="G114" i="1"/>
  <c r="H114" i="1"/>
  <c r="E115" i="1"/>
  <c r="G115" i="1"/>
  <c r="H115" i="1"/>
  <c r="H116" i="1"/>
  <c r="G101" i="1"/>
  <c r="H101" i="1"/>
  <c r="D102" i="1"/>
  <c r="G102" i="1"/>
  <c r="H102" i="1"/>
  <c r="D103" i="1"/>
  <c r="G103" i="1"/>
  <c r="H103" i="1"/>
  <c r="G104" i="1"/>
  <c r="H104" i="1"/>
  <c r="D105" i="1"/>
  <c r="E105" i="1"/>
  <c r="G105" i="1"/>
  <c r="H105" i="1"/>
  <c r="D106" i="1"/>
  <c r="E106" i="1"/>
  <c r="G106" i="1"/>
  <c r="H106" i="1"/>
  <c r="G107" i="1"/>
  <c r="H107" i="1"/>
  <c r="G108" i="1"/>
  <c r="H108" i="1"/>
  <c r="H10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98" i="1"/>
  <c r="H118" i="1"/>
  <c r="H121" i="1"/>
  <c r="K188" i="2"/>
  <c r="L188" i="2"/>
  <c r="L186" i="2"/>
  <c r="K48" i="2"/>
  <c r="L48" i="2"/>
  <c r="K52" i="2"/>
  <c r="L52" i="2"/>
  <c r="K65" i="2"/>
  <c r="L65" i="2"/>
  <c r="L110" i="2"/>
  <c r="K33" i="2"/>
  <c r="L33" i="2"/>
  <c r="K42" i="2"/>
  <c r="L42" i="2"/>
  <c r="K46" i="2"/>
  <c r="L46" i="2"/>
  <c r="K76" i="2"/>
  <c r="L76" i="2"/>
  <c r="K90" i="2"/>
  <c r="L90" i="2"/>
  <c r="K95" i="2"/>
  <c r="L95" i="2"/>
  <c r="K11" i="2"/>
  <c r="L11" i="2"/>
  <c r="K15" i="2"/>
  <c r="L15" i="2"/>
  <c r="K20" i="2"/>
  <c r="L20" i="2"/>
  <c r="K24" i="2"/>
  <c r="L24" i="2"/>
  <c r="K37" i="2"/>
  <c r="L37" i="2"/>
  <c r="K61" i="2"/>
  <c r="L61" i="2"/>
  <c r="K70" i="2"/>
  <c r="L70" i="2"/>
  <c r="K82" i="2"/>
  <c r="L82" i="2"/>
  <c r="K55" i="2"/>
  <c r="L55" i="2"/>
  <c r="K154" i="2"/>
  <c r="K43" i="2"/>
  <c r="L43" i="2"/>
  <c r="K6" i="2"/>
  <c r="L6" i="2"/>
  <c r="K36" i="2"/>
  <c r="L36" i="2"/>
  <c r="K49" i="2"/>
  <c r="L49" i="2"/>
  <c r="K129" i="2"/>
  <c r="K130" i="2"/>
  <c r="L130" i="2"/>
  <c r="K99" i="2"/>
  <c r="L99" i="2"/>
  <c r="K80" i="2"/>
  <c r="L80" i="2"/>
  <c r="K96" i="2"/>
  <c r="L96" i="2"/>
  <c r="L107" i="2"/>
  <c r="K111" i="2"/>
  <c r="K89" i="2"/>
  <c r="L89" i="2"/>
  <c r="K93" i="2"/>
  <c r="L93" i="2"/>
  <c r="L74" i="2"/>
  <c r="L106" i="2"/>
  <c r="L98" i="2"/>
  <c r="L154" i="2"/>
  <c r="K119" i="2"/>
  <c r="L119" i="2"/>
  <c r="K158" i="2"/>
  <c r="L158" i="2"/>
  <c r="L28" i="2"/>
  <c r="K28" i="2"/>
  <c r="L84" i="2"/>
  <c r="L129" i="2"/>
  <c r="K56" i="2"/>
  <c r="L56" i="2"/>
  <c r="K136" i="2"/>
  <c r="K142" i="2"/>
  <c r="K100" i="2"/>
  <c r="K138" i="2"/>
  <c r="K140" i="2"/>
  <c r="L100" i="2"/>
  <c r="K132" i="2"/>
  <c r="L132" i="2"/>
  <c r="K84" i="2"/>
  <c r="K134" i="2"/>
  <c r="L134" i="2"/>
  <c r="K117" i="2"/>
  <c r="L117" i="2"/>
  <c r="K115" i="2"/>
  <c r="L115" i="2"/>
  <c r="K113" i="2"/>
  <c r="L111" i="2"/>
  <c r="L113" i="2"/>
  <c r="K121" i="2"/>
  <c r="L121" i="2"/>
  <c r="K144" i="2"/>
  <c r="K146" i="2"/>
  <c r="K155" i="2"/>
  <c r="L136" i="2"/>
  <c r="L155" i="2"/>
  <c r="K159" i="2"/>
  <c r="L159" i="2"/>
  <c r="K161" i="2"/>
  <c r="L138" i="2"/>
  <c r="L161" i="2"/>
  <c r="L140" i="2"/>
  <c r="L142" i="2"/>
  <c r="L144" i="2"/>
  <c r="L146" i="2"/>
</calcChain>
</file>

<file path=xl/sharedStrings.xml><?xml version="1.0" encoding="utf-8"?>
<sst xmlns="http://schemas.openxmlformats.org/spreadsheetml/2006/main" count="3399" uniqueCount="977">
  <si>
    <t>MEASUREMENT SHEET (MS)</t>
  </si>
  <si>
    <t>S NO</t>
  </si>
  <si>
    <t>Description Of Work</t>
  </si>
  <si>
    <t>Number</t>
  </si>
  <si>
    <t>Length (ft)</t>
  </si>
  <si>
    <t>Breadth (ft)</t>
  </si>
  <si>
    <t>Height (ft)</t>
  </si>
  <si>
    <t>Quantity (cft)</t>
  </si>
  <si>
    <t>Total Quantity (cft)</t>
  </si>
  <si>
    <t>Sub-Structure (Excavation,Lean,Situ and Concreting)</t>
  </si>
  <si>
    <t>Excavation</t>
  </si>
  <si>
    <t>Excavation for footing</t>
  </si>
  <si>
    <t>F-1</t>
  </si>
  <si>
    <t>F-2</t>
  </si>
  <si>
    <t>F-3</t>
  </si>
  <si>
    <t>F-4</t>
  </si>
  <si>
    <t>F-5</t>
  </si>
  <si>
    <t>F-6</t>
  </si>
  <si>
    <t>F-7</t>
  </si>
  <si>
    <t>CF-1</t>
  </si>
  <si>
    <t>Excavation for Boundary Wall</t>
  </si>
  <si>
    <t>Longer Side 01 (Left)</t>
  </si>
  <si>
    <t>Longer Side 02 (Right)</t>
  </si>
  <si>
    <t>Shorter Side 01 (Back)</t>
  </si>
  <si>
    <t>Shorter Side 02 (Front)</t>
  </si>
  <si>
    <t>Excavation for External Wall</t>
  </si>
  <si>
    <t>Grid A (with offset wall and grid D,G)</t>
  </si>
  <si>
    <t>Grid P</t>
  </si>
  <si>
    <t>Grid 1</t>
  </si>
  <si>
    <t>Grid 14 (also grid 11 and 12)</t>
  </si>
  <si>
    <t>Excavation for UGWT</t>
  </si>
  <si>
    <t>UGWT</t>
  </si>
  <si>
    <t>Total Excavation</t>
  </si>
  <si>
    <t>1:4:8 Lean Concrete</t>
  </si>
  <si>
    <t>Lean for footing</t>
  </si>
  <si>
    <t>Lean for UGWT</t>
  </si>
  <si>
    <t>UGWT Lean</t>
  </si>
  <si>
    <t>Lean for boundary wall</t>
  </si>
  <si>
    <t>Lean for long wall</t>
  </si>
  <si>
    <t>Grid A (with offset wall)</t>
  </si>
  <si>
    <t>Grid B-1</t>
  </si>
  <si>
    <t>Grid C</t>
  </si>
  <si>
    <t>Grid D</t>
  </si>
  <si>
    <t>Grid F</t>
  </si>
  <si>
    <t>Grid G</t>
  </si>
  <si>
    <t>Grid H</t>
  </si>
  <si>
    <t>Grid J</t>
  </si>
  <si>
    <t>Grid K (offset wall)</t>
  </si>
  <si>
    <t>Grid M</t>
  </si>
  <si>
    <t>Lean for short wall</t>
  </si>
  <si>
    <t>Grid 2</t>
  </si>
  <si>
    <t>Grid 3-A (Offset wall)</t>
  </si>
  <si>
    <t>Grid 3</t>
  </si>
  <si>
    <t>Grid 4</t>
  </si>
  <si>
    <t>Grid 6-A</t>
  </si>
  <si>
    <t>Grid 6</t>
  </si>
  <si>
    <t>Grid 8</t>
  </si>
  <si>
    <t>Grid 9</t>
  </si>
  <si>
    <t>Grid 9 (Angled wall)</t>
  </si>
  <si>
    <t>Grid 10</t>
  </si>
  <si>
    <t>Grid 11</t>
  </si>
  <si>
    <t>Grid 12</t>
  </si>
  <si>
    <t>Grid 14</t>
  </si>
  <si>
    <t>Total Lean concrete</t>
  </si>
  <si>
    <t>1:3:6 Situ below Plinth</t>
  </si>
  <si>
    <t>Situ in Boundary wall</t>
  </si>
  <si>
    <t>Situ in External wall</t>
  </si>
  <si>
    <t>Total Situ</t>
  </si>
  <si>
    <t>1:2:4 Concrete</t>
  </si>
  <si>
    <t>1:2:4 Concrete for footing</t>
  </si>
  <si>
    <t>Total 1:2:4 Concrete for footing</t>
  </si>
  <si>
    <t>1:2:4 Concrete for Column below Plinth</t>
  </si>
  <si>
    <t>C-1</t>
  </si>
  <si>
    <t>C-2</t>
  </si>
  <si>
    <t>C-3</t>
  </si>
  <si>
    <t>C-4</t>
  </si>
  <si>
    <t>C-5</t>
  </si>
  <si>
    <t>C-6</t>
  </si>
  <si>
    <t>C-7</t>
  </si>
  <si>
    <t>C-8</t>
  </si>
  <si>
    <t>Total 1:2:4 Concrete for Column below Plinth</t>
  </si>
  <si>
    <t>1:2:4 Concrete for UGWT</t>
  </si>
  <si>
    <t>Bottom Slab</t>
  </si>
  <si>
    <t>Top Slab</t>
  </si>
  <si>
    <t>Longer Wall</t>
  </si>
  <si>
    <t>Shorter Wall</t>
  </si>
  <si>
    <t>Total 1:2:4 Concrete for UGWT</t>
  </si>
  <si>
    <t>Total 1:2:4 Concrete in Sub-Structure</t>
  </si>
  <si>
    <t>Backfill of Soil</t>
  </si>
  <si>
    <t>EXC-Lean Concrete-Situ-1:2:4 Concrete-UGWT VOL</t>
  </si>
  <si>
    <t>Super-Structure (Concreting)</t>
  </si>
  <si>
    <t>1:2:4 Concrete for Beams</t>
  </si>
  <si>
    <t>1:2:4 Concrete for Plinth Beams</t>
  </si>
  <si>
    <t>Boundar wall PB-01</t>
  </si>
  <si>
    <t>Boundar wall PB-04</t>
  </si>
  <si>
    <t>Grid A (with offset beam)</t>
  </si>
  <si>
    <t>Grid K (offset beam)</t>
  </si>
  <si>
    <t>Grid 3-A (Offset beam)</t>
  </si>
  <si>
    <t>Grid 9 (Angled beam)</t>
  </si>
  <si>
    <t>Total 1:2:4 Concrete for Plinth Beam</t>
  </si>
  <si>
    <t>1:2:4 Concrete for floor Beams</t>
  </si>
  <si>
    <t>Grid A-1 (offset beam)</t>
  </si>
  <si>
    <t>Grid 14-A (Projecting beam</t>
  </si>
  <si>
    <t>Total 1:2:4 Concrete for floor Beams</t>
  </si>
  <si>
    <t>1:2:4 Concrete for Roof Beams</t>
  </si>
  <si>
    <t>Total 1:2:4 Concrete for Roof Beam</t>
  </si>
  <si>
    <t>Total 1:2:4 Concrete for Beams</t>
  </si>
  <si>
    <t>1:2:4 Concrete for Columns above Plinth Beam</t>
  </si>
  <si>
    <t>1:2:4 Concrete for Column 
from Plinth level till first floor</t>
  </si>
  <si>
    <t>Total 1:2:4 Concrete for Column</t>
  </si>
  <si>
    <t>1:2:4 Concrete for Column 
from first floor till Roof</t>
  </si>
  <si>
    <t>1:2:4 Concrete for Slabs</t>
  </si>
  <si>
    <t>Roof Slab</t>
  </si>
  <si>
    <t>Total Area</t>
  </si>
  <si>
    <t>Deduction 01</t>
  </si>
  <si>
    <t>Deduction 02</t>
  </si>
  <si>
    <t>Deduction 03</t>
  </si>
  <si>
    <t>Deduction 04 (Stairs)</t>
  </si>
  <si>
    <t>Total Roof Slab (Total - All deductions)</t>
  </si>
  <si>
    <t>First floor Slab</t>
  </si>
  <si>
    <t>Total Roof Slab (Total + (∑deductions 01 to 03) - Deduction 04 )</t>
  </si>
  <si>
    <t>Concrete of ohwt</t>
  </si>
  <si>
    <t>Base Slab</t>
  </si>
  <si>
    <t>Long Wall</t>
  </si>
  <si>
    <t>Short Wall</t>
  </si>
  <si>
    <t>Base Beam</t>
  </si>
  <si>
    <t>Total</t>
  </si>
  <si>
    <t>BAR BENDING SCHEDULE (BBS)</t>
  </si>
  <si>
    <t xml:space="preserve">Bar Number </t>
  </si>
  <si>
    <t>Diameter (in)</t>
  </si>
  <si>
    <t>Shape</t>
  </si>
  <si>
    <t>SL (ft)</t>
  </si>
  <si>
    <t>HL (ft) (12Dia)</t>
  </si>
  <si>
    <t>Total Length (ft)</t>
  </si>
  <si>
    <t>Wt/ft</t>
  </si>
  <si>
    <t>Weight (lbs)</t>
  </si>
  <si>
    <t>Weight (tonnes)</t>
  </si>
  <si>
    <t>R/f in footing</t>
  </si>
  <si>
    <r>
      <rPr>
        <b/>
        <sz val="12"/>
        <color theme="1"/>
        <rFont val="Calibri"/>
        <charset val="134"/>
        <scheme val="minor"/>
      </rPr>
      <t xml:space="preserve">Footing F-1 </t>
    </r>
    <r>
      <rPr>
        <sz val="12"/>
        <color theme="1"/>
        <rFont val="Calibri"/>
        <charset val="134"/>
        <scheme val="minor"/>
      </rPr>
      <t>(4x3.5)</t>
    </r>
  </si>
  <si>
    <t>Main Bar (#4@6"c/c)</t>
  </si>
  <si>
    <t>Distribution Bar (#4@6"c/c)</t>
  </si>
  <si>
    <r>
      <rPr>
        <b/>
        <sz val="12"/>
        <color theme="1"/>
        <rFont val="Calibri"/>
        <charset val="134"/>
        <scheme val="minor"/>
      </rPr>
      <t xml:space="preserve">Footing F-2 </t>
    </r>
    <r>
      <rPr>
        <sz val="12"/>
        <color theme="1"/>
        <rFont val="Calibri"/>
        <charset val="134"/>
        <scheme val="minor"/>
      </rPr>
      <t>(5x4.5)</t>
    </r>
  </si>
  <si>
    <r>
      <rPr>
        <b/>
        <sz val="12"/>
        <color theme="1"/>
        <rFont val="Calibri"/>
        <charset val="134"/>
        <scheme val="minor"/>
      </rPr>
      <t xml:space="preserve">Footing F-3 </t>
    </r>
    <r>
      <rPr>
        <sz val="12"/>
        <color theme="1"/>
        <rFont val="Calibri"/>
        <charset val="134"/>
        <scheme val="minor"/>
      </rPr>
      <t>(4x5)</t>
    </r>
  </si>
  <si>
    <r>
      <rPr>
        <b/>
        <sz val="12"/>
        <color theme="1"/>
        <rFont val="Calibri"/>
        <charset val="134"/>
        <scheme val="minor"/>
      </rPr>
      <t xml:space="preserve">Footing F-4 </t>
    </r>
    <r>
      <rPr>
        <sz val="12"/>
        <color theme="1"/>
        <rFont val="Calibri"/>
        <charset val="134"/>
        <scheme val="minor"/>
      </rPr>
      <t>(2.5x3)</t>
    </r>
  </si>
  <si>
    <t>Distribution Bar (#4@8"c/c)</t>
  </si>
  <si>
    <r>
      <rPr>
        <b/>
        <sz val="12"/>
        <color theme="1"/>
        <rFont val="Calibri"/>
        <charset val="134"/>
        <scheme val="minor"/>
      </rPr>
      <t xml:space="preserve">Footing F-5 </t>
    </r>
    <r>
      <rPr>
        <sz val="12"/>
        <color theme="1"/>
        <rFont val="Calibri"/>
        <charset val="134"/>
        <scheme val="minor"/>
      </rPr>
      <t>(2.5x2.5)</t>
    </r>
  </si>
  <si>
    <r>
      <rPr>
        <b/>
        <sz val="12"/>
        <color theme="1"/>
        <rFont val="Calibri"/>
        <charset val="134"/>
        <scheme val="minor"/>
      </rPr>
      <t xml:space="preserve">Footing F-6 </t>
    </r>
    <r>
      <rPr>
        <sz val="12"/>
        <color theme="1"/>
        <rFont val="Calibri"/>
        <charset val="134"/>
        <scheme val="minor"/>
      </rPr>
      <t>(4x4.5)</t>
    </r>
  </si>
  <si>
    <r>
      <rPr>
        <b/>
        <sz val="12"/>
        <color theme="1"/>
        <rFont val="Calibri"/>
        <charset val="134"/>
        <scheme val="minor"/>
      </rPr>
      <t xml:space="preserve">Footing F-7 </t>
    </r>
    <r>
      <rPr>
        <sz val="12"/>
        <color theme="1"/>
        <rFont val="Calibri"/>
        <charset val="134"/>
        <scheme val="minor"/>
      </rPr>
      <t>(2.5x2.5)</t>
    </r>
  </si>
  <si>
    <r>
      <rPr>
        <b/>
        <sz val="12"/>
        <color theme="1"/>
        <rFont val="Calibri"/>
        <charset val="134"/>
        <scheme val="minor"/>
      </rPr>
      <t xml:space="preserve">Footing CF-1 </t>
    </r>
    <r>
      <rPr>
        <sz val="12"/>
        <color theme="1"/>
        <rFont val="Calibri"/>
        <charset val="134"/>
        <scheme val="minor"/>
      </rPr>
      <t>(2.5x5.5)</t>
    </r>
  </si>
  <si>
    <t>Main Bar (#4@8"c/c)</t>
  </si>
  <si>
    <t>Total R/f in footings</t>
  </si>
  <si>
    <t>R/f in Column from Foundation till Plinth</t>
  </si>
  <si>
    <t>Column C-1</t>
  </si>
  <si>
    <t>Dowel Bars
5'+48(0.5)"
=7'</t>
  </si>
  <si>
    <t>Ties up to Plnth
(3 ft column below PB
and above footing +2 of PB
=5ft@8"
(Span/Spacing)+1=
9 levels</t>
  </si>
  <si>
    <t>Column C-2</t>
  </si>
  <si>
    <t>Column C-3</t>
  </si>
  <si>
    <t>Column C-4</t>
  </si>
  <si>
    <t>Column C-5</t>
  </si>
  <si>
    <t>Dowel Bars
5 +48(0.5)"
=7'</t>
  </si>
  <si>
    <t>Column C-6</t>
  </si>
  <si>
    <t>Ties up to Plnth
(3 ft column below PB
and above footing +2 of PB
=5ft@6"
(Span/Spacing)+1=
11 levels</t>
  </si>
  <si>
    <t>Column C-7</t>
  </si>
  <si>
    <t>Column C-8</t>
  </si>
  <si>
    <t xml:space="preserve">Total R/f </t>
  </si>
  <si>
    <t>R/f in Column from 
Plinth till first floor</t>
  </si>
  <si>
    <t>Dowel Bars
10'6" +48(0.5)"
=12.5'</t>
  </si>
  <si>
    <t xml:space="preserve">Ties up to first floor
(10'6"-6")
=10'@8
(Span/Spacing)+1
=16 levels
</t>
  </si>
  <si>
    <t>Dowel Bars
10'6" +12(0.5)"
=11'</t>
  </si>
  <si>
    <t xml:space="preserve">Ties up to first floor
(10'6"-6")
=10'@6
(Span/Spacing)+1
=21 levels
</t>
  </si>
  <si>
    <t>Dowel Bars
8 +12(0.5)"
=8.5'</t>
  </si>
  <si>
    <t xml:space="preserve">Ties up to first floor
(8')
=8'@8
(Span/Spacing)+1
=13 levels
</t>
  </si>
  <si>
    <t>R/f in Column from 
first floor till Roof</t>
  </si>
  <si>
    <t xml:space="preserve">Ties up to roof
(10'6"-6")
=10'@8
(Span/Spacing)+1
=16 levels
</t>
  </si>
  <si>
    <t xml:space="preserve">BAR BENDING SCHEDULE (BBS) </t>
  </si>
  <si>
    <t>Reinforcement in Tanks</t>
  </si>
  <si>
    <t>R/f in UGWT</t>
  </si>
  <si>
    <t>Bottom Main</t>
  </si>
  <si>
    <t>Bottom Distribution</t>
  </si>
  <si>
    <t>Top Main</t>
  </si>
  <si>
    <t>Top Distribution</t>
  </si>
  <si>
    <t>Corner Bars</t>
  </si>
  <si>
    <t>Along Short Wall</t>
  </si>
  <si>
    <t>Along Long Wall</t>
  </si>
  <si>
    <t>Total R/f in bottom slab</t>
  </si>
  <si>
    <t>Total R/f in top slab</t>
  </si>
  <si>
    <t>Long Walls</t>
  </si>
  <si>
    <t>Inner Main</t>
  </si>
  <si>
    <t>Inner Distribution</t>
  </si>
  <si>
    <t>Outer Main</t>
  </si>
  <si>
    <t>Outer Distribution</t>
  </si>
  <si>
    <t>Total R/f in long walls</t>
  </si>
  <si>
    <t>Short Walls</t>
  </si>
  <si>
    <t>Total R/f in short walls</t>
  </si>
  <si>
    <t>Chamber R/f</t>
  </si>
  <si>
    <t>Total R/f in chamber</t>
  </si>
  <si>
    <t>Total Reinforcement in UGWT</t>
  </si>
  <si>
    <t>R/f in OHWT</t>
  </si>
  <si>
    <t>Total in R/f bottom slab</t>
  </si>
  <si>
    <t>Total R/f in top  slab</t>
  </si>
  <si>
    <t>Corner Bar</t>
  </si>
  <si>
    <t>Total Reinforcement in OHWT</t>
  </si>
  <si>
    <t>Block Masonary</t>
  </si>
  <si>
    <t>GROUND FLOOR</t>
  </si>
  <si>
    <t>Deductions for openings</t>
  </si>
  <si>
    <t>D1</t>
  </si>
  <si>
    <t>D2</t>
  </si>
  <si>
    <t>D3 and D4</t>
  </si>
  <si>
    <t>D5</t>
  </si>
  <si>
    <t>D6 (Sliding)</t>
  </si>
  <si>
    <t>W1</t>
  </si>
  <si>
    <t>W2</t>
  </si>
  <si>
    <t>W3</t>
  </si>
  <si>
    <t>W4</t>
  </si>
  <si>
    <t>W5</t>
  </si>
  <si>
    <t>W6</t>
  </si>
  <si>
    <t>W7</t>
  </si>
  <si>
    <t>V1</t>
  </si>
  <si>
    <t>FIRST FLOOR</t>
  </si>
  <si>
    <t>Deductions for Openings</t>
  </si>
  <si>
    <t>D3</t>
  </si>
  <si>
    <t>D4(Sliding)</t>
  </si>
  <si>
    <t>BOUNDARY WALL</t>
  </si>
  <si>
    <t>Ground floor B.M =</t>
  </si>
  <si>
    <t>cft</t>
  </si>
  <si>
    <t>First floor B.M =</t>
  </si>
  <si>
    <t>Boundary wall=</t>
  </si>
  <si>
    <t>Total Block Masonry</t>
  </si>
  <si>
    <t>Number of Blocks = Volume of B.M*Mortar Deduction / Volume of 1 Block (6” x 9” x 12”)</t>
  </si>
  <si>
    <t>Number of Blocks =</t>
  </si>
  <si>
    <t>Blocks(Approx)</t>
  </si>
  <si>
    <t>MS (Measurement Sheet)</t>
  </si>
  <si>
    <t>Description Of Works</t>
  </si>
  <si>
    <t>Numbers</t>
  </si>
  <si>
    <t>Quantity (sft)</t>
  </si>
  <si>
    <t>Total Quantity (sft)</t>
  </si>
  <si>
    <t xml:space="preserve">Quantities for Plaster </t>
  </si>
  <si>
    <t>BOUNDARY WALLS</t>
  </si>
  <si>
    <t>LONG WALLS</t>
  </si>
  <si>
    <t>Longer side 01 (Left)</t>
  </si>
  <si>
    <t>-</t>
  </si>
  <si>
    <t>Longer side 01 (Right)</t>
  </si>
  <si>
    <t>SHORT WALLS</t>
  </si>
  <si>
    <t>Shorter side 01 (Back)</t>
  </si>
  <si>
    <t>Shorter side 02 (front)</t>
  </si>
  <si>
    <t>DEDUCTIONS OF BOUNDARY WALL</t>
  </si>
  <si>
    <t>Sliding Door</t>
  </si>
  <si>
    <t>Main Door</t>
  </si>
  <si>
    <t>Total Boundary Wall Plaster Area = 2220-140 = 2080 sft</t>
  </si>
  <si>
    <t>EXTERNAL PLASTER</t>
  </si>
  <si>
    <t>WALLS</t>
  </si>
  <si>
    <t>SUNSHADES</t>
  </si>
  <si>
    <t>2.2.1</t>
  </si>
  <si>
    <t>Long Wall 01 (left)</t>
  </si>
  <si>
    <t>for long side of W1</t>
  </si>
  <si>
    <t>for long side of D1</t>
  </si>
  <si>
    <t>for long side of W2</t>
  </si>
  <si>
    <t>for long side of D2</t>
  </si>
  <si>
    <t>for long side of D3</t>
  </si>
  <si>
    <t>for long side of W3</t>
  </si>
  <si>
    <t>for long side of V1</t>
  </si>
  <si>
    <t>for short side of W1</t>
  </si>
  <si>
    <t>for short side of D1</t>
  </si>
  <si>
    <t>for short side of W2</t>
  </si>
  <si>
    <t>for short side of D2</t>
  </si>
  <si>
    <t>for short side of D3</t>
  </si>
  <si>
    <t>for short side of W3</t>
  </si>
  <si>
    <t>for short side of V1</t>
  </si>
  <si>
    <t>2.2.2</t>
  </si>
  <si>
    <t>Long Wall 01 (Right)</t>
  </si>
  <si>
    <t>for long side of W4</t>
  </si>
  <si>
    <t>for short side of W4</t>
  </si>
  <si>
    <t>2.2.3</t>
  </si>
  <si>
    <t>Short Wall 01 (Front)</t>
  </si>
  <si>
    <t>2.2.4</t>
  </si>
  <si>
    <t>Short Wall 02 (Back)</t>
  </si>
  <si>
    <t>Total Area of Sunshades for Plaster = 182.668+191.652+124+60 =558.32 sft</t>
  </si>
  <si>
    <t>DEDUCTIONS</t>
  </si>
  <si>
    <t>2.3.1</t>
  </si>
  <si>
    <t>Long Wall 01 (Left)</t>
  </si>
  <si>
    <t>2.3.2</t>
  </si>
  <si>
    <t>Long Wall 02 (Right)</t>
  </si>
  <si>
    <t>2.3.3</t>
  </si>
  <si>
    <t>2.3.4</t>
  </si>
  <si>
    <t>Total Deductions = 139.168+121.664+92.5+35 = 388.332 sft</t>
  </si>
  <si>
    <t>Total External Plaster Area of Ground Floor = 2090+558.32-388.332 = 2259.988 sft</t>
  </si>
  <si>
    <t>INTERNAL PLASTER</t>
  </si>
  <si>
    <t>Drawing Room</t>
  </si>
  <si>
    <t>Ceiling</t>
  </si>
  <si>
    <t>Walls</t>
  </si>
  <si>
    <t>Powder Room</t>
  </si>
  <si>
    <t>Lounge/Dinning</t>
  </si>
  <si>
    <t>Bedroom 01</t>
  </si>
  <si>
    <t>Bath 01</t>
  </si>
  <si>
    <t>Dress 01</t>
  </si>
  <si>
    <t>Bedroom 02</t>
  </si>
  <si>
    <t>Bath 02</t>
  </si>
  <si>
    <t>Dress 02</t>
  </si>
  <si>
    <t>Bedroom 03</t>
  </si>
  <si>
    <t>Bath 03</t>
  </si>
  <si>
    <t>Dress 03</t>
  </si>
  <si>
    <t>D Kitchen</t>
  </si>
  <si>
    <t>Bath (Adjacent with D Kitchen)</t>
  </si>
  <si>
    <t>Kitchen</t>
  </si>
  <si>
    <t>Entrance/Lobby</t>
  </si>
  <si>
    <t>Stairs</t>
  </si>
  <si>
    <t>Passage Area</t>
  </si>
  <si>
    <t>TOTAL</t>
  </si>
  <si>
    <t>JAMB</t>
  </si>
  <si>
    <t>D4</t>
  </si>
  <si>
    <t>Bath (Adjecent to D kitchen)</t>
  </si>
  <si>
    <t>Total Internal Plaster Area of Ground Floor = 9576.5213+277.0413-694.4152=9159.14sft</t>
  </si>
  <si>
    <t>TOTAL PLASTER OF GROUND FLOOR</t>
  </si>
  <si>
    <t>Total Plaster = External plaster + Internal platser + Boundary Wall</t>
  </si>
  <si>
    <t>Total Plaster = 2259.988+9159.14+2080 = 13499.128 sft</t>
  </si>
  <si>
    <t>for long side of D1 (Servant Room)</t>
  </si>
  <si>
    <t>for long side of D2 (Servant Room)</t>
  </si>
  <si>
    <t>Total Area of Sunshades for Plaster = 164.668+191.652+116+60 =532.32 sft</t>
  </si>
  <si>
    <t>Total Deductions = 123.168+121.664+81.5+35 = 361.332 sft</t>
  </si>
  <si>
    <t>Total External Plaster Area of First Floor = 2090+532.35-361.332 = 2261.018 sft</t>
  </si>
  <si>
    <t>Servant Room 01</t>
  </si>
  <si>
    <t>Servant Room 02</t>
  </si>
  <si>
    <t>Total Internal Plaster Area of First Floor = 9453.5545+246.9583-631.7452=9068.7676sft</t>
  </si>
  <si>
    <t>Total Plaster = External plaster + Internal platser</t>
  </si>
  <si>
    <t>Total Plaster = 2261.018+9068.7676 = 11329.7856 sft</t>
  </si>
  <si>
    <t>TOTAL PLASTER</t>
  </si>
  <si>
    <t>Total Plaster = Total Plaster Area Of Boundary Walls +Total Plaster Area Of External Walls + Total Plaster Area Of Internal Walls</t>
  </si>
  <si>
    <t>Total Plaster = 2080+13499.128+11329.78856 = 26908.9136 sft</t>
  </si>
  <si>
    <t>Number of bag = (Area of Plaster x Thickness of Plaster (0.75” thick) x Plaster Ratio (1:6) x Wastage) / Volume of 1 Cement Bag</t>
  </si>
  <si>
    <t>Number of bag = (26908.9136 x (0.75/12) x (1/7) x 1.2) / 1.25</t>
  </si>
  <si>
    <t>Number of bag = 231 bags (@ 1200 Rupees/Bag)</t>
  </si>
  <si>
    <t>Total Amount of bags = 2,77,200 Rupees</t>
  </si>
  <si>
    <t>Flooring And Marble</t>
  </si>
  <si>
    <t>Quantities For Marble Flooring</t>
  </si>
  <si>
    <t>Floor</t>
  </si>
  <si>
    <t xml:space="preserve">Skirting (4” depth) </t>
  </si>
  <si>
    <t>Bedroom 1</t>
  </si>
  <si>
    <t>Bedroom 2</t>
  </si>
  <si>
    <t>Entrance Lobby</t>
  </si>
  <si>
    <t>Parking Area</t>
  </si>
  <si>
    <t>Door's Bottom</t>
  </si>
  <si>
    <t>Deductions for Marble Skirting</t>
  </si>
  <si>
    <t>Steps</t>
  </si>
  <si>
    <t>Step</t>
  </si>
  <si>
    <t>Risers</t>
  </si>
  <si>
    <t>Total Floor Marble Area:</t>
  </si>
  <si>
    <t>sft</t>
  </si>
  <si>
    <t>Skirting Area:</t>
  </si>
  <si>
    <t>Total Skirting Area:</t>
  </si>
  <si>
    <t>Steps Area:</t>
  </si>
  <si>
    <t>Quantities for Bathroom Tiles for 8” x 8” Tiles</t>
  </si>
  <si>
    <t>Bathroom 01</t>
  </si>
  <si>
    <t>Floor Area</t>
  </si>
  <si>
    <t>Deduction For D4</t>
  </si>
  <si>
    <t>Total Tiles Area</t>
  </si>
  <si>
    <t>No of tiles = Floor Area/ Tile Area</t>
  </si>
  <si>
    <t xml:space="preserve">No of tiles = </t>
  </si>
  <si>
    <t>Tiles Approx.</t>
  </si>
  <si>
    <t>Bathroom 02</t>
  </si>
  <si>
    <t>Bathroom 03</t>
  </si>
  <si>
    <t>Bathroom 04</t>
  </si>
  <si>
    <t>Servant</t>
  </si>
  <si>
    <t>Room with Servant</t>
  </si>
  <si>
    <t>Terrace</t>
  </si>
  <si>
    <t>R/f in Slabs</t>
  </si>
  <si>
    <t>Two Side Continous Slab</t>
  </si>
  <si>
    <t>Long Side bar 
(6.5+0.5-0.083-0.083)
=6.834@8"c/c
(Span/Spacing)+1
=12 Bar</t>
  </si>
  <si>
    <t>Top Extra Long Side Bar 
(6.5+0.5-0.083-0.083)
=6.834@8"c/c
(Span/Spacing)+1
=12 Bar</t>
  </si>
  <si>
    <t>Top Extra Short Side Bar
(13.5+0.5-0.083-0.083)
=13.384@8"c/c
(Span/Spacing)+1
=21 Bar</t>
  </si>
  <si>
    <t>Total R/f  per sqft</t>
  </si>
  <si>
    <t>Bathroom and Dressing (13x6)</t>
  </si>
  <si>
    <t>Bath and Dressing (13.5x6)</t>
  </si>
  <si>
    <t>Drawing (15.5x16)</t>
  </si>
  <si>
    <t>Powder (7.167x4)</t>
  </si>
  <si>
    <t>Three Side Continous Slab</t>
  </si>
  <si>
    <t>Bath  (5x6)</t>
  </si>
  <si>
    <t>Bed Room (15x13)</t>
  </si>
  <si>
    <t>Short Side bar 
(15.5+0.5-0.083-0.083)
=15.834@8"c/c
(Span/Spacing)+1
=25</t>
  </si>
  <si>
    <t>Kitchen (12x8)</t>
  </si>
  <si>
    <t>Kitchen (10.75x13.5)</t>
  </si>
  <si>
    <t>Entrance Lobby (14.5x9.5)</t>
  </si>
  <si>
    <t>Lounge/Dinning (22x17)</t>
  </si>
  <si>
    <t>Bed Room (16x13)</t>
  </si>
  <si>
    <t>Bed Room (14x15)</t>
  </si>
  <si>
    <t>Bath and Dressing (6x16)</t>
  </si>
  <si>
    <t>Four Side Continous Slab</t>
  </si>
  <si>
    <t>Passage (5x20)</t>
  </si>
  <si>
    <t>Long Side bar 
(5.5+0.5-0.083-0.083)
=5.834@8"c/c
(Span/Spacing)+1
=10 Bar</t>
  </si>
  <si>
    <t>Short Side bar 
(20+0.5-0.083-0.083)
=20.334@8"c/c
(Span/Spacing)+1
=32 Bars</t>
  </si>
  <si>
    <t>Top Extra Long Side bar 
(5.5+0.5-0.083-0.083)
=5.834@8"c/c
(Span/Spacing)+1
=10 Bar</t>
  </si>
  <si>
    <t>Top Extra Short Side bar 
(20+0.5-0.083-0.083)
=20.334@8"c/c
(Span/Spacing)+1
=32 Bars</t>
  </si>
  <si>
    <t>Top Extra  Short Side bar 
(15.5+0.5-0.083-0.083)
=15.834@8"c/c
(Span/Spacing)+1
=25</t>
  </si>
  <si>
    <t>Short Side Bar
(13.5+0.5-0.083-0.083)
=13.384@8"c/c
(Span/Spacing)+1
=21 Bar</t>
  </si>
  <si>
    <t>Total R/f  in Four Sided Slabs</t>
  </si>
  <si>
    <t>Total R/f  in Three Sided Slabs</t>
  </si>
  <si>
    <t>First Floor Slab
(Ground floor R/f + Terrace Slab)</t>
  </si>
  <si>
    <t>Terrace (Two Side Continous 11.5x14.5)
=R/f per sqft * Area</t>
  </si>
  <si>
    <t>Total R/f  in Roof Slab</t>
  </si>
  <si>
    <t>Total R/f  in Two Sided Slabs</t>
  </si>
  <si>
    <t>Total R/f in First floor Slab</t>
  </si>
  <si>
    <t>Total Reinforcement in Slab</t>
  </si>
  <si>
    <t>Waist Slab 01</t>
  </si>
  <si>
    <t>Staircase Reinforcement Calculation (MKS)</t>
  </si>
  <si>
    <t>D^2/162</t>
  </si>
  <si>
    <t>Nos</t>
  </si>
  <si>
    <t>Dia</t>
  </si>
  <si>
    <t>SL</t>
  </si>
  <si>
    <t>HL</t>
  </si>
  <si>
    <t>TL</t>
  </si>
  <si>
    <t>X Bar 8mm @100mm</t>
  </si>
  <si>
    <t>Y bar 8mm @100mm</t>
  </si>
  <si>
    <t>Waist Slab 03</t>
  </si>
  <si>
    <t>Waist Slab 04</t>
  </si>
  <si>
    <t>Waist Slab 02</t>
  </si>
  <si>
    <t>Landing 02</t>
  </si>
  <si>
    <t>Y Bar 8mm @100mm</t>
  </si>
  <si>
    <t>Landing 01</t>
  </si>
  <si>
    <t>L Type Bars for Stairs</t>
  </si>
  <si>
    <t>Total Reinforcement  in Staircase</t>
  </si>
  <si>
    <t>Kg</t>
  </si>
  <si>
    <t>Tonnes</t>
  </si>
  <si>
    <t>Concrete for Staircase</t>
  </si>
  <si>
    <t>Landing Slab</t>
  </si>
  <si>
    <t>Waist Slab 
(sqrt(13^2+5^2)) = 13.928</t>
  </si>
  <si>
    <t>Steps 
(Triangle Area * Length ) 
Riser 6", Tread 1.5'</t>
  </si>
  <si>
    <t>Total Concrete in Stairs</t>
  </si>
  <si>
    <t>Long Walls(including beams)</t>
  </si>
  <si>
    <t>V1(2'-0"x1'-6")</t>
  </si>
  <si>
    <t>3.3.1</t>
  </si>
  <si>
    <t>Ventilators</t>
  </si>
  <si>
    <t>W5(4'-0"x4'-0")</t>
  </si>
  <si>
    <t>3.2.5</t>
  </si>
  <si>
    <t>W4(9'-6"x4'-0")</t>
  </si>
  <si>
    <t>3.2.4</t>
  </si>
  <si>
    <t>W3(5'-0"x4'-0")</t>
  </si>
  <si>
    <t>3.2.3</t>
  </si>
  <si>
    <t>W2(8'-0"x4'-0")</t>
  </si>
  <si>
    <t>3.2.2</t>
  </si>
  <si>
    <t>W1(10'-0"x4'-0")</t>
  </si>
  <si>
    <t>3.2.1</t>
  </si>
  <si>
    <t>Windows</t>
  </si>
  <si>
    <t>Sliding Door(9'-6"x7'-0")</t>
  </si>
  <si>
    <t>3.1.5</t>
  </si>
  <si>
    <t>D4(2'-6"x7'-0")</t>
  </si>
  <si>
    <t>3.1.4</t>
  </si>
  <si>
    <t>D3(3'-0"x7'-0")</t>
  </si>
  <si>
    <t>3.1.3</t>
  </si>
  <si>
    <t>D2(3-6"x 7'-0")</t>
  </si>
  <si>
    <t>3.1.2</t>
  </si>
  <si>
    <t>D1(4'-6"x 7'-0")</t>
  </si>
  <si>
    <t>3.1.1</t>
  </si>
  <si>
    <t>Doors</t>
  </si>
  <si>
    <t>rft</t>
  </si>
  <si>
    <t>Bedding</t>
  </si>
  <si>
    <t>Steel Panel ( Double)</t>
  </si>
  <si>
    <t>2.4.2</t>
  </si>
  <si>
    <t>Steel Panel ( Single)</t>
  </si>
  <si>
    <t>2.4.1</t>
  </si>
  <si>
    <t>Main Gate</t>
  </si>
  <si>
    <t>2.2.5</t>
  </si>
  <si>
    <t>2.1.5</t>
  </si>
  <si>
    <t>2.1.4</t>
  </si>
  <si>
    <t>2.1.3</t>
  </si>
  <si>
    <t>2.1.2</t>
  </si>
  <si>
    <t>2.1.1</t>
  </si>
  <si>
    <t>Door Panels</t>
  </si>
  <si>
    <t>1.1.3</t>
  </si>
  <si>
    <t>1.2.5</t>
  </si>
  <si>
    <t>1.2.4</t>
  </si>
  <si>
    <t>1.2.3</t>
  </si>
  <si>
    <t>1.2.2</t>
  </si>
  <si>
    <t>1.2.1</t>
  </si>
  <si>
    <t>1.1.5</t>
  </si>
  <si>
    <t>1.1.4</t>
  </si>
  <si>
    <t>1.1.2</t>
  </si>
  <si>
    <t>1.1.1</t>
  </si>
  <si>
    <t>Wooden Frame</t>
  </si>
  <si>
    <t>Total Quantity (rft)</t>
  </si>
  <si>
    <t>Quantity (rft)</t>
  </si>
  <si>
    <t>Reinforcement in Plinth Beams</t>
  </si>
  <si>
    <t>Boundry Wall</t>
  </si>
  <si>
    <t>PB-01 6"x24" Short Wall upside</t>
  </si>
  <si>
    <t>Bottom Through</t>
  </si>
  <si>
    <t>Bottom Extra</t>
  </si>
  <si>
    <t xml:space="preserve">Top Through </t>
  </si>
  <si>
    <t>Top Extra</t>
  </si>
  <si>
    <t>Stirrups</t>
  </si>
  <si>
    <t>PB-01(External Wall)6"x24" long Wall right side</t>
  </si>
  <si>
    <t>PB-01(External Wall)6"x24" Short  Wall Down side</t>
  </si>
  <si>
    <t>PB-01(External Wall)6"x24" long Wall left side</t>
  </si>
  <si>
    <t>Beam(PB-04) Between Them in Boundry Wall Left Side in long way</t>
  </si>
  <si>
    <t>External Wall</t>
  </si>
  <si>
    <t>PB-01 6"x24" At External Wall are 11(Simply Supported)</t>
  </si>
  <si>
    <t>PB-02 6"x24" At External Wall are 2(Simply Supported)</t>
  </si>
  <si>
    <t>PB-03 6"x24" At External Wall are 1(Simply Supported)</t>
  </si>
  <si>
    <t>PB-05 6"x24" At External Wall are 2(continuous)</t>
  </si>
  <si>
    <t>Internal Wall</t>
  </si>
  <si>
    <t>PB-03 6"x24" At internal  Wall are 9 (Simply supported)</t>
  </si>
  <si>
    <t>1.1.10</t>
  </si>
  <si>
    <t>PB-02 6"x24" At internal  Wall are 15 (Simply supported)</t>
  </si>
  <si>
    <t>1.1.11</t>
  </si>
  <si>
    <t>PB-06  8"x24" At internal  Wall are 3(Simply supported)</t>
  </si>
  <si>
    <t>Total Reinforcement in All Plinth Beams</t>
  </si>
  <si>
    <t>CB-11a 18"X6"</t>
  </si>
  <si>
    <t>1.1.23</t>
  </si>
  <si>
    <t xml:space="preserve">FB-11a 6"X30" </t>
  </si>
  <si>
    <t>1.1.22</t>
  </si>
  <si>
    <t xml:space="preserve">FB-1a 4"X30" </t>
  </si>
  <si>
    <t>1.1.21</t>
  </si>
  <si>
    <t xml:space="preserve">FB-29 8"X24" </t>
  </si>
  <si>
    <t>1.1.20</t>
  </si>
  <si>
    <t>Top Extra curtailed</t>
  </si>
  <si>
    <t>FROM G10  TO G13</t>
  </si>
  <si>
    <t>FROM G8  TO G10</t>
  </si>
  <si>
    <t xml:space="preserve">FB-28 6"X30" </t>
  </si>
  <si>
    <t>1.1.19</t>
  </si>
  <si>
    <t xml:space="preserve">FB-27 6"X30" </t>
  </si>
  <si>
    <t>1.1.18</t>
  </si>
  <si>
    <t xml:space="preserve">FB-26 6"X30" </t>
  </si>
  <si>
    <t>1.1.17</t>
  </si>
  <si>
    <t>FROM G6 TO G8</t>
  </si>
  <si>
    <t xml:space="preserve">FB-25 6"X30" </t>
  </si>
  <si>
    <t>1.1.16</t>
  </si>
  <si>
    <t>FROM G12 TO G13</t>
  </si>
  <si>
    <t>FROM G10 TO G12</t>
  </si>
  <si>
    <t xml:space="preserve">FB-24 6"X30" </t>
  </si>
  <si>
    <t>1.1.15</t>
  </si>
  <si>
    <t>FROM G9 TO G12</t>
  </si>
  <si>
    <t xml:space="preserve">FB-23 6"X30" </t>
  </si>
  <si>
    <t>FROM G3 TO G6</t>
  </si>
  <si>
    <t xml:space="preserve">FB-22 6"X30" </t>
  </si>
  <si>
    <t>1.1.14</t>
  </si>
  <si>
    <t xml:space="preserve">FB-21 6"X30" </t>
  </si>
  <si>
    <t>1.1.13</t>
  </si>
  <si>
    <t xml:space="preserve">FB-20 6"X18" </t>
  </si>
  <si>
    <t>1.1.12</t>
  </si>
  <si>
    <t>G2 TO G4</t>
  </si>
  <si>
    <t>FB-19 6"X30"</t>
  </si>
  <si>
    <t>G1 TO G2</t>
  </si>
  <si>
    <t>FB-18 6"X15"</t>
  </si>
  <si>
    <t>G6 TO G8</t>
  </si>
  <si>
    <t>G4 TO G6</t>
  </si>
  <si>
    <t xml:space="preserve">FB-17 6"X30" </t>
  </si>
  <si>
    <t>1.1.9</t>
  </si>
  <si>
    <t>G9 TO G11</t>
  </si>
  <si>
    <t>G8 TO 9</t>
  </si>
  <si>
    <t xml:space="preserve">FB-16 6"X30" </t>
  </si>
  <si>
    <t>1.1.8</t>
  </si>
  <si>
    <t>FROM BOUNDRY  TO GG</t>
  </si>
  <si>
    <t xml:space="preserve">FB-15 6"X30" </t>
  </si>
  <si>
    <t>1.1.7</t>
  </si>
  <si>
    <t>FROM GG TO GJ</t>
  </si>
  <si>
    <t xml:space="preserve">FB-14 6"X30" </t>
  </si>
  <si>
    <t>1.1.6</t>
  </si>
  <si>
    <t xml:space="preserve">FB-13 6"X30" </t>
  </si>
  <si>
    <t xml:space="preserve">FB-12 6"X30" </t>
  </si>
  <si>
    <t xml:space="preserve">FB-10 6"X30" </t>
  </si>
  <si>
    <t>FB-09 6"X30" GH to GP</t>
  </si>
  <si>
    <t>FB-08 6"X30" GA to GF on G8</t>
  </si>
  <si>
    <t>FB-07 6"X30" GH to GP</t>
  </si>
  <si>
    <t xml:space="preserve">FB-06 6"X30" </t>
  </si>
  <si>
    <t>Top  Extra Curtailed</t>
  </si>
  <si>
    <t>FB-04  6"X15"   GF to GP</t>
  </si>
  <si>
    <t>FB-03 6"X15"   GM to GP</t>
  </si>
  <si>
    <t>FB-02 6"X30" GA TO  GF on G2</t>
  </si>
  <si>
    <t>FB-01 6"X30" GN TO GP</t>
  </si>
  <si>
    <t>FB-01 6"X30" GF TO GM</t>
  </si>
  <si>
    <t>FB-01 6"X30" GC TO GF</t>
  </si>
  <si>
    <t>FB-01 6"X30" GA TO GB on G1</t>
  </si>
  <si>
    <t xml:space="preserve">First Floor Beam R/f </t>
  </si>
  <si>
    <t>per cft</t>
  </si>
  <si>
    <t>Rate per cft</t>
  </si>
  <si>
    <t>Rs.</t>
  </si>
  <si>
    <t xml:space="preserve">Total Price = </t>
  </si>
  <si>
    <t>Profit 10%</t>
  </si>
  <si>
    <t>Overheads 5%</t>
  </si>
  <si>
    <t xml:space="preserve">Total Resource Cost = </t>
  </si>
  <si>
    <t xml:space="preserve">Total Equipment Cost = </t>
  </si>
  <si>
    <t>Rs.1500/day</t>
  </si>
  <si>
    <t>Lump Sum</t>
  </si>
  <si>
    <t>Tools</t>
  </si>
  <si>
    <t>Rs.65/sft</t>
  </si>
  <si>
    <t>7572.33 sft</t>
  </si>
  <si>
    <t>Shuttering for Roof</t>
  </si>
  <si>
    <t>Rs.70/sft</t>
  </si>
  <si>
    <t>24231.456 sft</t>
  </si>
  <si>
    <t>Shuttering for Columns</t>
  </si>
  <si>
    <t>Rs.55/sft</t>
  </si>
  <si>
    <t>42405.048 sft</t>
  </si>
  <si>
    <t>Shuttering for Beam</t>
  </si>
  <si>
    <t>3-Equipment Cost</t>
  </si>
  <si>
    <t>Total Labor Cost =</t>
  </si>
  <si>
    <t>Rs.1000/day</t>
  </si>
  <si>
    <t>Unskilled</t>
  </si>
  <si>
    <t>Rs.2000/day</t>
  </si>
  <si>
    <t>Skilled</t>
  </si>
  <si>
    <t>2-Labor Cost</t>
  </si>
  <si>
    <t>Total Material Cost =</t>
  </si>
  <si>
    <t xml:space="preserve">Water </t>
  </si>
  <si>
    <t>Rs.1560/1000 gallons</t>
  </si>
  <si>
    <t>4975.193 gallons</t>
  </si>
  <si>
    <t>Coarse Aggregate</t>
  </si>
  <si>
    <t>Rs 55/cft</t>
  </si>
  <si>
    <t>5365.53 cft</t>
  </si>
  <si>
    <t>Fine Aggregate</t>
  </si>
  <si>
    <t>Rs.30/cft</t>
  </si>
  <si>
    <t>2682.76 cft</t>
  </si>
  <si>
    <t>Cement</t>
  </si>
  <si>
    <t>Rs.1300/bag</t>
  </si>
  <si>
    <t>1074 bags</t>
  </si>
  <si>
    <t>1-Material</t>
  </si>
  <si>
    <t>COST</t>
  </si>
  <si>
    <t>RATE</t>
  </si>
  <si>
    <t>QUANTITY</t>
  </si>
  <si>
    <t>ITEM</t>
  </si>
  <si>
    <t>days</t>
  </si>
  <si>
    <t xml:space="preserve">Duration = </t>
  </si>
  <si>
    <t>8 hours  a day</t>
  </si>
  <si>
    <t>hrs</t>
  </si>
  <si>
    <t xml:space="preserve">Labor hours = </t>
  </si>
  <si>
    <t>Productivity = Labours hour/unit</t>
  </si>
  <si>
    <t>ACTIVITY DURATION AND LABOR REQUIREMENT</t>
  </si>
  <si>
    <t>Rs./sft</t>
  </si>
  <si>
    <t>Shuttering rate per sft</t>
  </si>
  <si>
    <t>Shuttering(sft)</t>
  </si>
  <si>
    <t>FOR WALLS</t>
  </si>
  <si>
    <t>FOR ROOF</t>
  </si>
  <si>
    <t>FOR UGWT</t>
  </si>
  <si>
    <t>FOR COLUMNS</t>
  </si>
  <si>
    <t>FOR FOOTINGS</t>
  </si>
  <si>
    <t>FOR BEAMS</t>
  </si>
  <si>
    <t>FORMWORK/SHUTTERING AREA</t>
  </si>
  <si>
    <t>Gallons</t>
  </si>
  <si>
    <t xml:space="preserve">Volume Of Water = </t>
  </si>
  <si>
    <t>US gallons</t>
  </si>
  <si>
    <t xml:space="preserve">1 cft = </t>
  </si>
  <si>
    <t>Water</t>
  </si>
  <si>
    <t>Coarse Aggregates =</t>
  </si>
  <si>
    <t>Fine Aggregates =</t>
  </si>
  <si>
    <t>AGGREGATES:</t>
  </si>
  <si>
    <t>Bags</t>
  </si>
  <si>
    <t xml:space="preserve">No. of bags = </t>
  </si>
  <si>
    <t>Volume of 1 bag =</t>
  </si>
  <si>
    <t>Cement =</t>
  </si>
  <si>
    <t>cft(Dry Volume)</t>
  </si>
  <si>
    <t>Volume =</t>
  </si>
  <si>
    <t>cft(Wet Volume)</t>
  </si>
  <si>
    <t>CEMENT BAGS:</t>
  </si>
  <si>
    <t>RATE ANALYSIS FOR 1:2:4 CONCRETE(SUPER-STUCTURE)</t>
  </si>
  <si>
    <t>Total price for 1465.57 cft</t>
  </si>
  <si>
    <t>Profit</t>
  </si>
  <si>
    <t>Overheads</t>
  </si>
  <si>
    <t>Total Resource Cost =</t>
  </si>
  <si>
    <t>Total Euipment Cost=</t>
  </si>
  <si>
    <t>1500/day</t>
  </si>
  <si>
    <t xml:space="preserve">Tools </t>
  </si>
  <si>
    <t>Rs.60/sft</t>
  </si>
  <si>
    <t>732.785 sft</t>
  </si>
  <si>
    <t>Shuttering</t>
  </si>
  <si>
    <t>1203.64 gallons</t>
  </si>
  <si>
    <t>1298.076 cft</t>
  </si>
  <si>
    <t>649.038 cft</t>
  </si>
  <si>
    <t>260 bags</t>
  </si>
  <si>
    <t>Rs/sft</t>
  </si>
  <si>
    <t>Shuttering rate per sft =</t>
  </si>
  <si>
    <t>Shuttering(sft) =</t>
  </si>
  <si>
    <t>Profit Margin</t>
  </si>
  <si>
    <t>2 Skilled Labors,4 Unskilled Labors</t>
  </si>
  <si>
    <t>Crew</t>
  </si>
  <si>
    <t>Unskilled Labor</t>
  </si>
  <si>
    <t>Skilled Labor</t>
  </si>
  <si>
    <t>0.8 lhr/cyd</t>
  </si>
  <si>
    <t>Labor Productivity</t>
  </si>
  <si>
    <t>w/c ratio</t>
  </si>
  <si>
    <t>Water Tanker</t>
  </si>
  <si>
    <t>Fine aggregate</t>
  </si>
  <si>
    <t>Rs.55/cft</t>
  </si>
  <si>
    <t>Coarse aggregate</t>
  </si>
  <si>
    <t>MATERIAL</t>
  </si>
  <si>
    <t>DATA:</t>
  </si>
  <si>
    <t>RATE ANALYSIS FOR 1:3:6 Situ (SUB-STUCTURE)</t>
  </si>
  <si>
    <t>RATE ANALYSIS FOR 1:2:4 CONCRETE(SUB-STUCTURE)</t>
  </si>
  <si>
    <t xml:space="preserve">Price = </t>
  </si>
  <si>
    <t>sq.ft</t>
  </si>
  <si>
    <t xml:space="preserve">Plot Area = </t>
  </si>
  <si>
    <t>Total Price For Site Developnment =</t>
  </si>
  <si>
    <t>Rs</t>
  </si>
  <si>
    <t>Profit Magins 10%</t>
  </si>
  <si>
    <t xml:space="preserve">Total Cost = </t>
  </si>
  <si>
    <t>Rs./day</t>
  </si>
  <si>
    <t>Helper</t>
  </si>
  <si>
    <t>Skilled Surveyor</t>
  </si>
  <si>
    <t>Survey</t>
  </si>
  <si>
    <t xml:space="preserve">Transportation to dump material away from site = </t>
  </si>
  <si>
    <t>Total equipment cost</t>
  </si>
  <si>
    <t>Fuel + Others</t>
  </si>
  <si>
    <t>Manual Tools</t>
  </si>
  <si>
    <t>Machinery</t>
  </si>
  <si>
    <t xml:space="preserve">Equipment Cost </t>
  </si>
  <si>
    <t>Cost</t>
  </si>
  <si>
    <t>per day</t>
  </si>
  <si>
    <t>Rate</t>
  </si>
  <si>
    <t>Labors(Unskilled)</t>
  </si>
  <si>
    <t>Site Clearance</t>
  </si>
  <si>
    <t>RATE ANALYSIS FOR SITE DEVELOPNMENT</t>
  </si>
  <si>
    <t>Price For Excavation for Footing and UGWT =</t>
  </si>
  <si>
    <t>Excavation for footing and UGWT =</t>
  </si>
  <si>
    <t>Rs./cft</t>
  </si>
  <si>
    <t>Total Rate per cft</t>
  </si>
  <si>
    <t>Overheads+profit</t>
  </si>
  <si>
    <t>Equipment</t>
  </si>
  <si>
    <t>Labor</t>
  </si>
  <si>
    <t>Rate(Rs./cft)</t>
  </si>
  <si>
    <t>Item</t>
  </si>
  <si>
    <t>Rs.1.095</t>
  </si>
  <si>
    <t>Profit =</t>
  </si>
  <si>
    <t xml:space="preserve">Overheads = </t>
  </si>
  <si>
    <t>Overheads and Profits</t>
  </si>
  <si>
    <t>0.5/cft</t>
  </si>
  <si>
    <t>Lump Sum =</t>
  </si>
  <si>
    <t>Shovels, buckets, wheelbarrows, etc</t>
  </si>
  <si>
    <t>Equipment Cost</t>
  </si>
  <si>
    <t>Rs.6.80/cft</t>
  </si>
  <si>
    <t xml:space="preserve">Labor Cost per cft = Rs. 6,800 / 1,000 = </t>
  </si>
  <si>
    <t>Output/Day = 1,000 cft</t>
  </si>
  <si>
    <t>Rs.6800</t>
  </si>
  <si>
    <t>Rate(Rs/day)</t>
  </si>
  <si>
    <t>Quantity</t>
  </si>
  <si>
    <t>Labor Cost Calculation</t>
  </si>
  <si>
    <t>cft/day</t>
  </si>
  <si>
    <t>5 Laborer =</t>
  </si>
  <si>
    <t xml:space="preserve">1 Laborer = </t>
  </si>
  <si>
    <t>Productivity Assumptions</t>
  </si>
  <si>
    <t>5(Laborers)</t>
  </si>
  <si>
    <t>1(Supervison/Mistri</t>
  </si>
  <si>
    <t>Crew Size</t>
  </si>
  <si>
    <t>RATE ANALYSIS FOR EXCAVATION FOR FOUNDATION AND UGWT (MANUAL)</t>
  </si>
  <si>
    <t xml:space="preserve">Total Price of imported earth fill = </t>
  </si>
  <si>
    <t>Profit Margins 10%</t>
  </si>
  <si>
    <t xml:space="preserve">Total Cost of imported earth fill = </t>
  </si>
  <si>
    <t>Rs./ day</t>
  </si>
  <si>
    <t>Compactor</t>
  </si>
  <si>
    <t xml:space="preserve">Total Labor Cost = </t>
  </si>
  <si>
    <t>Rs/day</t>
  </si>
  <si>
    <t>Unskilled labor</t>
  </si>
  <si>
    <t>Labor Cost</t>
  </si>
  <si>
    <t xml:space="preserve">Total Material Cost = </t>
  </si>
  <si>
    <t>Total Rate/cft</t>
  </si>
  <si>
    <t>Spreading,water,compaction</t>
  </si>
  <si>
    <t>Transportation</t>
  </si>
  <si>
    <t>Loading</t>
  </si>
  <si>
    <t>Borrow earth(Excavated)</t>
  </si>
  <si>
    <t>Taking 20% of backfill Soil to buy while rest will be covered using excavated soil</t>
  </si>
  <si>
    <t>Backfill of Soil =</t>
  </si>
  <si>
    <t>RATE ANALYSIS FOR IMPORTED EARTH FILL</t>
  </si>
  <si>
    <t xml:space="preserve">Total Price for Termite Proofing = </t>
  </si>
  <si>
    <t>65% of plot area =</t>
  </si>
  <si>
    <t>For Quantity</t>
  </si>
  <si>
    <t xml:space="preserve">Total Rate = </t>
  </si>
  <si>
    <t>Profit (15%)</t>
  </si>
  <si>
    <t>Over Heads +</t>
  </si>
  <si>
    <t>Rs./ sft</t>
  </si>
  <si>
    <t>Skilled sprayer</t>
  </si>
  <si>
    <t>Cost/sft</t>
  </si>
  <si>
    <t>Productivity sft/day</t>
  </si>
  <si>
    <t>Rate/day</t>
  </si>
  <si>
    <t>Type</t>
  </si>
  <si>
    <t>500/liters</t>
  </si>
  <si>
    <t>0.1 liters</t>
  </si>
  <si>
    <t>Termicitide</t>
  </si>
  <si>
    <t>Rate(Rs.)</t>
  </si>
  <si>
    <t>Quantity per sft</t>
  </si>
  <si>
    <t>Material</t>
  </si>
  <si>
    <t>RATE ANALYSIS FOR TERMITE PROOFING</t>
  </si>
  <si>
    <t>Material Cost</t>
  </si>
  <si>
    <t xml:space="preserve">Total Price For Block Masonry = </t>
  </si>
  <si>
    <t>Profit Margin (10%)</t>
  </si>
  <si>
    <t>Overheads (5%)</t>
  </si>
  <si>
    <t xml:space="preserve">Total Cost For Block Masonry = </t>
  </si>
  <si>
    <t>Blocks</t>
  </si>
  <si>
    <t xml:space="preserve">No. of Blocks = </t>
  </si>
  <si>
    <t>Rs/Block</t>
  </si>
  <si>
    <t>Tools,Water,Curing,Scaffolding</t>
  </si>
  <si>
    <t xml:space="preserve">Labor Cost = </t>
  </si>
  <si>
    <t>Blocks/day</t>
  </si>
  <si>
    <t xml:space="preserve">Mason Lays = </t>
  </si>
  <si>
    <t>Unskilled Labor(Helper)</t>
  </si>
  <si>
    <t>Skilled Labor(Mason)</t>
  </si>
  <si>
    <t>Labor Cost Per Block</t>
  </si>
  <si>
    <t>Sand</t>
  </si>
  <si>
    <t>Rs.45/Block</t>
  </si>
  <si>
    <t>Block</t>
  </si>
  <si>
    <t>Cost/Block Rs.</t>
  </si>
  <si>
    <t>Qty/Block</t>
  </si>
  <si>
    <t>cft/block</t>
  </si>
  <si>
    <t xml:space="preserve">Sand = </t>
  </si>
  <si>
    <t>bags/block</t>
  </si>
  <si>
    <t xml:space="preserve">Cement bags = </t>
  </si>
  <si>
    <t xml:space="preserve">Cement Bags = </t>
  </si>
  <si>
    <t xml:space="preserve">Mortal Dry Volume = </t>
  </si>
  <si>
    <t>cft/Block</t>
  </si>
  <si>
    <t>Mortar volume per block (with 10 mm joints &amp; waste) =</t>
  </si>
  <si>
    <t>cft (6"x9"x12")</t>
  </si>
  <si>
    <t xml:space="preserve">1 block volume = </t>
  </si>
  <si>
    <t>(cement:sand)</t>
  </si>
  <si>
    <t>Mortar Mix =</t>
  </si>
  <si>
    <t>Material Cost per Block</t>
  </si>
  <si>
    <t>RATE ANALYSIS FOR BLOCK MASONRY</t>
  </si>
  <si>
    <t>Total Price Of Plaster =</t>
  </si>
  <si>
    <t>Overheads  5%</t>
  </si>
  <si>
    <t>Total Cost Of Plaster =</t>
  </si>
  <si>
    <t xml:space="preserve">Lump Sum = </t>
  </si>
  <si>
    <t>Tools, Curing, Water, Scaffolding</t>
  </si>
  <si>
    <t>Days</t>
  </si>
  <si>
    <t xml:space="preserve">Workdays = </t>
  </si>
  <si>
    <t xml:space="preserve">Total Plaster = </t>
  </si>
  <si>
    <t>2 mason + 2 helper plaster = 200 SFT/day</t>
  </si>
  <si>
    <t>1 mason + 1 helper plaster = 100 SFT/day</t>
  </si>
  <si>
    <t>Unskilled (Helper)</t>
  </si>
  <si>
    <t xml:space="preserve">Skilled( Mason) </t>
  </si>
  <si>
    <t>Rs.70/cft</t>
  </si>
  <si>
    <t>1732.5 cft</t>
  </si>
  <si>
    <t>Rs.1200/Bag</t>
  </si>
  <si>
    <t>231 bags</t>
  </si>
  <si>
    <t>cft of sand</t>
  </si>
  <si>
    <t xml:space="preserve">For 231 Bags = </t>
  </si>
  <si>
    <t xml:space="preserve">For every 1 bag of cement, sand needed = </t>
  </si>
  <si>
    <t>Plaster Mix =</t>
  </si>
  <si>
    <t xml:space="preserve">No. of Cement Bags = </t>
  </si>
  <si>
    <t>Material Required</t>
  </si>
  <si>
    <t>RATE ANALYSIS FOR PLASTER</t>
  </si>
  <si>
    <t xml:space="preserve">Total Price For Marble Flooring = </t>
  </si>
  <si>
    <t xml:space="preserve">Profit = </t>
  </si>
  <si>
    <t xml:space="preserve">Total Cost For Marble Flooring = </t>
  </si>
  <si>
    <t>Tools, water, etc. =</t>
  </si>
  <si>
    <t>(Rs 30 for Laying+Rs 30 for Polishing)</t>
  </si>
  <si>
    <t>sft/day/crew(laying+polishing)</t>
  </si>
  <si>
    <t xml:space="preserve">Productivity = </t>
  </si>
  <si>
    <t>Polisher + helper</t>
  </si>
  <si>
    <t>Marble layer + helper =</t>
  </si>
  <si>
    <t>White Cement and Polish</t>
  </si>
  <si>
    <t>70/cft</t>
  </si>
  <si>
    <t>1300/bag</t>
  </si>
  <si>
    <t>Marble(Best Quality Local)</t>
  </si>
  <si>
    <t xml:space="preserve">Material </t>
  </si>
  <si>
    <t>Skirting</t>
  </si>
  <si>
    <t>Flooring</t>
  </si>
  <si>
    <t>Area(sft)</t>
  </si>
  <si>
    <t>RATE ANALYSIS FOR MARBLE FLOORING</t>
  </si>
  <si>
    <t xml:space="preserve">Total Price For Tile Flooring = </t>
  </si>
  <si>
    <t>Profit 10% =</t>
  </si>
  <si>
    <t>Overheads 5% =</t>
  </si>
  <si>
    <t xml:space="preserve">Total Cost For Tile Flooring = </t>
  </si>
  <si>
    <t>Tools, water, curing, cleaning</t>
  </si>
  <si>
    <t>100 sft/day</t>
  </si>
  <si>
    <t>Tile fixer+helper</t>
  </si>
  <si>
    <t>Productivity</t>
  </si>
  <si>
    <t>Labor Type</t>
  </si>
  <si>
    <t>0.02bag/sft</t>
  </si>
  <si>
    <t>White Cement</t>
  </si>
  <si>
    <t>0.5cft/SFT</t>
  </si>
  <si>
    <t>Sand(bedding)</t>
  </si>
  <si>
    <t>0.1bag/sft</t>
  </si>
  <si>
    <t>Cement(bedding)</t>
  </si>
  <si>
    <t>60/kg</t>
  </si>
  <si>
    <t>1.5kg/sft</t>
  </si>
  <si>
    <t>Tiles Adhesive</t>
  </si>
  <si>
    <t>130/sft</t>
  </si>
  <si>
    <t>Market Rate</t>
  </si>
  <si>
    <t>Ceramic Tiles</t>
  </si>
  <si>
    <t>Cost/sft Rs.</t>
  </si>
  <si>
    <t>Estimation Basis</t>
  </si>
  <si>
    <t>Total Tile Area =</t>
  </si>
  <si>
    <t>RATE ANALYSIS FOR TILE FLOORING(BATHROOM TILES 8"X8")</t>
  </si>
  <si>
    <t xml:space="preserve">Total Price for  Doors,Windows &amp; Ventilators = </t>
  </si>
  <si>
    <t xml:space="preserve">Total Cost For Doors,Windows &amp; Ventilators = </t>
  </si>
  <si>
    <t xml:space="preserve">Total Cost For Bedding = </t>
  </si>
  <si>
    <t>Rs/rft</t>
  </si>
  <si>
    <t xml:space="preserve">Total rate For Bedding = </t>
  </si>
  <si>
    <t>Labor(fixing)</t>
  </si>
  <si>
    <t>Cement Mortar (1:4)</t>
  </si>
  <si>
    <t>Cost/Rft</t>
  </si>
  <si>
    <t>Qty/rft</t>
  </si>
  <si>
    <t>Unit</t>
  </si>
  <si>
    <t>Usually done with cement-sand mortar 1:4 under the frame during installation.</t>
  </si>
  <si>
    <t>For Beddings</t>
  </si>
  <si>
    <t xml:space="preserve">Total Cost for Door Panels = </t>
  </si>
  <si>
    <t xml:space="preserve">Total Rate per sft = </t>
  </si>
  <si>
    <t>Fixing Labor</t>
  </si>
  <si>
    <t>Polish/Paint</t>
  </si>
  <si>
    <t>L.S</t>
  </si>
  <si>
    <t>Hinges,lock</t>
  </si>
  <si>
    <t>Flush/panel door</t>
  </si>
  <si>
    <t>Rate (Rs.)</t>
  </si>
  <si>
    <t>Qty/sft</t>
  </si>
  <si>
    <t xml:space="preserve">Area in sft = </t>
  </si>
  <si>
    <t>rft/7</t>
  </si>
  <si>
    <t xml:space="preserve">Door width per panel = </t>
  </si>
  <si>
    <t>ft</t>
  </si>
  <si>
    <t xml:space="preserve">Standard Door Height = </t>
  </si>
  <si>
    <t>Covert rft to sft</t>
  </si>
  <si>
    <t>For Doors Panels</t>
  </si>
  <si>
    <t>Total Cost for wooden frames =</t>
  </si>
  <si>
    <t xml:space="preserve">Total Frame Rate = </t>
  </si>
  <si>
    <t>rft/day</t>
  </si>
  <si>
    <t xml:space="preserve">Labor(Carpenter+Helper) </t>
  </si>
  <si>
    <t xml:space="preserve">Labor Cost </t>
  </si>
  <si>
    <t>Nails, glue, screws</t>
  </si>
  <si>
    <t>Hardwood (Kail or Partal)</t>
  </si>
  <si>
    <t>Cost/rft</t>
  </si>
  <si>
    <t xml:space="preserve">Item </t>
  </si>
  <si>
    <t>For Wooden Frames</t>
  </si>
  <si>
    <t>Wooden Frames</t>
  </si>
  <si>
    <t>Area (rft)</t>
  </si>
  <si>
    <t>Quantities</t>
  </si>
  <si>
    <t>RATE ANALYSIS FOR DOORS,WINDOWS AND VENTILATORS</t>
  </si>
  <si>
    <t xml:space="preserve">Total Price for R/f for Super Structure = </t>
  </si>
  <si>
    <t xml:space="preserve">Total Cost For Steel = </t>
  </si>
  <si>
    <t xml:space="preserve">Total Cost For # 5 bar = </t>
  </si>
  <si>
    <t>Total Cost For # 4 bar =</t>
  </si>
  <si>
    <t>Total Cost For # 3 bar =</t>
  </si>
  <si>
    <t>Rs/ton</t>
  </si>
  <si>
    <t xml:space="preserve">Total Rate per ton = </t>
  </si>
  <si>
    <t>per ton</t>
  </si>
  <si>
    <t>Truck movement</t>
  </si>
  <si>
    <t>2% of 240000</t>
  </si>
  <si>
    <t>Wastage 2%</t>
  </si>
  <si>
    <t>10 kg @ Rs. 100/kg</t>
  </si>
  <si>
    <t>Binding Wire</t>
  </si>
  <si>
    <t xml:space="preserve">Skilled Labor for Fixing </t>
  </si>
  <si>
    <t>Fixing/Placing Labor</t>
  </si>
  <si>
    <t>Labor Charges</t>
  </si>
  <si>
    <t>Cutting &amp; Bending</t>
  </si>
  <si>
    <t>From PBS (May 2025)</t>
  </si>
  <si>
    <t xml:space="preserve">Steel </t>
  </si>
  <si>
    <t>Explanation</t>
  </si>
  <si>
    <t>tons</t>
  </si>
  <si>
    <t xml:space="preserve"># 5 bar = </t>
  </si>
  <si>
    <t># 4 bar =</t>
  </si>
  <si>
    <t># 3 bar =</t>
  </si>
  <si>
    <t>RATE ANALYSIS FOR REINFORCEMENT IN SUPER STRUCTURE</t>
  </si>
  <si>
    <t xml:space="preserve">Total Price for R/f for Sub Structure = </t>
  </si>
  <si>
    <t>RATE ANALYSIS FOR REINFORCEMENT IN SUB STRUCTURE</t>
  </si>
  <si>
    <t>RB-11a 18"X6"</t>
  </si>
  <si>
    <t xml:space="preserve">RB-11a 6"X30" </t>
  </si>
  <si>
    <t xml:space="preserve">RB-1a 4"X30" </t>
  </si>
  <si>
    <t xml:space="preserve">RB-29 8"X24" </t>
  </si>
  <si>
    <t xml:space="preserve">RB-28 6"X30" </t>
  </si>
  <si>
    <t xml:space="preserve">RB-27 6"X30" </t>
  </si>
  <si>
    <t xml:space="preserve">RB-26 6"X30" </t>
  </si>
  <si>
    <t xml:space="preserve">RB-25 6"X30" </t>
  </si>
  <si>
    <t xml:space="preserve">RB-24 6"X30" </t>
  </si>
  <si>
    <t xml:space="preserve">RB-23 6"X30" </t>
  </si>
  <si>
    <t xml:space="preserve">RB-22 6"X30" </t>
  </si>
  <si>
    <t xml:space="preserve">RB-21 6"X30" </t>
  </si>
  <si>
    <t xml:space="preserve">RB-20 6"X18" </t>
  </si>
  <si>
    <t>RB-19 6"X30"</t>
  </si>
  <si>
    <t>RB-18 6"X15"</t>
  </si>
  <si>
    <t xml:space="preserve">RB-17 6"X30" </t>
  </si>
  <si>
    <t xml:space="preserve">RB-16 6"X30" </t>
  </si>
  <si>
    <t xml:space="preserve">RB-15 6"X30" </t>
  </si>
  <si>
    <t xml:space="preserve">RB-14 6"X30" </t>
  </si>
  <si>
    <t xml:space="preserve">RB-13 6"X30" </t>
  </si>
  <si>
    <t xml:space="preserve">RB-12 6"X30" </t>
  </si>
  <si>
    <t xml:space="preserve">RB-10 6"X30" </t>
  </si>
  <si>
    <t>RB-09 6"X30" GH to GP</t>
  </si>
  <si>
    <t>RB-08 6"X30" GA to GF on G8</t>
  </si>
  <si>
    <t>RB-07 6"X30" GH to GP</t>
  </si>
  <si>
    <t xml:space="preserve">RB-06 6"X30" </t>
  </si>
  <si>
    <t>RB-04  6"X15"   GF to GP</t>
  </si>
  <si>
    <t>RB-03 6"X15"   GM to GP</t>
  </si>
  <si>
    <t>RB-02 6"X30" GA TO  GF on G2</t>
  </si>
  <si>
    <t>RB-01 6"X30" GN TO GP</t>
  </si>
  <si>
    <t>RB-01 6"X30" GF TO GM</t>
  </si>
  <si>
    <t>RB-01 6"X30" GC TO GF</t>
  </si>
  <si>
    <t>RB-01 6"X30" GA TO GB on G1</t>
  </si>
  <si>
    <t>RATE ANALYSIS FOR 1:4:8 LEAN CONCRETE(SUB-STUCTURE)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</si>
</sst>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43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u val="double"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i/>
      <u/>
      <sz val="24"/>
      <color theme="1"/>
      <name val="Calibri"/>
      <charset val="134"/>
      <scheme val="minor"/>
    </font>
    <font>
      <b/>
      <i/>
      <u/>
      <sz val="2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7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theme="1"/>
      <name val="Bahnschrift"/>
      <family val="2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Bahnschrift"/>
      <family val="2"/>
    </font>
    <font>
      <b/>
      <u/>
      <sz val="11"/>
      <color theme="1"/>
      <name val="Bahnschrift"/>
      <family val="2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20" fillId="0" borderId="0" applyFont="0" applyFill="0" applyBorder="0" applyAlignment="0" applyProtection="0"/>
    <xf numFmtId="0" fontId="20" fillId="0" borderId="0">
      <alignment vertical="center"/>
    </xf>
    <xf numFmtId="0" fontId="1" fillId="0" borderId="0"/>
    <xf numFmtId="0" fontId="1" fillId="0" borderId="0">
      <alignment vertical="center"/>
    </xf>
  </cellStyleXfs>
  <cellXfs count="315">
    <xf numFmtId="0" fontId="0" fillId="0" borderId="0" xfId="0"/>
    <xf numFmtId="0" fontId="4" fillId="3" borderId="1" xfId="0" applyFont="1" applyFill="1" applyBorder="1"/>
    <xf numFmtId="0" fontId="4" fillId="0" borderId="1" xfId="0" applyFont="1" applyFill="1" applyBorder="1"/>
    <xf numFmtId="0" fontId="0" fillId="0" borderId="1" xfId="0" applyBorder="1"/>
    <xf numFmtId="0" fontId="5" fillId="5" borderId="1" xfId="0" applyFont="1" applyFill="1" applyBorder="1"/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6" fillId="7" borderId="1" xfId="0" applyFont="1" applyFill="1" applyBorder="1"/>
    <xf numFmtId="0" fontId="0" fillId="8" borderId="0" xfId="0" applyFill="1"/>
    <xf numFmtId="0" fontId="6" fillId="9" borderId="1" xfId="0" applyFont="1" applyFill="1" applyBorder="1"/>
    <xf numFmtId="0" fontId="6" fillId="9" borderId="1" xfId="0" applyFont="1" applyFill="1" applyBorder="1" applyAlignment="1">
      <alignment horizontal="center"/>
    </xf>
    <xf numFmtId="0" fontId="5" fillId="5" borderId="0" xfId="0" applyFont="1" applyFill="1"/>
    <xf numFmtId="0" fontId="6" fillId="10" borderId="1" xfId="0" applyFont="1" applyFill="1" applyBorder="1" applyAlignment="1">
      <alignment horizontal="center"/>
    </xf>
    <xf numFmtId="0" fontId="7" fillId="10" borderId="1" xfId="0" applyFont="1" applyFill="1" applyBorder="1"/>
    <xf numFmtId="0" fontId="0" fillId="10" borderId="1" xfId="0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6" fillId="13" borderId="1" xfId="0" applyFont="1" applyFill="1" applyBorder="1"/>
    <xf numFmtId="0" fontId="12" fillId="0" borderId="1" xfId="0" applyFont="1" applyBorder="1" applyAlignment="1">
      <alignment horizontal="center"/>
    </xf>
    <xf numFmtId="0" fontId="6" fillId="0" borderId="1" xfId="0" applyFont="1" applyBorder="1"/>
    <xf numFmtId="0" fontId="12" fillId="0" borderId="0" xfId="0" applyFont="1"/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7" xfId="0" applyBorder="1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0" fillId="0" borderId="6" xfId="0" applyFont="1" applyBorder="1"/>
    <xf numFmtId="0" fontId="12" fillId="14" borderId="7" xfId="0" applyFont="1" applyFill="1" applyBorder="1" applyAlignment="1">
      <alignment horizontal="center"/>
    </xf>
    <xf numFmtId="0" fontId="6" fillId="0" borderId="0" xfId="0" applyFont="1" applyFill="1" applyAlignment="1"/>
    <xf numFmtId="0" fontId="0" fillId="0" borderId="0" xfId="0" applyFill="1" applyAlignment="1"/>
    <xf numFmtId="0" fontId="12" fillId="6" borderId="1" xfId="0" applyFont="1" applyFill="1" applyBorder="1" applyAlignment="1">
      <alignment horizontal="center"/>
    </xf>
    <xf numFmtId="0" fontId="9" fillId="6" borderId="1" xfId="0" applyFont="1" applyFill="1" applyBorder="1"/>
    <xf numFmtId="0" fontId="12" fillId="17" borderId="1" xfId="0" applyFont="1" applyFill="1" applyBorder="1" applyAlignment="1">
      <alignment horizontal="center"/>
    </xf>
    <xf numFmtId="0" fontId="12" fillId="17" borderId="1" xfId="0" applyFont="1" applyFill="1" applyBorder="1"/>
    <xf numFmtId="0" fontId="6" fillId="17" borderId="7" xfId="0" applyFont="1" applyFill="1" applyBorder="1"/>
    <xf numFmtId="0" fontId="0" fillId="0" borderId="0" xfId="0" applyFill="1" applyBorder="1" applyAlignment="1"/>
    <xf numFmtId="0" fontId="9" fillId="13" borderId="1" xfId="0" applyFont="1" applyFill="1" applyBorder="1" applyAlignment="1">
      <alignment horizontal="left"/>
    </xf>
    <xf numFmtId="0" fontId="12" fillId="18" borderId="1" xfId="0" applyFont="1" applyFill="1" applyBorder="1" applyAlignment="1">
      <alignment horizontal="center"/>
    </xf>
    <xf numFmtId="0" fontId="12" fillId="18" borderId="7" xfId="0" applyFont="1" applyFill="1" applyBorder="1"/>
    <xf numFmtId="0" fontId="12" fillId="0" borderId="0" xfId="0" applyFont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2" fillId="0" borderId="7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2" fillId="0" borderId="2" xfId="0" applyFont="1" applyBorder="1" applyAlignment="1"/>
    <xf numFmtId="0" fontId="0" fillId="0" borderId="8" xfId="0" applyBorder="1"/>
    <xf numFmtId="0" fontId="0" fillId="0" borderId="2" xfId="0" applyBorder="1"/>
    <xf numFmtId="0" fontId="12" fillId="0" borderId="2" xfId="0" applyFont="1" applyBorder="1"/>
    <xf numFmtId="0" fontId="12" fillId="0" borderId="7" xfId="0" applyFont="1" applyBorder="1"/>
    <xf numFmtId="0" fontId="0" fillId="0" borderId="7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6" fillId="18" borderId="1" xfId="0" applyFont="1" applyFill="1" applyBorder="1"/>
    <xf numFmtId="0" fontId="12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2" fillId="0" borderId="7" xfId="0" applyFont="1" applyBorder="1" applyAlignment="1"/>
    <xf numFmtId="0" fontId="4" fillId="3" borderId="0" xfId="0" applyFont="1" applyFill="1"/>
    <xf numFmtId="0" fontId="4" fillId="0" borderId="0" xfId="0" applyFont="1" applyFill="1"/>
    <xf numFmtId="0" fontId="6" fillId="4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/>
    <xf numFmtId="0" fontId="4" fillId="3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2" fontId="0" fillId="0" borderId="0" xfId="0" applyNumberFormat="1"/>
    <xf numFmtId="0" fontId="6" fillId="4" borderId="0" xfId="0" applyFont="1" applyFill="1" applyAlignment="1"/>
    <xf numFmtId="0" fontId="6" fillId="0" borderId="0" xfId="0" applyFont="1" applyAlignment="1"/>
    <xf numFmtId="0" fontId="6" fillId="4" borderId="0" xfId="0" applyFont="1" applyFill="1" applyAlignment="1">
      <alignment horizontal="center" vertical="center"/>
    </xf>
    <xf numFmtId="0" fontId="6" fillId="0" borderId="0" xfId="0" applyFont="1" applyAlignment="1">
      <alignment wrapText="1"/>
    </xf>
    <xf numFmtId="164" fontId="0" fillId="0" borderId="0" xfId="0" applyNumberFormat="1"/>
    <xf numFmtId="0" fontId="0" fillId="0" borderId="0" xfId="0" applyNumberForma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0" borderId="0" xfId="0" applyFont="1"/>
    <xf numFmtId="0" fontId="2" fillId="0" borderId="0" xfId="0" applyFont="1"/>
    <xf numFmtId="2" fontId="21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2" fontId="21" fillId="0" borderId="0" xfId="0" applyNumberFormat="1" applyFont="1" applyAlignment="1">
      <alignment horizontal="center"/>
    </xf>
    <xf numFmtId="2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2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2" fontId="26" fillId="0" borderId="0" xfId="0" applyNumberFormat="1" applyFont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0" fontId="4" fillId="3" borderId="0" xfId="0" applyFont="1" applyFill="1" applyAlignment="1"/>
    <xf numFmtId="0" fontId="4" fillId="0" borderId="0" xfId="0" applyFont="1" applyFill="1" applyAlignment="1"/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2" fontId="6" fillId="0" borderId="0" xfId="0" applyNumberFormat="1" applyFont="1" applyFill="1" applyAlignment="1"/>
    <xf numFmtId="0" fontId="20" fillId="0" borderId="0" xfId="2" applyFill="1" applyAlignment="1"/>
    <xf numFmtId="0" fontId="6" fillId="0" borderId="0" xfId="2" applyFont="1" applyFill="1" applyAlignment="1"/>
    <xf numFmtId="0" fontId="8" fillId="0" borderId="0" xfId="2" applyFont="1" applyFill="1" applyAlignment="1">
      <alignment horizontal="center" vertical="center"/>
    </xf>
    <xf numFmtId="2" fontId="6" fillId="0" borderId="0" xfId="2" applyNumberFormat="1" applyFont="1" applyFill="1" applyAlignment="1"/>
    <xf numFmtId="2" fontId="6" fillId="0" borderId="0" xfId="2" applyNumberFormat="1" applyFont="1" applyFill="1" applyAlignment="1">
      <alignment horizontal="center" vertical="center"/>
    </xf>
    <xf numFmtId="2" fontId="20" fillId="0" borderId="0" xfId="2" applyNumberFormat="1" applyFill="1" applyAlignment="1">
      <alignment horizontal="center" vertical="center"/>
    </xf>
    <xf numFmtId="0" fontId="20" fillId="0" borderId="0" xfId="2" applyFill="1" applyAlignment="1">
      <alignment horizontal="center" vertical="center"/>
    </xf>
    <xf numFmtId="1" fontId="20" fillId="0" borderId="0" xfId="2" applyNumberFormat="1" applyFill="1" applyAlignment="1">
      <alignment horizontal="center" vertical="center"/>
    </xf>
    <xf numFmtId="0" fontId="4" fillId="0" borderId="0" xfId="2" applyFont="1" applyFill="1" applyAlignment="1"/>
    <xf numFmtId="0" fontId="4" fillId="0" borderId="0" xfId="2" applyFont="1" applyFill="1" applyAlignment="1">
      <alignment horizontal="center" vertical="center"/>
    </xf>
    <xf numFmtId="0" fontId="4" fillId="0" borderId="0" xfId="2" applyFont="1" applyFill="1" applyAlignment="1">
      <alignment horizontal="center"/>
    </xf>
    <xf numFmtId="0" fontId="4" fillId="0" borderId="0" xfId="2" applyFont="1" applyFill="1" applyAlignment="1">
      <alignment horizontal="left" wrapText="1"/>
    </xf>
    <xf numFmtId="2" fontId="4" fillId="0" borderId="0" xfId="2" applyNumberFormat="1" applyFont="1" applyFill="1" applyAlignment="1">
      <alignment horizontal="center" vertical="center"/>
    </xf>
    <xf numFmtId="0" fontId="4" fillId="3" borderId="0" xfId="2" applyFont="1" applyFill="1" applyAlignment="1"/>
    <xf numFmtId="0" fontId="4" fillId="3" borderId="0" xfId="2" applyFont="1" applyFill="1" applyAlignment="1">
      <alignment horizontal="center"/>
    </xf>
    <xf numFmtId="0" fontId="3" fillId="0" borderId="0" xfId="2" applyFont="1" applyFill="1" applyAlignment="1"/>
    <xf numFmtId="0" fontId="20" fillId="0" borderId="0" xfId="2">
      <alignment vertical="center"/>
    </xf>
    <xf numFmtId="0" fontId="20" fillId="26" borderId="0" xfId="2" applyNumberFormat="1" applyFill="1">
      <alignment vertical="center"/>
    </xf>
    <xf numFmtId="0" fontId="20" fillId="26" borderId="0" xfId="2" applyFill="1">
      <alignment vertical="center"/>
    </xf>
    <xf numFmtId="0" fontId="4" fillId="26" borderId="0" xfId="2" applyFont="1" applyFill="1">
      <alignment vertical="center"/>
    </xf>
    <xf numFmtId="0" fontId="20" fillId="8" borderId="0" xfId="2" applyNumberFormat="1" applyFill="1">
      <alignment vertical="center"/>
    </xf>
    <xf numFmtId="0" fontId="20" fillId="8" borderId="0" xfId="2" applyFill="1">
      <alignment vertical="center"/>
    </xf>
    <xf numFmtId="0" fontId="4" fillId="8" borderId="0" xfId="2" applyFont="1" applyFill="1">
      <alignment vertical="center"/>
    </xf>
    <xf numFmtId="0" fontId="20" fillId="15" borderId="0" xfId="2" applyNumberFormat="1" applyFill="1">
      <alignment vertical="center"/>
    </xf>
    <xf numFmtId="0" fontId="20" fillId="15" borderId="0" xfId="2" applyFill="1">
      <alignment vertical="center"/>
    </xf>
    <xf numFmtId="0" fontId="4" fillId="15" borderId="0" xfId="2" applyFont="1" applyFill="1">
      <alignment vertical="center"/>
    </xf>
    <xf numFmtId="0" fontId="20" fillId="23" borderId="0" xfId="2" applyFill="1">
      <alignment vertical="center"/>
    </xf>
    <xf numFmtId="0" fontId="12" fillId="15" borderId="0" xfId="2" applyFont="1" applyFill="1">
      <alignment vertical="center"/>
    </xf>
    <xf numFmtId="0" fontId="12" fillId="0" borderId="0" xfId="2" applyFont="1">
      <alignment vertical="center"/>
    </xf>
    <xf numFmtId="0" fontId="4" fillId="27" borderId="0" xfId="2" applyFont="1" applyFill="1" applyAlignment="1"/>
    <xf numFmtId="0" fontId="8" fillId="0" borderId="0" xfId="2" applyFont="1" applyFill="1" applyAlignment="1"/>
    <xf numFmtId="0" fontId="6" fillId="3" borderId="0" xfId="2" applyFont="1" applyFill="1" applyAlignment="1"/>
    <xf numFmtId="0" fontId="6" fillId="3" borderId="0" xfId="2" applyFont="1" applyFill="1" applyAlignment="1">
      <alignment horizontal="center"/>
    </xf>
    <xf numFmtId="0" fontId="4" fillId="0" borderId="9" xfId="2" applyFont="1" applyBorder="1">
      <alignment vertical="center"/>
    </xf>
    <xf numFmtId="0" fontId="27" fillId="0" borderId="0" xfId="2" applyFont="1" applyFill="1" applyAlignment="1"/>
    <xf numFmtId="0" fontId="28" fillId="0" borderId="0" xfId="2" applyFont="1">
      <alignment vertical="center"/>
    </xf>
    <xf numFmtId="0" fontId="29" fillId="0" borderId="0" xfId="2" applyFont="1" applyFill="1" applyAlignment="1"/>
    <xf numFmtId="0" fontId="20" fillId="0" borderId="0" xfId="2" applyNumberFormat="1">
      <alignment vertical="center"/>
    </xf>
    <xf numFmtId="0" fontId="30" fillId="0" borderId="0" xfId="2" applyFont="1">
      <alignment vertical="center"/>
    </xf>
    <xf numFmtId="0" fontId="1" fillId="0" borderId="0" xfId="3"/>
    <xf numFmtId="0" fontId="1" fillId="0" borderId="1" xfId="3" applyBorder="1"/>
    <xf numFmtId="0" fontId="22" fillId="25" borderId="1" xfId="3" applyFont="1" applyFill="1" applyBorder="1"/>
    <xf numFmtId="0" fontId="33" fillId="0" borderId="1" xfId="3" applyFont="1" applyBorder="1"/>
    <xf numFmtId="0" fontId="22" fillId="0" borderId="1" xfId="3" applyFont="1" applyBorder="1"/>
    <xf numFmtId="0" fontId="33" fillId="0" borderId="0" xfId="3" applyFont="1"/>
    <xf numFmtId="0" fontId="34" fillId="0" borderId="0" xfId="3" applyFont="1"/>
    <xf numFmtId="0" fontId="35" fillId="0" borderId="1" xfId="3" applyFont="1" applyBorder="1"/>
    <xf numFmtId="0" fontId="36" fillId="0" borderId="0" xfId="3" applyFont="1"/>
    <xf numFmtId="0" fontId="22" fillId="25" borderId="1" xfId="3" applyFont="1" applyFill="1" applyBorder="1" applyAlignment="1">
      <alignment horizontal="right"/>
    </xf>
    <xf numFmtId="0" fontId="1" fillId="0" borderId="1" xfId="3" applyFill="1" applyBorder="1"/>
    <xf numFmtId="9" fontId="1" fillId="0" borderId="1" xfId="3" applyNumberFormat="1" applyBorder="1"/>
    <xf numFmtId="0" fontId="21" fillId="0" borderId="1" xfId="3" applyFont="1" applyBorder="1"/>
    <xf numFmtId="0" fontId="37" fillId="0" borderId="0" xfId="3" applyFont="1"/>
    <xf numFmtId="0" fontId="22" fillId="23" borderId="1" xfId="3" applyFont="1" applyFill="1" applyBorder="1"/>
    <xf numFmtId="0" fontId="38" fillId="0" borderId="0" xfId="3" applyFont="1"/>
    <xf numFmtId="0" fontId="22" fillId="23" borderId="0" xfId="3" applyFont="1" applyFill="1"/>
    <xf numFmtId="0" fontId="22" fillId="25" borderId="0" xfId="3" applyFont="1" applyFill="1"/>
    <xf numFmtId="0" fontId="1" fillId="0" borderId="1" xfId="3" applyFont="1" applyBorder="1"/>
    <xf numFmtId="0" fontId="23" fillId="0" borderId="1" xfId="3" applyFont="1" applyBorder="1"/>
    <xf numFmtId="0" fontId="23" fillId="0" borderId="0" xfId="3" applyFont="1"/>
    <xf numFmtId="0" fontId="39" fillId="0" borderId="0" xfId="3" applyFont="1"/>
    <xf numFmtId="0" fontId="33" fillId="8" borderId="0" xfId="3" applyFont="1" applyFill="1"/>
    <xf numFmtId="20" fontId="1" fillId="0" borderId="1" xfId="3" applyNumberFormat="1" applyBorder="1"/>
    <xf numFmtId="0" fontId="23" fillId="8" borderId="0" xfId="3" applyFont="1" applyFill="1"/>
    <xf numFmtId="20" fontId="1" fillId="0" borderId="0" xfId="3" applyNumberFormat="1"/>
    <xf numFmtId="0" fontId="1" fillId="8" borderId="0" xfId="3" applyFont="1" applyFill="1"/>
    <xf numFmtId="0" fontId="23" fillId="8" borderId="0" xfId="3" applyFont="1" applyFill="1" applyBorder="1"/>
    <xf numFmtId="0" fontId="1" fillId="8" borderId="0" xfId="3" applyFont="1" applyFill="1" applyBorder="1"/>
    <xf numFmtId="0" fontId="1" fillId="8" borderId="1" xfId="3" applyFont="1" applyFill="1" applyBorder="1"/>
    <xf numFmtId="0" fontId="1" fillId="0" borderId="0" xfId="4">
      <alignment vertical="center"/>
    </xf>
    <xf numFmtId="0" fontId="23" fillId="0" borderId="0" xfId="4" applyFont="1" applyFill="1" applyAlignment="1"/>
    <xf numFmtId="0" fontId="22" fillId="3" borderId="10" xfId="4" applyFont="1" applyFill="1" applyBorder="1" applyAlignment="1"/>
    <xf numFmtId="0" fontId="22" fillId="3" borderId="11" xfId="4" applyFont="1" applyFill="1" applyBorder="1" applyAlignment="1"/>
    <xf numFmtId="0" fontId="22" fillId="3" borderId="11" xfId="4" applyFont="1" applyFill="1" applyBorder="1" applyAlignment="1">
      <alignment horizontal="center"/>
    </xf>
    <xf numFmtId="0" fontId="22" fillId="3" borderId="12" xfId="4" applyFont="1" applyFill="1" applyBorder="1" applyAlignment="1"/>
    <xf numFmtId="0" fontId="24" fillId="0" borderId="13" xfId="4" applyFont="1" applyBorder="1">
      <alignment vertical="center"/>
    </xf>
    <xf numFmtId="0" fontId="1" fillId="0" borderId="13" xfId="4" applyBorder="1">
      <alignment vertical="center"/>
    </xf>
    <xf numFmtId="0" fontId="1" fillId="0" borderId="0" xfId="4" applyBorder="1">
      <alignment vertical="center"/>
    </xf>
    <xf numFmtId="0" fontId="1" fillId="0" borderId="14" xfId="4" applyBorder="1">
      <alignment vertical="center"/>
    </xf>
    <xf numFmtId="0" fontId="1" fillId="0" borderId="0" xfId="4" applyFill="1" applyBorder="1" applyAlignment="1">
      <alignment vertical="center"/>
    </xf>
    <xf numFmtId="0" fontId="41" fillId="0" borderId="0" xfId="4" applyFont="1" applyFill="1" applyBorder="1" applyAlignment="1"/>
    <xf numFmtId="0" fontId="1" fillId="0" borderId="14" xfId="4" applyFill="1" applyBorder="1" applyAlignment="1">
      <alignment vertical="center"/>
    </xf>
    <xf numFmtId="0" fontId="40" fillId="0" borderId="0" xfId="4" applyFont="1" applyFill="1" applyBorder="1" applyAlignment="1"/>
    <xf numFmtId="0" fontId="21" fillId="0" borderId="0" xfId="4" applyFont="1" applyFill="1" applyBorder="1" applyAlignment="1">
      <alignment vertical="center"/>
    </xf>
    <xf numFmtId="0" fontId="1" fillId="0" borderId="0" xfId="4" applyNumberFormat="1" applyFill="1" applyBorder="1" applyAlignment="1">
      <alignment vertical="center"/>
    </xf>
    <xf numFmtId="0" fontId="1" fillId="0" borderId="14" xfId="4" applyNumberFormat="1" applyFill="1" applyBorder="1" applyAlignment="1">
      <alignment vertical="center"/>
    </xf>
    <xf numFmtId="0" fontId="26" fillId="0" borderId="0" xfId="4" applyFont="1" applyFill="1" applyBorder="1" applyAlignment="1">
      <alignment vertical="center"/>
    </xf>
    <xf numFmtId="0" fontId="41" fillId="0" borderId="0" xfId="4" applyFont="1" applyFill="1" applyBorder="1" applyAlignment="1">
      <alignment vertical="center"/>
    </xf>
    <xf numFmtId="0" fontId="42" fillId="0" borderId="0" xfId="4" applyFont="1" applyFill="1" applyBorder="1" applyAlignment="1">
      <alignment vertical="center"/>
    </xf>
    <xf numFmtId="0" fontId="1" fillId="0" borderId="15" xfId="4" applyBorder="1">
      <alignment vertical="center"/>
    </xf>
    <xf numFmtId="0" fontId="1" fillId="0" borderId="16" xfId="4" applyBorder="1">
      <alignment vertical="center"/>
    </xf>
    <xf numFmtId="0" fontId="21" fillId="0" borderId="0" xfId="2" applyNumberFormat="1" applyFont="1">
      <alignment vertical="center"/>
    </xf>
    <xf numFmtId="0" fontId="21" fillId="0" borderId="17" xfId="4" applyNumberFormat="1" applyFont="1" applyBorder="1">
      <alignment vertical="center"/>
    </xf>
    <xf numFmtId="0" fontId="6" fillId="3" borderId="13" xfId="2" applyFont="1" applyFill="1" applyBorder="1" applyAlignment="1"/>
    <xf numFmtId="0" fontId="6" fillId="3" borderId="0" xfId="2" applyFont="1" applyFill="1" applyBorder="1" applyAlignment="1"/>
    <xf numFmtId="0" fontId="6" fillId="3" borderId="0" xfId="2" applyFont="1" applyFill="1" applyBorder="1" applyAlignment="1">
      <alignment horizontal="center"/>
    </xf>
    <xf numFmtId="0" fontId="6" fillId="3" borderId="14" xfId="2" applyFont="1" applyFill="1" applyBorder="1" applyAlignment="1"/>
    <xf numFmtId="0" fontId="32" fillId="0" borderId="13" xfId="2" applyFont="1" applyBorder="1">
      <alignment vertical="center"/>
    </xf>
    <xf numFmtId="0" fontId="20" fillId="0" borderId="13" xfId="2" applyBorder="1">
      <alignment vertical="center"/>
    </xf>
    <xf numFmtId="0" fontId="20" fillId="0" borderId="0" xfId="2" applyBorder="1">
      <alignment vertical="center"/>
    </xf>
    <xf numFmtId="0" fontId="20" fillId="0" borderId="14" xfId="2" applyBorder="1">
      <alignment vertical="center"/>
    </xf>
    <xf numFmtId="0" fontId="20" fillId="0" borderId="0" xfId="2" applyFill="1" applyBorder="1" applyAlignment="1">
      <alignment vertical="center"/>
    </xf>
    <xf numFmtId="0" fontId="27" fillId="0" borderId="0" xfId="2" applyFont="1" applyFill="1" applyBorder="1" applyAlignment="1"/>
    <xf numFmtId="0" fontId="20" fillId="0" borderId="14" xfId="2" applyFill="1" applyBorder="1" applyAlignment="1">
      <alignment vertical="center"/>
    </xf>
    <xf numFmtId="0" fontId="29" fillId="0" borderId="0" xfId="2" applyFont="1" applyFill="1" applyBorder="1" applyAlignment="1"/>
    <xf numFmtId="0" fontId="12" fillId="0" borderId="0" xfId="2" applyFont="1" applyFill="1" applyBorder="1" applyAlignment="1">
      <alignment vertical="center"/>
    </xf>
    <xf numFmtId="0" fontId="20" fillId="0" borderId="0" xfId="2" applyNumberFormat="1" applyFill="1" applyBorder="1" applyAlignment="1">
      <alignment vertical="center"/>
    </xf>
    <xf numFmtId="0" fontId="20" fillId="0" borderId="14" xfId="2" applyNumberFormat="1" applyFill="1" applyBorder="1" applyAlignment="1">
      <alignment vertical="center"/>
    </xf>
    <xf numFmtId="0" fontId="28" fillId="0" borderId="0" xfId="2" applyFont="1" applyFill="1" applyBorder="1" applyAlignment="1">
      <alignment vertical="center"/>
    </xf>
    <xf numFmtId="0" fontId="27" fillId="0" borderId="0" xfId="2" applyFont="1" applyFill="1" applyBorder="1" applyAlignment="1">
      <alignment vertical="center"/>
    </xf>
    <xf numFmtId="0" fontId="31" fillId="0" borderId="0" xfId="2" applyFont="1" applyFill="1" applyBorder="1" applyAlignment="1">
      <alignment vertical="center"/>
    </xf>
    <xf numFmtId="0" fontId="21" fillId="0" borderId="14" xfId="2" applyNumberFormat="1" applyFont="1" applyBorder="1">
      <alignment vertical="center"/>
    </xf>
    <xf numFmtId="0" fontId="20" fillId="0" borderId="15" xfId="2" applyBorder="1">
      <alignment vertical="center"/>
    </xf>
    <xf numFmtId="0" fontId="20" fillId="0" borderId="16" xfId="2" applyBorder="1">
      <alignment vertical="center"/>
    </xf>
    <xf numFmtId="0" fontId="20" fillId="0" borderId="17" xfId="2" applyBorder="1">
      <alignment vertical="center"/>
    </xf>
    <xf numFmtId="0" fontId="3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/>
    </xf>
    <xf numFmtId="0" fontId="4" fillId="25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6" fillId="24" borderId="0" xfId="0" applyFont="1" applyFill="1" applyAlignment="1">
      <alignment horizontal="center" wrapText="1"/>
    </xf>
    <xf numFmtId="0" fontId="24" fillId="24" borderId="0" xfId="0" applyFont="1" applyFill="1" applyAlignment="1">
      <alignment horizontal="center" vertical="center" wrapText="1"/>
    </xf>
    <xf numFmtId="0" fontId="3" fillId="6" borderId="0" xfId="2" applyFont="1" applyFill="1" applyAlignment="1">
      <alignment horizontal="center"/>
    </xf>
    <xf numFmtId="0" fontId="4" fillId="23" borderId="0" xfId="2" applyFont="1" applyFill="1" applyAlignment="1">
      <alignment horizontal="center"/>
    </xf>
    <xf numFmtId="0" fontId="4" fillId="0" borderId="0" xfId="2" applyFont="1" applyFill="1" applyAlignment="1">
      <alignment horizontal="center"/>
    </xf>
    <xf numFmtId="0" fontId="3" fillId="28" borderId="0" xfId="2" applyFont="1" applyFill="1" applyAlignment="1">
      <alignment horizontal="center"/>
    </xf>
    <xf numFmtId="0" fontId="6" fillId="6" borderId="0" xfId="2" applyFont="1" applyFill="1" applyAlignment="1">
      <alignment horizontal="center"/>
    </xf>
    <xf numFmtId="0" fontId="6" fillId="6" borderId="10" xfId="2" applyFont="1" applyFill="1" applyBorder="1" applyAlignment="1">
      <alignment horizontal="center"/>
    </xf>
    <xf numFmtId="0" fontId="6" fillId="6" borderId="11" xfId="2" applyFont="1" applyFill="1" applyBorder="1" applyAlignment="1">
      <alignment horizontal="center"/>
    </xf>
    <xf numFmtId="0" fontId="6" fillId="6" borderId="12" xfId="2" applyFont="1" applyFill="1" applyBorder="1" applyAlignment="1">
      <alignment horizontal="center"/>
    </xf>
    <xf numFmtId="0" fontId="32" fillId="0" borderId="0" xfId="2" applyFont="1" applyBorder="1" applyAlignment="1">
      <alignment horizontal="center" vertical="center"/>
    </xf>
    <xf numFmtId="0" fontId="32" fillId="0" borderId="14" xfId="2" applyFont="1" applyBorder="1" applyAlignment="1">
      <alignment horizontal="center" vertical="center"/>
    </xf>
    <xf numFmtId="0" fontId="22" fillId="6" borderId="0" xfId="4" applyFont="1" applyFill="1" applyAlignment="1">
      <alignment horizontal="center"/>
    </xf>
    <xf numFmtId="0" fontId="24" fillId="0" borderId="0" xfId="4" applyFont="1" applyBorder="1" applyAlignment="1">
      <alignment horizontal="center" vertical="center"/>
    </xf>
    <xf numFmtId="0" fontId="24" fillId="0" borderId="14" xfId="4" applyFont="1" applyBorder="1" applyAlignment="1">
      <alignment horizontal="center" vertical="center"/>
    </xf>
    <xf numFmtId="0" fontId="4" fillId="23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22" borderId="3" xfId="0" applyFont="1" applyFill="1" applyBorder="1" applyAlignment="1">
      <alignment horizontal="center"/>
    </xf>
    <xf numFmtId="0" fontId="3" fillId="22" borderId="0" xfId="0" applyFont="1" applyFill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1" fillId="11" borderId="3" xfId="0" applyFont="1" applyFill="1" applyBorder="1" applyAlignment="1">
      <alignment horizontal="center"/>
    </xf>
    <xf numFmtId="0" fontId="11" fillId="11" borderId="4" xfId="0" applyFont="1" applyFill="1" applyBorder="1" applyAlignment="1">
      <alignment horizontal="center"/>
    </xf>
    <xf numFmtId="0" fontId="11" fillId="11" borderId="5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17" fillId="13" borderId="0" xfId="0" applyFont="1" applyFill="1" applyAlignment="1">
      <alignment horizontal="center"/>
    </xf>
    <xf numFmtId="0" fontId="4" fillId="12" borderId="1" xfId="0" applyFont="1" applyFill="1" applyBorder="1" applyAlignment="1">
      <alignment horizontal="center"/>
    </xf>
    <xf numFmtId="43" fontId="3" fillId="5" borderId="1" xfId="1" applyFont="1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0" fontId="11" fillId="20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43" fontId="13" fillId="5" borderId="1" xfId="1" applyFont="1" applyFill="1" applyBorder="1" applyAlignment="1">
      <alignment horizontal="center"/>
    </xf>
    <xf numFmtId="43" fontId="14" fillId="5" borderId="1" xfId="1" applyFont="1" applyFill="1" applyBorder="1" applyAlignment="1">
      <alignment horizontal="center"/>
    </xf>
    <xf numFmtId="0" fontId="6" fillId="21" borderId="1" xfId="0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1" fillId="20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43" fontId="3" fillId="5" borderId="0" xfId="1" applyFont="1" applyFill="1" applyAlignment="1">
      <alignment horizontal="center"/>
    </xf>
    <xf numFmtId="43" fontId="0" fillId="5" borderId="0" xfId="1" applyFont="1" applyFill="1" applyAlignment="1">
      <alignment horizontal="center"/>
    </xf>
    <xf numFmtId="0" fontId="6" fillId="21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12" fillId="9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6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12" fillId="19" borderId="1" xfId="0" applyFont="1" applyFill="1" applyBorder="1" applyAlignment="1">
      <alignment horizontal="left"/>
    </xf>
    <xf numFmtId="0" fontId="12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6" fillId="15" borderId="1" xfId="0" applyFont="1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0" fontId="4" fillId="16" borderId="0" xfId="0" applyFont="1" applyFill="1" applyAlignment="1">
      <alignment horizontal="center"/>
    </xf>
  </cellXfs>
  <cellStyles count="5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customXml" Target="../customXml/item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calcChain" Target="calcChain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4</xdr:row>
      <xdr:rowOff>400050</xdr:rowOff>
    </xdr:from>
    <xdr:to>
      <xdr:col>5</xdr:col>
      <xdr:colOff>1666875</xdr:colOff>
      <xdr:row>4</xdr:row>
      <xdr:rowOff>400050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5419725" y="140970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</xdr:row>
      <xdr:rowOff>127000</xdr:rowOff>
    </xdr:from>
    <xdr:to>
      <xdr:col>5</xdr:col>
      <xdr:colOff>356810</xdr:colOff>
      <xdr:row>4</xdr:row>
      <xdr:rowOff>409912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H="1" flipV="1">
          <a:off x="5423535" y="113665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</xdr:row>
      <xdr:rowOff>134252</xdr:rowOff>
    </xdr:from>
    <xdr:to>
      <xdr:col>5</xdr:col>
      <xdr:colOff>1652211</xdr:colOff>
      <xdr:row>4</xdr:row>
      <xdr:rowOff>417164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flipH="1" flipV="1">
          <a:off x="6718935" y="114363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5</xdr:row>
      <xdr:rowOff>400050</xdr:rowOff>
    </xdr:from>
    <xdr:to>
      <xdr:col>5</xdr:col>
      <xdr:colOff>1666875</xdr:colOff>
      <xdr:row>5</xdr:row>
      <xdr:rowOff>400050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5419725" y="196723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</xdr:row>
      <xdr:rowOff>127000</xdr:rowOff>
    </xdr:from>
    <xdr:to>
      <xdr:col>5</xdr:col>
      <xdr:colOff>356810</xdr:colOff>
      <xdr:row>5</xdr:row>
      <xdr:rowOff>409912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H="1" flipV="1">
          <a:off x="5423535" y="169418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</xdr:row>
      <xdr:rowOff>134252</xdr:rowOff>
    </xdr:from>
    <xdr:to>
      <xdr:col>5</xdr:col>
      <xdr:colOff>1652211</xdr:colOff>
      <xdr:row>5</xdr:row>
      <xdr:rowOff>417164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 flipH="1" flipV="1">
          <a:off x="6718935" y="170116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7</xdr:row>
      <xdr:rowOff>400050</xdr:rowOff>
    </xdr:from>
    <xdr:to>
      <xdr:col>5</xdr:col>
      <xdr:colOff>1666875</xdr:colOff>
      <xdr:row>7</xdr:row>
      <xdr:rowOff>400050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5419725" y="2762885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</xdr:row>
      <xdr:rowOff>127000</xdr:rowOff>
    </xdr:from>
    <xdr:to>
      <xdr:col>5</xdr:col>
      <xdr:colOff>356810</xdr:colOff>
      <xdr:row>7</xdr:row>
      <xdr:rowOff>409912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flipH="1" flipV="1">
          <a:off x="5423535" y="248983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</xdr:row>
      <xdr:rowOff>134252</xdr:rowOff>
    </xdr:from>
    <xdr:to>
      <xdr:col>5</xdr:col>
      <xdr:colOff>1652211</xdr:colOff>
      <xdr:row>7</xdr:row>
      <xdr:rowOff>417164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 flipH="1" flipV="1">
          <a:off x="6718935" y="249682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</xdr:row>
      <xdr:rowOff>400050</xdr:rowOff>
    </xdr:from>
    <xdr:to>
      <xdr:col>5</xdr:col>
      <xdr:colOff>1666875</xdr:colOff>
      <xdr:row>8</xdr:row>
      <xdr:rowOff>400050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5419725" y="3320415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</xdr:row>
      <xdr:rowOff>127000</xdr:rowOff>
    </xdr:from>
    <xdr:to>
      <xdr:col>5</xdr:col>
      <xdr:colOff>356810</xdr:colOff>
      <xdr:row>8</xdr:row>
      <xdr:rowOff>409912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flipH="1" flipV="1">
          <a:off x="5423535" y="304736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</xdr:row>
      <xdr:rowOff>134252</xdr:rowOff>
    </xdr:from>
    <xdr:to>
      <xdr:col>5</xdr:col>
      <xdr:colOff>1652211</xdr:colOff>
      <xdr:row>8</xdr:row>
      <xdr:rowOff>417164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 flipH="1" flipV="1">
          <a:off x="6718935" y="305435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10</xdr:row>
      <xdr:rowOff>400050</xdr:rowOff>
    </xdr:from>
    <xdr:to>
      <xdr:col>5</xdr:col>
      <xdr:colOff>1666875</xdr:colOff>
      <xdr:row>10</xdr:row>
      <xdr:rowOff>400050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>
          <a:off x="5419725" y="411607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10</xdr:row>
      <xdr:rowOff>127000</xdr:rowOff>
    </xdr:from>
    <xdr:to>
      <xdr:col>5</xdr:col>
      <xdr:colOff>356810</xdr:colOff>
      <xdr:row>10</xdr:row>
      <xdr:rowOff>409912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 flipH="1" flipV="1">
          <a:off x="5423535" y="384302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10</xdr:row>
      <xdr:rowOff>134252</xdr:rowOff>
    </xdr:from>
    <xdr:to>
      <xdr:col>5</xdr:col>
      <xdr:colOff>1652211</xdr:colOff>
      <xdr:row>10</xdr:row>
      <xdr:rowOff>417164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 flipH="1" flipV="1">
          <a:off x="6718935" y="385000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11</xdr:row>
      <xdr:rowOff>400050</xdr:rowOff>
    </xdr:from>
    <xdr:to>
      <xdr:col>5</xdr:col>
      <xdr:colOff>1666875</xdr:colOff>
      <xdr:row>11</xdr:row>
      <xdr:rowOff>400050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>
          <a:off x="5419725" y="467360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</xdr:row>
      <xdr:rowOff>127000</xdr:rowOff>
    </xdr:from>
    <xdr:to>
      <xdr:col>5</xdr:col>
      <xdr:colOff>356810</xdr:colOff>
      <xdr:row>11</xdr:row>
      <xdr:rowOff>409912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 flipH="1" flipV="1">
          <a:off x="5423535" y="440055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</xdr:row>
      <xdr:rowOff>134252</xdr:rowOff>
    </xdr:from>
    <xdr:to>
      <xdr:col>5</xdr:col>
      <xdr:colOff>1652211</xdr:colOff>
      <xdr:row>11</xdr:row>
      <xdr:rowOff>417164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/>
      </xdr:nvCxnSpPr>
      <xdr:spPr>
        <a:xfrm flipH="1" flipV="1">
          <a:off x="6718935" y="440753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</xdr:row>
      <xdr:rowOff>400050</xdr:rowOff>
    </xdr:from>
    <xdr:to>
      <xdr:col>5</xdr:col>
      <xdr:colOff>1666875</xdr:colOff>
      <xdr:row>13</xdr:row>
      <xdr:rowOff>400050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>
          <a:off x="5419725" y="5469255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</xdr:row>
      <xdr:rowOff>127000</xdr:rowOff>
    </xdr:from>
    <xdr:to>
      <xdr:col>5</xdr:col>
      <xdr:colOff>356810</xdr:colOff>
      <xdr:row>13</xdr:row>
      <xdr:rowOff>409912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H="1" flipV="1">
          <a:off x="5423535" y="519620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</xdr:row>
      <xdr:rowOff>134252</xdr:rowOff>
    </xdr:from>
    <xdr:to>
      <xdr:col>5</xdr:col>
      <xdr:colOff>1652211</xdr:colOff>
      <xdr:row>13</xdr:row>
      <xdr:rowOff>417164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H="1" flipV="1">
          <a:off x="6718935" y="520319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14</xdr:row>
      <xdr:rowOff>400050</xdr:rowOff>
    </xdr:from>
    <xdr:to>
      <xdr:col>5</xdr:col>
      <xdr:colOff>1666875</xdr:colOff>
      <xdr:row>14</xdr:row>
      <xdr:rowOff>400050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>
          <a:off x="5419725" y="6026785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</xdr:row>
      <xdr:rowOff>127000</xdr:rowOff>
    </xdr:from>
    <xdr:to>
      <xdr:col>5</xdr:col>
      <xdr:colOff>356810</xdr:colOff>
      <xdr:row>14</xdr:row>
      <xdr:rowOff>409912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/>
      </xdr:nvCxnSpPr>
      <xdr:spPr>
        <a:xfrm flipH="1" flipV="1">
          <a:off x="5423535" y="575373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</xdr:row>
      <xdr:rowOff>134252</xdr:rowOff>
    </xdr:from>
    <xdr:to>
      <xdr:col>5</xdr:col>
      <xdr:colOff>1652211</xdr:colOff>
      <xdr:row>14</xdr:row>
      <xdr:rowOff>417164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/>
      </xdr:nvCxnSpPr>
      <xdr:spPr>
        <a:xfrm flipH="1" flipV="1">
          <a:off x="6718935" y="576072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</xdr:row>
      <xdr:rowOff>400050</xdr:rowOff>
    </xdr:from>
    <xdr:to>
      <xdr:col>5</xdr:col>
      <xdr:colOff>1666875</xdr:colOff>
      <xdr:row>16</xdr:row>
      <xdr:rowOff>400050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/>
      </xdr:nvCxnSpPr>
      <xdr:spPr>
        <a:xfrm>
          <a:off x="5419725" y="682244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</xdr:row>
      <xdr:rowOff>127000</xdr:rowOff>
    </xdr:from>
    <xdr:to>
      <xdr:col>5</xdr:col>
      <xdr:colOff>356810</xdr:colOff>
      <xdr:row>16</xdr:row>
      <xdr:rowOff>409912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/>
      </xdr:nvCxnSpPr>
      <xdr:spPr>
        <a:xfrm flipH="1" flipV="1">
          <a:off x="5423535" y="654939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</xdr:row>
      <xdr:rowOff>134252</xdr:rowOff>
    </xdr:from>
    <xdr:to>
      <xdr:col>5</xdr:col>
      <xdr:colOff>1652211</xdr:colOff>
      <xdr:row>16</xdr:row>
      <xdr:rowOff>417164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 flipH="1" flipV="1">
          <a:off x="6718935" y="655637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17</xdr:row>
      <xdr:rowOff>400050</xdr:rowOff>
    </xdr:from>
    <xdr:to>
      <xdr:col>5</xdr:col>
      <xdr:colOff>1666875</xdr:colOff>
      <xdr:row>17</xdr:row>
      <xdr:rowOff>400050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>
          <a:off x="5419725" y="737997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</xdr:row>
      <xdr:rowOff>127000</xdr:rowOff>
    </xdr:from>
    <xdr:to>
      <xdr:col>5</xdr:col>
      <xdr:colOff>356810</xdr:colOff>
      <xdr:row>17</xdr:row>
      <xdr:rowOff>409912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flipH="1" flipV="1">
          <a:off x="5423535" y="710692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</xdr:row>
      <xdr:rowOff>134252</xdr:rowOff>
    </xdr:from>
    <xdr:to>
      <xdr:col>5</xdr:col>
      <xdr:colOff>1652211</xdr:colOff>
      <xdr:row>17</xdr:row>
      <xdr:rowOff>417164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 flipV="1">
          <a:off x="6718935" y="711390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19</xdr:row>
      <xdr:rowOff>400050</xdr:rowOff>
    </xdr:from>
    <xdr:to>
      <xdr:col>5</xdr:col>
      <xdr:colOff>1666875</xdr:colOff>
      <xdr:row>19</xdr:row>
      <xdr:rowOff>400050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5419725" y="8175625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</xdr:row>
      <xdr:rowOff>127000</xdr:rowOff>
    </xdr:from>
    <xdr:to>
      <xdr:col>5</xdr:col>
      <xdr:colOff>356810</xdr:colOff>
      <xdr:row>19</xdr:row>
      <xdr:rowOff>409912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 flipV="1">
          <a:off x="5423535" y="790257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</xdr:row>
      <xdr:rowOff>134252</xdr:rowOff>
    </xdr:from>
    <xdr:to>
      <xdr:col>5</xdr:col>
      <xdr:colOff>1652211</xdr:colOff>
      <xdr:row>19</xdr:row>
      <xdr:rowOff>417164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 flipV="1">
          <a:off x="6718935" y="790956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</xdr:row>
      <xdr:rowOff>400050</xdr:rowOff>
    </xdr:from>
    <xdr:to>
      <xdr:col>5</xdr:col>
      <xdr:colOff>1666875</xdr:colOff>
      <xdr:row>20</xdr:row>
      <xdr:rowOff>400050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5419725" y="8733155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</xdr:row>
      <xdr:rowOff>127000</xdr:rowOff>
    </xdr:from>
    <xdr:to>
      <xdr:col>5</xdr:col>
      <xdr:colOff>356810</xdr:colOff>
      <xdr:row>20</xdr:row>
      <xdr:rowOff>409912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 flipH="1" flipV="1">
          <a:off x="5423535" y="846010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</xdr:row>
      <xdr:rowOff>134252</xdr:rowOff>
    </xdr:from>
    <xdr:to>
      <xdr:col>5</xdr:col>
      <xdr:colOff>1652211</xdr:colOff>
      <xdr:row>20</xdr:row>
      <xdr:rowOff>417164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 flipH="1" flipV="1">
          <a:off x="6718935" y="846709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22</xdr:row>
      <xdr:rowOff>400050</xdr:rowOff>
    </xdr:from>
    <xdr:to>
      <xdr:col>5</xdr:col>
      <xdr:colOff>1666875</xdr:colOff>
      <xdr:row>22</xdr:row>
      <xdr:rowOff>400050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>
          <a:off x="5419725" y="952881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22</xdr:row>
      <xdr:rowOff>127000</xdr:rowOff>
    </xdr:from>
    <xdr:to>
      <xdr:col>5</xdr:col>
      <xdr:colOff>356810</xdr:colOff>
      <xdr:row>22</xdr:row>
      <xdr:rowOff>409912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 flipH="1" flipV="1">
          <a:off x="5423535" y="925576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22</xdr:row>
      <xdr:rowOff>134252</xdr:rowOff>
    </xdr:from>
    <xdr:to>
      <xdr:col>5</xdr:col>
      <xdr:colOff>1652211</xdr:colOff>
      <xdr:row>22</xdr:row>
      <xdr:rowOff>417164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 flipH="1" flipV="1">
          <a:off x="6718935" y="926274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23</xdr:row>
      <xdr:rowOff>400050</xdr:rowOff>
    </xdr:from>
    <xdr:to>
      <xdr:col>5</xdr:col>
      <xdr:colOff>1666875</xdr:colOff>
      <xdr:row>23</xdr:row>
      <xdr:rowOff>400050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/>
      </xdr:nvCxnSpPr>
      <xdr:spPr>
        <a:xfrm>
          <a:off x="5419725" y="1008634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</xdr:row>
      <xdr:rowOff>127000</xdr:rowOff>
    </xdr:from>
    <xdr:to>
      <xdr:col>5</xdr:col>
      <xdr:colOff>356810</xdr:colOff>
      <xdr:row>23</xdr:row>
      <xdr:rowOff>409912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 flipH="1" flipV="1">
          <a:off x="5423535" y="981329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</xdr:row>
      <xdr:rowOff>134252</xdr:rowOff>
    </xdr:from>
    <xdr:to>
      <xdr:col>5</xdr:col>
      <xdr:colOff>1652211</xdr:colOff>
      <xdr:row>23</xdr:row>
      <xdr:rowOff>417164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 flipH="1" flipV="1">
          <a:off x="6718935" y="982027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25</xdr:row>
      <xdr:rowOff>400050</xdr:rowOff>
    </xdr:from>
    <xdr:to>
      <xdr:col>5</xdr:col>
      <xdr:colOff>1666875</xdr:colOff>
      <xdr:row>25</xdr:row>
      <xdr:rowOff>400050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>
          <a:off x="5419725" y="10881995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</xdr:row>
      <xdr:rowOff>127000</xdr:rowOff>
    </xdr:from>
    <xdr:to>
      <xdr:col>5</xdr:col>
      <xdr:colOff>356810</xdr:colOff>
      <xdr:row>25</xdr:row>
      <xdr:rowOff>409912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 flipH="1" flipV="1">
          <a:off x="5423535" y="1060894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</xdr:row>
      <xdr:rowOff>134252</xdr:rowOff>
    </xdr:from>
    <xdr:to>
      <xdr:col>5</xdr:col>
      <xdr:colOff>1652211</xdr:colOff>
      <xdr:row>25</xdr:row>
      <xdr:rowOff>417164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 flipH="1" flipV="1">
          <a:off x="6718935" y="1061593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26</xdr:row>
      <xdr:rowOff>400050</xdr:rowOff>
    </xdr:from>
    <xdr:to>
      <xdr:col>5</xdr:col>
      <xdr:colOff>1666875</xdr:colOff>
      <xdr:row>26</xdr:row>
      <xdr:rowOff>400050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>
          <a:off x="5419725" y="11439525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26</xdr:row>
      <xdr:rowOff>127000</xdr:rowOff>
    </xdr:from>
    <xdr:to>
      <xdr:col>5</xdr:col>
      <xdr:colOff>356810</xdr:colOff>
      <xdr:row>26</xdr:row>
      <xdr:rowOff>409912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H="1" flipV="1">
          <a:off x="5423535" y="11166475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26</xdr:row>
      <xdr:rowOff>134252</xdr:rowOff>
    </xdr:from>
    <xdr:to>
      <xdr:col>5</xdr:col>
      <xdr:colOff>1652211</xdr:colOff>
      <xdr:row>26</xdr:row>
      <xdr:rowOff>417164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 flipH="1" flipV="1">
          <a:off x="6718935" y="11173460"/>
          <a:ext cx="0" cy="2825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33</xdr:row>
      <xdr:rowOff>123824</xdr:rowOff>
    </xdr:from>
    <xdr:to>
      <xdr:col>5</xdr:col>
      <xdr:colOff>1428750</xdr:colOff>
      <xdr:row>33</xdr:row>
      <xdr:rowOff>1219199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734050" y="14672945"/>
          <a:ext cx="762000" cy="1076960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33</xdr:row>
      <xdr:rowOff>238127</xdr:rowOff>
    </xdr:from>
    <xdr:to>
      <xdr:col>5</xdr:col>
      <xdr:colOff>790575</xdr:colOff>
      <xdr:row>33</xdr:row>
      <xdr:rowOff>361950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 flipH="1" flipV="1">
          <a:off x="5715000" y="1478788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33</xdr:row>
      <xdr:rowOff>133352</xdr:rowOff>
    </xdr:from>
    <xdr:to>
      <xdr:col>5</xdr:col>
      <xdr:colOff>885825</xdr:colOff>
      <xdr:row>33</xdr:row>
      <xdr:rowOff>257175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 flipH="1" flipV="1">
          <a:off x="5810250" y="1468310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596515</xdr:colOff>
      <xdr:row>32</xdr:row>
      <xdr:rowOff>1380347</xdr:rowOff>
    </xdr:from>
    <xdr:to>
      <xdr:col>5</xdr:col>
      <xdr:colOff>899410</xdr:colOff>
      <xdr:row>32</xdr:row>
      <xdr:rowOff>1380347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/>
      </xdr:nvCxnSpPr>
      <xdr:spPr>
        <a:xfrm>
          <a:off x="5663565" y="14405610"/>
          <a:ext cx="30289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873706</xdr:colOff>
      <xdr:row>32</xdr:row>
      <xdr:rowOff>650293</xdr:rowOff>
    </xdr:from>
    <xdr:to>
      <xdr:col>5</xdr:col>
      <xdr:colOff>880674</xdr:colOff>
      <xdr:row>32</xdr:row>
      <xdr:rowOff>1380349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/>
      </xdr:nvCxnSpPr>
      <xdr:spPr>
        <a:xfrm flipH="1" flipV="1">
          <a:off x="5940425" y="13675995"/>
          <a:ext cx="6985" cy="72961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873470</xdr:colOff>
      <xdr:row>32</xdr:row>
      <xdr:rowOff>115704</xdr:rowOff>
    </xdr:from>
    <xdr:to>
      <xdr:col>5</xdr:col>
      <xdr:colOff>973444</xdr:colOff>
      <xdr:row>32</xdr:row>
      <xdr:rowOff>653644</xdr:rowOff>
    </xdr:to>
    <xdr:cxnSp macro="">
      <xdr:nvCxnSpPr>
        <xdr:cNvPr id="68" name="Curved Connector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/>
      </xdr:nvCxnSpPr>
      <xdr:spPr>
        <a:xfrm rot="5400000">
          <a:off x="5721350" y="13360400"/>
          <a:ext cx="537845" cy="99695"/>
        </a:xfrm>
        <a:prstGeom prst="curvedConnector3">
          <a:avLst>
            <a:gd name="adj1" fmla="val 50000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36</xdr:row>
      <xdr:rowOff>123824</xdr:rowOff>
    </xdr:from>
    <xdr:to>
      <xdr:col>5</xdr:col>
      <xdr:colOff>1428750</xdr:colOff>
      <xdr:row>36</xdr:row>
      <xdr:rowOff>1219199</xdr:rowOff>
    </xdr:to>
    <xdr:sp macro="" textlink="">
      <xdr:nvSpPr>
        <xdr:cNvPr id="89" name="Rounded Rectangl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5734050" y="17635220"/>
          <a:ext cx="762000" cy="1076960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36</xdr:row>
      <xdr:rowOff>238127</xdr:rowOff>
    </xdr:from>
    <xdr:to>
      <xdr:col>5</xdr:col>
      <xdr:colOff>790575</xdr:colOff>
      <xdr:row>36</xdr:row>
      <xdr:rowOff>361950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CxnSpPr/>
      </xdr:nvCxnSpPr>
      <xdr:spPr>
        <a:xfrm flipH="1" flipV="1">
          <a:off x="5715000" y="1775015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36</xdr:row>
      <xdr:rowOff>133352</xdr:rowOff>
    </xdr:from>
    <xdr:to>
      <xdr:col>5</xdr:col>
      <xdr:colOff>885825</xdr:colOff>
      <xdr:row>36</xdr:row>
      <xdr:rowOff>257175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/>
      </xdr:nvCxnSpPr>
      <xdr:spPr>
        <a:xfrm flipH="1" flipV="1">
          <a:off x="5810250" y="1764538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596515</xdr:colOff>
      <xdr:row>35</xdr:row>
      <xdr:rowOff>1380347</xdr:rowOff>
    </xdr:from>
    <xdr:to>
      <xdr:col>5</xdr:col>
      <xdr:colOff>899410</xdr:colOff>
      <xdr:row>35</xdr:row>
      <xdr:rowOff>1380347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CxnSpPr/>
      </xdr:nvCxnSpPr>
      <xdr:spPr>
        <a:xfrm>
          <a:off x="5663565" y="17367885"/>
          <a:ext cx="30289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873706</xdr:colOff>
      <xdr:row>35</xdr:row>
      <xdr:rowOff>650293</xdr:rowOff>
    </xdr:from>
    <xdr:to>
      <xdr:col>5</xdr:col>
      <xdr:colOff>880674</xdr:colOff>
      <xdr:row>35</xdr:row>
      <xdr:rowOff>1380349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/>
      </xdr:nvCxnSpPr>
      <xdr:spPr>
        <a:xfrm flipH="1" flipV="1">
          <a:off x="5940425" y="16638270"/>
          <a:ext cx="6985" cy="72961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873470</xdr:colOff>
      <xdr:row>35</xdr:row>
      <xdr:rowOff>115704</xdr:rowOff>
    </xdr:from>
    <xdr:to>
      <xdr:col>5</xdr:col>
      <xdr:colOff>973444</xdr:colOff>
      <xdr:row>35</xdr:row>
      <xdr:rowOff>653644</xdr:rowOff>
    </xdr:to>
    <xdr:cxnSp macro="">
      <xdr:nvCxnSpPr>
        <xdr:cNvPr id="94" name="Curved Connector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/>
      </xdr:nvCxnSpPr>
      <xdr:spPr>
        <a:xfrm rot="5400000">
          <a:off x="5721350" y="16322675"/>
          <a:ext cx="537845" cy="99695"/>
        </a:xfrm>
        <a:prstGeom prst="curvedConnector3">
          <a:avLst>
            <a:gd name="adj1" fmla="val 50000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39</xdr:row>
      <xdr:rowOff>123824</xdr:rowOff>
    </xdr:from>
    <xdr:to>
      <xdr:col>5</xdr:col>
      <xdr:colOff>1428750</xdr:colOff>
      <xdr:row>39</xdr:row>
      <xdr:rowOff>1219199</xdr:rowOff>
    </xdr:to>
    <xdr:sp macro="" textlink="">
      <xdr:nvSpPr>
        <xdr:cNvPr id="95" name="Rounded Rectangl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5734050" y="20597495"/>
          <a:ext cx="762000" cy="1076960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39</xdr:row>
      <xdr:rowOff>238127</xdr:rowOff>
    </xdr:from>
    <xdr:to>
      <xdr:col>5</xdr:col>
      <xdr:colOff>790575</xdr:colOff>
      <xdr:row>39</xdr:row>
      <xdr:rowOff>361950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/>
      </xdr:nvCxnSpPr>
      <xdr:spPr>
        <a:xfrm flipH="1" flipV="1">
          <a:off x="5715000" y="207124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39</xdr:row>
      <xdr:rowOff>133352</xdr:rowOff>
    </xdr:from>
    <xdr:to>
      <xdr:col>5</xdr:col>
      <xdr:colOff>885825</xdr:colOff>
      <xdr:row>39</xdr:row>
      <xdr:rowOff>257175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/>
      </xdr:nvCxnSpPr>
      <xdr:spPr>
        <a:xfrm flipH="1" flipV="1">
          <a:off x="5810250" y="2060765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596515</xdr:colOff>
      <xdr:row>38</xdr:row>
      <xdr:rowOff>1380347</xdr:rowOff>
    </xdr:from>
    <xdr:to>
      <xdr:col>5</xdr:col>
      <xdr:colOff>899410</xdr:colOff>
      <xdr:row>38</xdr:row>
      <xdr:rowOff>1380347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CxnSpPr/>
      </xdr:nvCxnSpPr>
      <xdr:spPr>
        <a:xfrm>
          <a:off x="5663565" y="20330160"/>
          <a:ext cx="30289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873706</xdr:colOff>
      <xdr:row>38</xdr:row>
      <xdr:rowOff>650293</xdr:rowOff>
    </xdr:from>
    <xdr:to>
      <xdr:col>5</xdr:col>
      <xdr:colOff>880674</xdr:colOff>
      <xdr:row>38</xdr:row>
      <xdr:rowOff>1380349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/>
      </xdr:nvCxnSpPr>
      <xdr:spPr>
        <a:xfrm flipH="1" flipV="1">
          <a:off x="5940425" y="19600545"/>
          <a:ext cx="6985" cy="72961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873470</xdr:colOff>
      <xdr:row>38</xdr:row>
      <xdr:rowOff>115704</xdr:rowOff>
    </xdr:from>
    <xdr:to>
      <xdr:col>5</xdr:col>
      <xdr:colOff>973444</xdr:colOff>
      <xdr:row>38</xdr:row>
      <xdr:rowOff>653644</xdr:rowOff>
    </xdr:to>
    <xdr:cxnSp macro="">
      <xdr:nvCxnSpPr>
        <xdr:cNvPr id="100" name="Curved Connector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CxnSpPr/>
      </xdr:nvCxnSpPr>
      <xdr:spPr>
        <a:xfrm rot="5400000">
          <a:off x="5721350" y="19284950"/>
          <a:ext cx="537845" cy="99695"/>
        </a:xfrm>
        <a:prstGeom prst="curvedConnector3">
          <a:avLst>
            <a:gd name="adj1" fmla="val 50000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42</xdr:row>
      <xdr:rowOff>123824</xdr:rowOff>
    </xdr:from>
    <xdr:to>
      <xdr:col>5</xdr:col>
      <xdr:colOff>1428750</xdr:colOff>
      <xdr:row>42</xdr:row>
      <xdr:rowOff>1219199</xdr:rowOff>
    </xdr:to>
    <xdr:sp macro="" textlink="">
      <xdr:nvSpPr>
        <xdr:cNvPr id="101" name="Rounded Rectangl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5734050" y="23559770"/>
          <a:ext cx="762000" cy="1076960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42</xdr:row>
      <xdr:rowOff>238127</xdr:rowOff>
    </xdr:from>
    <xdr:to>
      <xdr:col>5</xdr:col>
      <xdr:colOff>790575</xdr:colOff>
      <xdr:row>42</xdr:row>
      <xdr:rowOff>361950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/>
      </xdr:nvCxnSpPr>
      <xdr:spPr>
        <a:xfrm flipH="1" flipV="1">
          <a:off x="5715000" y="2367470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42</xdr:row>
      <xdr:rowOff>133352</xdr:rowOff>
    </xdr:from>
    <xdr:to>
      <xdr:col>5</xdr:col>
      <xdr:colOff>885825</xdr:colOff>
      <xdr:row>42</xdr:row>
      <xdr:rowOff>257175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/>
      </xdr:nvCxnSpPr>
      <xdr:spPr>
        <a:xfrm flipH="1" flipV="1">
          <a:off x="5810250" y="235699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596515</xdr:colOff>
      <xdr:row>41</xdr:row>
      <xdr:rowOff>1380347</xdr:rowOff>
    </xdr:from>
    <xdr:to>
      <xdr:col>5</xdr:col>
      <xdr:colOff>899410</xdr:colOff>
      <xdr:row>41</xdr:row>
      <xdr:rowOff>1380347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CxnSpPr/>
      </xdr:nvCxnSpPr>
      <xdr:spPr>
        <a:xfrm>
          <a:off x="5663565" y="23292435"/>
          <a:ext cx="30289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873706</xdr:colOff>
      <xdr:row>41</xdr:row>
      <xdr:rowOff>650293</xdr:rowOff>
    </xdr:from>
    <xdr:to>
      <xdr:col>5</xdr:col>
      <xdr:colOff>880674</xdr:colOff>
      <xdr:row>41</xdr:row>
      <xdr:rowOff>1380349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CxnSpPr/>
      </xdr:nvCxnSpPr>
      <xdr:spPr>
        <a:xfrm flipH="1" flipV="1">
          <a:off x="5940425" y="22562820"/>
          <a:ext cx="6985" cy="72961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873470</xdr:colOff>
      <xdr:row>41</xdr:row>
      <xdr:rowOff>115704</xdr:rowOff>
    </xdr:from>
    <xdr:to>
      <xdr:col>5</xdr:col>
      <xdr:colOff>973444</xdr:colOff>
      <xdr:row>41</xdr:row>
      <xdr:rowOff>653644</xdr:rowOff>
    </xdr:to>
    <xdr:cxnSp macro="">
      <xdr:nvCxnSpPr>
        <xdr:cNvPr id="106" name="Curved Connector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/>
      </xdr:nvCxnSpPr>
      <xdr:spPr>
        <a:xfrm rot="5400000">
          <a:off x="5721350" y="22247225"/>
          <a:ext cx="537845" cy="99695"/>
        </a:xfrm>
        <a:prstGeom prst="curvedConnector3">
          <a:avLst>
            <a:gd name="adj1" fmla="val 50000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45</xdr:row>
      <xdr:rowOff>123824</xdr:rowOff>
    </xdr:from>
    <xdr:to>
      <xdr:col>5</xdr:col>
      <xdr:colOff>1428750</xdr:colOff>
      <xdr:row>45</xdr:row>
      <xdr:rowOff>1219199</xdr:rowOff>
    </xdr:to>
    <xdr:sp macro="" textlink="">
      <xdr:nvSpPr>
        <xdr:cNvPr id="107" name="Rounded Rectangl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5734050" y="26522045"/>
          <a:ext cx="762000" cy="1076960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45</xdr:row>
      <xdr:rowOff>238127</xdr:rowOff>
    </xdr:from>
    <xdr:to>
      <xdr:col>5</xdr:col>
      <xdr:colOff>790575</xdr:colOff>
      <xdr:row>45</xdr:row>
      <xdr:rowOff>361950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CxnSpPr/>
      </xdr:nvCxnSpPr>
      <xdr:spPr>
        <a:xfrm flipH="1" flipV="1">
          <a:off x="5715000" y="2663698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45</xdr:row>
      <xdr:rowOff>133352</xdr:rowOff>
    </xdr:from>
    <xdr:to>
      <xdr:col>5</xdr:col>
      <xdr:colOff>885825</xdr:colOff>
      <xdr:row>45</xdr:row>
      <xdr:rowOff>257175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CxnSpPr/>
      </xdr:nvCxnSpPr>
      <xdr:spPr>
        <a:xfrm flipH="1" flipV="1">
          <a:off x="5810250" y="2653220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596515</xdr:colOff>
      <xdr:row>44</xdr:row>
      <xdr:rowOff>1380347</xdr:rowOff>
    </xdr:from>
    <xdr:to>
      <xdr:col>5</xdr:col>
      <xdr:colOff>899410</xdr:colOff>
      <xdr:row>44</xdr:row>
      <xdr:rowOff>1380347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CxnSpPr/>
      </xdr:nvCxnSpPr>
      <xdr:spPr>
        <a:xfrm>
          <a:off x="5663565" y="26254710"/>
          <a:ext cx="30289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873706</xdr:colOff>
      <xdr:row>44</xdr:row>
      <xdr:rowOff>650293</xdr:rowOff>
    </xdr:from>
    <xdr:to>
      <xdr:col>5</xdr:col>
      <xdr:colOff>880674</xdr:colOff>
      <xdr:row>44</xdr:row>
      <xdr:rowOff>1380349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/>
      </xdr:nvCxnSpPr>
      <xdr:spPr>
        <a:xfrm flipH="1" flipV="1">
          <a:off x="5940425" y="25525095"/>
          <a:ext cx="6985" cy="72961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873470</xdr:colOff>
      <xdr:row>44</xdr:row>
      <xdr:rowOff>115704</xdr:rowOff>
    </xdr:from>
    <xdr:to>
      <xdr:col>5</xdr:col>
      <xdr:colOff>973444</xdr:colOff>
      <xdr:row>44</xdr:row>
      <xdr:rowOff>653644</xdr:rowOff>
    </xdr:to>
    <xdr:cxnSp macro="">
      <xdr:nvCxnSpPr>
        <xdr:cNvPr id="112" name="Curved Connector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CxnSpPr/>
      </xdr:nvCxnSpPr>
      <xdr:spPr>
        <a:xfrm rot="5400000">
          <a:off x="5721350" y="25209500"/>
          <a:ext cx="537845" cy="99695"/>
        </a:xfrm>
        <a:prstGeom prst="curvedConnector3">
          <a:avLst>
            <a:gd name="adj1" fmla="val 50000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48</xdr:row>
      <xdr:rowOff>123824</xdr:rowOff>
    </xdr:from>
    <xdr:to>
      <xdr:col>5</xdr:col>
      <xdr:colOff>1428750</xdr:colOff>
      <xdr:row>48</xdr:row>
      <xdr:rowOff>1219199</xdr:rowOff>
    </xdr:to>
    <xdr:sp macro="" textlink="">
      <xdr:nvSpPr>
        <xdr:cNvPr id="113" name="Rounded Rectangl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5734050" y="29484320"/>
          <a:ext cx="762000" cy="1076960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48</xdr:row>
      <xdr:rowOff>238127</xdr:rowOff>
    </xdr:from>
    <xdr:to>
      <xdr:col>5</xdr:col>
      <xdr:colOff>790575</xdr:colOff>
      <xdr:row>48</xdr:row>
      <xdr:rowOff>361950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CxnSpPr/>
      </xdr:nvCxnSpPr>
      <xdr:spPr>
        <a:xfrm flipH="1" flipV="1">
          <a:off x="5715000" y="2959925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48</xdr:row>
      <xdr:rowOff>133352</xdr:rowOff>
    </xdr:from>
    <xdr:to>
      <xdr:col>5</xdr:col>
      <xdr:colOff>885825</xdr:colOff>
      <xdr:row>48</xdr:row>
      <xdr:rowOff>257175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CxnSpPr/>
      </xdr:nvCxnSpPr>
      <xdr:spPr>
        <a:xfrm flipH="1" flipV="1">
          <a:off x="5810250" y="2949448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596515</xdr:colOff>
      <xdr:row>47</xdr:row>
      <xdr:rowOff>1380347</xdr:rowOff>
    </xdr:from>
    <xdr:to>
      <xdr:col>5</xdr:col>
      <xdr:colOff>899410</xdr:colOff>
      <xdr:row>47</xdr:row>
      <xdr:rowOff>1380347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CxnSpPr/>
      </xdr:nvCxnSpPr>
      <xdr:spPr>
        <a:xfrm>
          <a:off x="5663565" y="29216985"/>
          <a:ext cx="30289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873706</xdr:colOff>
      <xdr:row>47</xdr:row>
      <xdr:rowOff>650293</xdr:rowOff>
    </xdr:from>
    <xdr:to>
      <xdr:col>5</xdr:col>
      <xdr:colOff>880674</xdr:colOff>
      <xdr:row>47</xdr:row>
      <xdr:rowOff>1380349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CxnSpPr/>
      </xdr:nvCxnSpPr>
      <xdr:spPr>
        <a:xfrm flipH="1" flipV="1">
          <a:off x="5940425" y="28487370"/>
          <a:ext cx="6985" cy="72961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873470</xdr:colOff>
      <xdr:row>47</xdr:row>
      <xdr:rowOff>115704</xdr:rowOff>
    </xdr:from>
    <xdr:to>
      <xdr:col>5</xdr:col>
      <xdr:colOff>973444</xdr:colOff>
      <xdr:row>47</xdr:row>
      <xdr:rowOff>653644</xdr:rowOff>
    </xdr:to>
    <xdr:cxnSp macro="">
      <xdr:nvCxnSpPr>
        <xdr:cNvPr id="118" name="Curved Connector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CxnSpPr/>
      </xdr:nvCxnSpPr>
      <xdr:spPr>
        <a:xfrm rot="5400000">
          <a:off x="5721350" y="28171775"/>
          <a:ext cx="537845" cy="99695"/>
        </a:xfrm>
        <a:prstGeom prst="curvedConnector3">
          <a:avLst>
            <a:gd name="adj1" fmla="val 50000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51</xdr:row>
      <xdr:rowOff>123824</xdr:rowOff>
    </xdr:from>
    <xdr:to>
      <xdr:col>5</xdr:col>
      <xdr:colOff>1428750</xdr:colOff>
      <xdr:row>51</xdr:row>
      <xdr:rowOff>1219199</xdr:rowOff>
    </xdr:to>
    <xdr:sp macro="" textlink="">
      <xdr:nvSpPr>
        <xdr:cNvPr id="119" name="Rounded Rectangle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5734050" y="32446595"/>
          <a:ext cx="762000" cy="1076960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51</xdr:row>
      <xdr:rowOff>238127</xdr:rowOff>
    </xdr:from>
    <xdr:to>
      <xdr:col>5</xdr:col>
      <xdr:colOff>790575</xdr:colOff>
      <xdr:row>51</xdr:row>
      <xdr:rowOff>361950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CxnSpPr/>
      </xdr:nvCxnSpPr>
      <xdr:spPr>
        <a:xfrm flipH="1" flipV="1">
          <a:off x="5715000" y="325615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51</xdr:row>
      <xdr:rowOff>133352</xdr:rowOff>
    </xdr:from>
    <xdr:to>
      <xdr:col>5</xdr:col>
      <xdr:colOff>885825</xdr:colOff>
      <xdr:row>51</xdr:row>
      <xdr:rowOff>257175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CxnSpPr/>
      </xdr:nvCxnSpPr>
      <xdr:spPr>
        <a:xfrm flipH="1" flipV="1">
          <a:off x="5810250" y="3245675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596515</xdr:colOff>
      <xdr:row>50</xdr:row>
      <xdr:rowOff>1380347</xdr:rowOff>
    </xdr:from>
    <xdr:to>
      <xdr:col>5</xdr:col>
      <xdr:colOff>899410</xdr:colOff>
      <xdr:row>50</xdr:row>
      <xdr:rowOff>1380347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CxnSpPr/>
      </xdr:nvCxnSpPr>
      <xdr:spPr>
        <a:xfrm>
          <a:off x="5663565" y="32179260"/>
          <a:ext cx="30289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873706</xdr:colOff>
      <xdr:row>50</xdr:row>
      <xdr:rowOff>650293</xdr:rowOff>
    </xdr:from>
    <xdr:to>
      <xdr:col>5</xdr:col>
      <xdr:colOff>880674</xdr:colOff>
      <xdr:row>50</xdr:row>
      <xdr:rowOff>1380349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CxnSpPr/>
      </xdr:nvCxnSpPr>
      <xdr:spPr>
        <a:xfrm flipH="1" flipV="1">
          <a:off x="5940425" y="31449645"/>
          <a:ext cx="6985" cy="72961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873470</xdr:colOff>
      <xdr:row>50</xdr:row>
      <xdr:rowOff>115704</xdr:rowOff>
    </xdr:from>
    <xdr:to>
      <xdr:col>5</xdr:col>
      <xdr:colOff>973444</xdr:colOff>
      <xdr:row>50</xdr:row>
      <xdr:rowOff>653644</xdr:rowOff>
    </xdr:to>
    <xdr:cxnSp macro="">
      <xdr:nvCxnSpPr>
        <xdr:cNvPr id="124" name="Curved Connector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CxnSpPr/>
      </xdr:nvCxnSpPr>
      <xdr:spPr>
        <a:xfrm rot="5400000">
          <a:off x="5721350" y="31134050"/>
          <a:ext cx="537845" cy="99695"/>
        </a:xfrm>
        <a:prstGeom prst="curvedConnector3">
          <a:avLst>
            <a:gd name="adj1" fmla="val 50000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54</xdr:row>
      <xdr:rowOff>123824</xdr:rowOff>
    </xdr:from>
    <xdr:to>
      <xdr:col>5</xdr:col>
      <xdr:colOff>1428750</xdr:colOff>
      <xdr:row>54</xdr:row>
      <xdr:rowOff>1219199</xdr:rowOff>
    </xdr:to>
    <xdr:sp macro="" textlink="">
      <xdr:nvSpPr>
        <xdr:cNvPr id="125" name="Rounded Rectangle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5734050" y="35408870"/>
          <a:ext cx="762000" cy="1076960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660886</xdr:colOff>
      <xdr:row>54</xdr:row>
      <xdr:rowOff>224942</xdr:rowOff>
    </xdr:from>
    <xdr:to>
      <xdr:col>5</xdr:col>
      <xdr:colOff>803760</xdr:colOff>
      <xdr:row>54</xdr:row>
      <xdr:rowOff>348765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CxnSpPr/>
      </xdr:nvCxnSpPr>
      <xdr:spPr>
        <a:xfrm flipH="1" flipV="1">
          <a:off x="5727700" y="3551047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54</xdr:row>
      <xdr:rowOff>133352</xdr:rowOff>
    </xdr:from>
    <xdr:to>
      <xdr:col>5</xdr:col>
      <xdr:colOff>885825</xdr:colOff>
      <xdr:row>54</xdr:row>
      <xdr:rowOff>257175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CxnSpPr/>
      </xdr:nvCxnSpPr>
      <xdr:spPr>
        <a:xfrm flipH="1" flipV="1">
          <a:off x="5810250" y="354190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596515</xdr:colOff>
      <xdr:row>53</xdr:row>
      <xdr:rowOff>1380347</xdr:rowOff>
    </xdr:from>
    <xdr:to>
      <xdr:col>5</xdr:col>
      <xdr:colOff>899410</xdr:colOff>
      <xdr:row>53</xdr:row>
      <xdr:rowOff>1380347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CxnSpPr/>
      </xdr:nvCxnSpPr>
      <xdr:spPr>
        <a:xfrm>
          <a:off x="5663565" y="35141535"/>
          <a:ext cx="30289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873706</xdr:colOff>
      <xdr:row>53</xdr:row>
      <xdr:rowOff>650293</xdr:rowOff>
    </xdr:from>
    <xdr:to>
      <xdr:col>5</xdr:col>
      <xdr:colOff>880674</xdr:colOff>
      <xdr:row>53</xdr:row>
      <xdr:rowOff>1380349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CxnSpPr/>
      </xdr:nvCxnSpPr>
      <xdr:spPr>
        <a:xfrm flipH="1" flipV="1">
          <a:off x="5940425" y="34411920"/>
          <a:ext cx="6985" cy="72961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873470</xdr:colOff>
      <xdr:row>53</xdr:row>
      <xdr:rowOff>115704</xdr:rowOff>
    </xdr:from>
    <xdr:to>
      <xdr:col>5</xdr:col>
      <xdr:colOff>973444</xdr:colOff>
      <xdr:row>53</xdr:row>
      <xdr:rowOff>653644</xdr:rowOff>
    </xdr:to>
    <xdr:cxnSp macro="">
      <xdr:nvCxnSpPr>
        <xdr:cNvPr id="130" name="Curved Connector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CxnSpPr/>
      </xdr:nvCxnSpPr>
      <xdr:spPr>
        <a:xfrm rot="5400000">
          <a:off x="5721350" y="34096325"/>
          <a:ext cx="537845" cy="99695"/>
        </a:xfrm>
        <a:prstGeom prst="curvedConnector3">
          <a:avLst>
            <a:gd name="adj1" fmla="val 50000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61</xdr:row>
      <xdr:rowOff>123824</xdr:rowOff>
    </xdr:from>
    <xdr:to>
      <xdr:col>5</xdr:col>
      <xdr:colOff>1428750</xdr:colOff>
      <xdr:row>61</xdr:row>
      <xdr:rowOff>1219199</xdr:rowOff>
    </xdr:to>
    <xdr:sp macro="" textlink="">
      <xdr:nvSpPr>
        <xdr:cNvPr id="175" name="Rounded Rectangle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5734050" y="39485570"/>
          <a:ext cx="762000" cy="10953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61</xdr:row>
      <xdr:rowOff>238127</xdr:rowOff>
    </xdr:from>
    <xdr:to>
      <xdr:col>5</xdr:col>
      <xdr:colOff>790575</xdr:colOff>
      <xdr:row>61</xdr:row>
      <xdr:rowOff>361950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CxnSpPr/>
      </xdr:nvCxnSpPr>
      <xdr:spPr>
        <a:xfrm flipH="1" flipV="1">
          <a:off x="5715000" y="3960050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61</xdr:row>
      <xdr:rowOff>133352</xdr:rowOff>
    </xdr:from>
    <xdr:to>
      <xdr:col>5</xdr:col>
      <xdr:colOff>885825</xdr:colOff>
      <xdr:row>61</xdr:row>
      <xdr:rowOff>257175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CxnSpPr/>
      </xdr:nvCxnSpPr>
      <xdr:spPr>
        <a:xfrm flipH="1" flipV="1">
          <a:off x="5810250" y="394957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873706</xdr:colOff>
      <xdr:row>60</xdr:row>
      <xdr:rowOff>650293</xdr:rowOff>
    </xdr:from>
    <xdr:to>
      <xdr:col>5</xdr:col>
      <xdr:colOff>880674</xdr:colOff>
      <xdr:row>60</xdr:row>
      <xdr:rowOff>1380349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CxnSpPr/>
      </xdr:nvCxnSpPr>
      <xdr:spPr>
        <a:xfrm flipH="1" flipV="1">
          <a:off x="5940425" y="38488620"/>
          <a:ext cx="6985" cy="72961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873470</xdr:colOff>
      <xdr:row>60</xdr:row>
      <xdr:rowOff>115704</xdr:rowOff>
    </xdr:from>
    <xdr:to>
      <xdr:col>5</xdr:col>
      <xdr:colOff>973444</xdr:colOff>
      <xdr:row>60</xdr:row>
      <xdr:rowOff>653644</xdr:rowOff>
    </xdr:to>
    <xdr:cxnSp macro="">
      <xdr:nvCxnSpPr>
        <xdr:cNvPr id="180" name="Curved Connector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CxnSpPr/>
      </xdr:nvCxnSpPr>
      <xdr:spPr>
        <a:xfrm rot="5400000">
          <a:off x="5721350" y="38173025"/>
          <a:ext cx="537845" cy="99695"/>
        </a:xfrm>
        <a:prstGeom prst="curvedConnector3">
          <a:avLst>
            <a:gd name="adj1" fmla="val 50000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64</xdr:row>
      <xdr:rowOff>123824</xdr:rowOff>
    </xdr:from>
    <xdr:to>
      <xdr:col>5</xdr:col>
      <xdr:colOff>1428750</xdr:colOff>
      <xdr:row>64</xdr:row>
      <xdr:rowOff>1219199</xdr:rowOff>
    </xdr:to>
    <xdr:sp macro="" textlink="">
      <xdr:nvSpPr>
        <xdr:cNvPr id="181" name="Rounded Rectangle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>
          <a:off x="5734050" y="42647870"/>
          <a:ext cx="762000" cy="10953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64</xdr:row>
      <xdr:rowOff>238127</xdr:rowOff>
    </xdr:from>
    <xdr:to>
      <xdr:col>5</xdr:col>
      <xdr:colOff>790575</xdr:colOff>
      <xdr:row>64</xdr:row>
      <xdr:rowOff>361950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CxnSpPr/>
      </xdr:nvCxnSpPr>
      <xdr:spPr>
        <a:xfrm flipH="1" flipV="1">
          <a:off x="5715000" y="4276280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64</xdr:row>
      <xdr:rowOff>133352</xdr:rowOff>
    </xdr:from>
    <xdr:to>
      <xdr:col>5</xdr:col>
      <xdr:colOff>885825</xdr:colOff>
      <xdr:row>64</xdr:row>
      <xdr:rowOff>257175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CxnSpPr/>
      </xdr:nvCxnSpPr>
      <xdr:spPr>
        <a:xfrm flipH="1" flipV="1">
          <a:off x="5810250" y="426580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873706</xdr:colOff>
      <xdr:row>63</xdr:row>
      <xdr:rowOff>650293</xdr:rowOff>
    </xdr:from>
    <xdr:to>
      <xdr:col>5</xdr:col>
      <xdr:colOff>880674</xdr:colOff>
      <xdr:row>63</xdr:row>
      <xdr:rowOff>1380349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CxnSpPr/>
      </xdr:nvCxnSpPr>
      <xdr:spPr>
        <a:xfrm flipH="1" flipV="1">
          <a:off x="5940425" y="41650920"/>
          <a:ext cx="6985" cy="72961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873470</xdr:colOff>
      <xdr:row>63</xdr:row>
      <xdr:rowOff>115704</xdr:rowOff>
    </xdr:from>
    <xdr:to>
      <xdr:col>5</xdr:col>
      <xdr:colOff>973444</xdr:colOff>
      <xdr:row>63</xdr:row>
      <xdr:rowOff>653644</xdr:rowOff>
    </xdr:to>
    <xdr:cxnSp macro="">
      <xdr:nvCxnSpPr>
        <xdr:cNvPr id="186" name="Curved Connector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CxnSpPr/>
      </xdr:nvCxnSpPr>
      <xdr:spPr>
        <a:xfrm rot="5400000">
          <a:off x="5721350" y="41335325"/>
          <a:ext cx="537845" cy="99695"/>
        </a:xfrm>
        <a:prstGeom prst="curvedConnector3">
          <a:avLst>
            <a:gd name="adj1" fmla="val 50000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67</xdr:row>
      <xdr:rowOff>123824</xdr:rowOff>
    </xdr:from>
    <xdr:to>
      <xdr:col>5</xdr:col>
      <xdr:colOff>1428750</xdr:colOff>
      <xdr:row>67</xdr:row>
      <xdr:rowOff>1219199</xdr:rowOff>
    </xdr:to>
    <xdr:sp macro="" textlink="">
      <xdr:nvSpPr>
        <xdr:cNvPr id="187" name="Rounded Rectangle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>
          <a:off x="5734050" y="45810170"/>
          <a:ext cx="762000" cy="10953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67</xdr:row>
      <xdr:rowOff>238127</xdr:rowOff>
    </xdr:from>
    <xdr:to>
      <xdr:col>5</xdr:col>
      <xdr:colOff>790575</xdr:colOff>
      <xdr:row>67</xdr:row>
      <xdr:rowOff>361950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CxnSpPr/>
      </xdr:nvCxnSpPr>
      <xdr:spPr>
        <a:xfrm flipH="1" flipV="1">
          <a:off x="5715000" y="4592510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67</xdr:row>
      <xdr:rowOff>133352</xdr:rowOff>
    </xdr:from>
    <xdr:to>
      <xdr:col>5</xdr:col>
      <xdr:colOff>885825</xdr:colOff>
      <xdr:row>67</xdr:row>
      <xdr:rowOff>257175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CxnSpPr/>
      </xdr:nvCxnSpPr>
      <xdr:spPr>
        <a:xfrm flipH="1" flipV="1">
          <a:off x="5810250" y="458203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873706</xdr:colOff>
      <xdr:row>66</xdr:row>
      <xdr:rowOff>650293</xdr:rowOff>
    </xdr:from>
    <xdr:to>
      <xdr:col>5</xdr:col>
      <xdr:colOff>880674</xdr:colOff>
      <xdr:row>66</xdr:row>
      <xdr:rowOff>1380349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CxnSpPr/>
      </xdr:nvCxnSpPr>
      <xdr:spPr>
        <a:xfrm flipH="1" flipV="1">
          <a:off x="5940425" y="44813220"/>
          <a:ext cx="6985" cy="72961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873470</xdr:colOff>
      <xdr:row>66</xdr:row>
      <xdr:rowOff>115704</xdr:rowOff>
    </xdr:from>
    <xdr:to>
      <xdr:col>5</xdr:col>
      <xdr:colOff>973444</xdr:colOff>
      <xdr:row>66</xdr:row>
      <xdr:rowOff>653644</xdr:rowOff>
    </xdr:to>
    <xdr:cxnSp macro="">
      <xdr:nvCxnSpPr>
        <xdr:cNvPr id="192" name="Curved Connector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CxnSpPr/>
      </xdr:nvCxnSpPr>
      <xdr:spPr>
        <a:xfrm rot="5400000">
          <a:off x="5721350" y="44497625"/>
          <a:ext cx="537845" cy="99695"/>
        </a:xfrm>
        <a:prstGeom prst="curvedConnector3">
          <a:avLst>
            <a:gd name="adj1" fmla="val 50000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70</xdr:row>
      <xdr:rowOff>123824</xdr:rowOff>
    </xdr:from>
    <xdr:to>
      <xdr:col>5</xdr:col>
      <xdr:colOff>1428750</xdr:colOff>
      <xdr:row>70</xdr:row>
      <xdr:rowOff>1219199</xdr:rowOff>
    </xdr:to>
    <xdr:sp macro="" textlink="">
      <xdr:nvSpPr>
        <xdr:cNvPr id="193" name="Rounded Rectangle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>
          <a:off x="5734050" y="48972470"/>
          <a:ext cx="762000" cy="10953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70</xdr:row>
      <xdr:rowOff>238127</xdr:rowOff>
    </xdr:from>
    <xdr:to>
      <xdr:col>5</xdr:col>
      <xdr:colOff>790575</xdr:colOff>
      <xdr:row>70</xdr:row>
      <xdr:rowOff>361950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CxnSpPr/>
      </xdr:nvCxnSpPr>
      <xdr:spPr>
        <a:xfrm flipH="1" flipV="1">
          <a:off x="5715000" y="4908740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70</xdr:row>
      <xdr:rowOff>133352</xdr:rowOff>
    </xdr:from>
    <xdr:to>
      <xdr:col>5</xdr:col>
      <xdr:colOff>885825</xdr:colOff>
      <xdr:row>70</xdr:row>
      <xdr:rowOff>257175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CxnSpPr/>
      </xdr:nvCxnSpPr>
      <xdr:spPr>
        <a:xfrm flipH="1" flipV="1">
          <a:off x="5810250" y="489826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873706</xdr:colOff>
      <xdr:row>69</xdr:row>
      <xdr:rowOff>650293</xdr:rowOff>
    </xdr:from>
    <xdr:to>
      <xdr:col>5</xdr:col>
      <xdr:colOff>880674</xdr:colOff>
      <xdr:row>69</xdr:row>
      <xdr:rowOff>1380349</xdr:rowOff>
    </xdr:to>
    <xdr:cxnSp macro="">
      <xdr:nvCxnSpPr>
        <xdr:cNvPr id="197" name="Straight Connector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CxnSpPr/>
      </xdr:nvCxnSpPr>
      <xdr:spPr>
        <a:xfrm flipH="1" flipV="1">
          <a:off x="5940425" y="47975520"/>
          <a:ext cx="6985" cy="72961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873470</xdr:colOff>
      <xdr:row>69</xdr:row>
      <xdr:rowOff>115704</xdr:rowOff>
    </xdr:from>
    <xdr:to>
      <xdr:col>5</xdr:col>
      <xdr:colOff>973444</xdr:colOff>
      <xdr:row>69</xdr:row>
      <xdr:rowOff>653644</xdr:rowOff>
    </xdr:to>
    <xdr:cxnSp macro="">
      <xdr:nvCxnSpPr>
        <xdr:cNvPr id="198" name="Curved Connector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CxnSpPr/>
      </xdr:nvCxnSpPr>
      <xdr:spPr>
        <a:xfrm rot="5400000">
          <a:off x="5721350" y="47659925"/>
          <a:ext cx="537845" cy="99695"/>
        </a:xfrm>
        <a:prstGeom prst="curvedConnector3">
          <a:avLst>
            <a:gd name="adj1" fmla="val 50000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73</xdr:row>
      <xdr:rowOff>123824</xdr:rowOff>
    </xdr:from>
    <xdr:to>
      <xdr:col>5</xdr:col>
      <xdr:colOff>1428750</xdr:colOff>
      <xdr:row>73</xdr:row>
      <xdr:rowOff>1219199</xdr:rowOff>
    </xdr:to>
    <xdr:sp macro="" textlink="">
      <xdr:nvSpPr>
        <xdr:cNvPr id="199" name="Rounded Rectangle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/>
      </xdr:nvSpPr>
      <xdr:spPr>
        <a:xfrm>
          <a:off x="5734050" y="52134770"/>
          <a:ext cx="762000" cy="10953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73</xdr:row>
      <xdr:rowOff>238127</xdr:rowOff>
    </xdr:from>
    <xdr:to>
      <xdr:col>5</xdr:col>
      <xdr:colOff>790575</xdr:colOff>
      <xdr:row>73</xdr:row>
      <xdr:rowOff>361950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CxnSpPr/>
      </xdr:nvCxnSpPr>
      <xdr:spPr>
        <a:xfrm flipH="1" flipV="1">
          <a:off x="5715000" y="5224970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73</xdr:row>
      <xdr:rowOff>133352</xdr:rowOff>
    </xdr:from>
    <xdr:to>
      <xdr:col>5</xdr:col>
      <xdr:colOff>885825</xdr:colOff>
      <xdr:row>73</xdr:row>
      <xdr:rowOff>257175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CxnSpPr/>
      </xdr:nvCxnSpPr>
      <xdr:spPr>
        <a:xfrm flipH="1" flipV="1">
          <a:off x="5810250" y="521449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784218</xdr:colOff>
      <xdr:row>72</xdr:row>
      <xdr:rowOff>356886</xdr:rowOff>
    </xdr:from>
    <xdr:to>
      <xdr:col>5</xdr:col>
      <xdr:colOff>784218</xdr:colOff>
      <xdr:row>72</xdr:row>
      <xdr:rowOff>1332122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CxnSpPr/>
      </xdr:nvCxnSpPr>
      <xdr:spPr>
        <a:xfrm flipV="1">
          <a:off x="5850890" y="50844450"/>
          <a:ext cx="0" cy="9747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76</xdr:row>
      <xdr:rowOff>123824</xdr:rowOff>
    </xdr:from>
    <xdr:to>
      <xdr:col>5</xdr:col>
      <xdr:colOff>1428750</xdr:colOff>
      <xdr:row>76</xdr:row>
      <xdr:rowOff>1219199</xdr:rowOff>
    </xdr:to>
    <xdr:sp macro="" textlink="">
      <xdr:nvSpPr>
        <xdr:cNvPr id="205" name="Rounded Rectangle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/>
      </xdr:nvSpPr>
      <xdr:spPr>
        <a:xfrm>
          <a:off x="5734050" y="55297070"/>
          <a:ext cx="762000" cy="10953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76</xdr:row>
      <xdr:rowOff>238127</xdr:rowOff>
    </xdr:from>
    <xdr:to>
      <xdr:col>5</xdr:col>
      <xdr:colOff>790575</xdr:colOff>
      <xdr:row>76</xdr:row>
      <xdr:rowOff>361950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CxnSpPr/>
      </xdr:nvCxnSpPr>
      <xdr:spPr>
        <a:xfrm flipH="1" flipV="1">
          <a:off x="5715000" y="5541200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76</xdr:row>
      <xdr:rowOff>133352</xdr:rowOff>
    </xdr:from>
    <xdr:to>
      <xdr:col>5</xdr:col>
      <xdr:colOff>885825</xdr:colOff>
      <xdr:row>76</xdr:row>
      <xdr:rowOff>257175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CxnSpPr/>
      </xdr:nvCxnSpPr>
      <xdr:spPr>
        <a:xfrm flipH="1" flipV="1">
          <a:off x="5810250" y="553072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79</xdr:row>
      <xdr:rowOff>123824</xdr:rowOff>
    </xdr:from>
    <xdr:to>
      <xdr:col>5</xdr:col>
      <xdr:colOff>1428750</xdr:colOff>
      <xdr:row>79</xdr:row>
      <xdr:rowOff>1219199</xdr:rowOff>
    </xdr:to>
    <xdr:sp macro="" textlink="">
      <xdr:nvSpPr>
        <xdr:cNvPr id="211" name="Rounded Rectangle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5734050" y="58459370"/>
          <a:ext cx="762000" cy="10953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79</xdr:row>
      <xdr:rowOff>238127</xdr:rowOff>
    </xdr:from>
    <xdr:to>
      <xdr:col>5</xdr:col>
      <xdr:colOff>790575</xdr:colOff>
      <xdr:row>79</xdr:row>
      <xdr:rowOff>361950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CxnSpPr/>
      </xdr:nvCxnSpPr>
      <xdr:spPr>
        <a:xfrm flipH="1" flipV="1">
          <a:off x="5715000" y="5857430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79</xdr:row>
      <xdr:rowOff>133352</xdr:rowOff>
    </xdr:from>
    <xdr:to>
      <xdr:col>5</xdr:col>
      <xdr:colOff>885825</xdr:colOff>
      <xdr:row>79</xdr:row>
      <xdr:rowOff>257175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CxnSpPr/>
      </xdr:nvCxnSpPr>
      <xdr:spPr>
        <a:xfrm flipH="1" flipV="1">
          <a:off x="5810250" y="584695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82</xdr:row>
      <xdr:rowOff>123824</xdr:rowOff>
    </xdr:from>
    <xdr:to>
      <xdr:col>5</xdr:col>
      <xdr:colOff>1428750</xdr:colOff>
      <xdr:row>82</xdr:row>
      <xdr:rowOff>1219199</xdr:rowOff>
    </xdr:to>
    <xdr:sp macro="" textlink="">
      <xdr:nvSpPr>
        <xdr:cNvPr id="217" name="Rounded Rectangle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>
          <a:off x="5734050" y="61621670"/>
          <a:ext cx="762000" cy="10953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660886</xdr:colOff>
      <xdr:row>82</xdr:row>
      <xdr:rowOff>224942</xdr:rowOff>
    </xdr:from>
    <xdr:to>
      <xdr:col>5</xdr:col>
      <xdr:colOff>803760</xdr:colOff>
      <xdr:row>82</xdr:row>
      <xdr:rowOff>348765</xdr:rowOff>
    </xdr:to>
    <xdr:cxnSp macro="">
      <xdr:nvCxnSpPr>
        <xdr:cNvPr id="218" name="Straight Connector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CxnSpPr/>
      </xdr:nvCxnSpPr>
      <xdr:spPr>
        <a:xfrm flipH="1" flipV="1">
          <a:off x="5727700" y="6172327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82</xdr:row>
      <xdr:rowOff>133352</xdr:rowOff>
    </xdr:from>
    <xdr:to>
      <xdr:col>5</xdr:col>
      <xdr:colOff>885825</xdr:colOff>
      <xdr:row>82</xdr:row>
      <xdr:rowOff>257175</xdr:rowOff>
    </xdr:to>
    <xdr:cxnSp macro="">
      <xdr:nvCxnSpPr>
        <xdr:cNvPr id="219" name="Straight Connector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CxnSpPr/>
      </xdr:nvCxnSpPr>
      <xdr:spPr>
        <a:xfrm flipH="1" flipV="1">
          <a:off x="5810250" y="616318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761999</xdr:colOff>
      <xdr:row>72</xdr:row>
      <xdr:rowOff>347241</xdr:rowOff>
    </xdr:from>
    <xdr:to>
      <xdr:col>5</xdr:col>
      <xdr:colOff>1157468</xdr:colOff>
      <xdr:row>72</xdr:row>
      <xdr:rowOff>356888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CxnSpPr/>
      </xdr:nvCxnSpPr>
      <xdr:spPr>
        <a:xfrm flipH="1">
          <a:off x="5828665" y="50834290"/>
          <a:ext cx="395605" cy="1016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774574</xdr:colOff>
      <xdr:row>75</xdr:row>
      <xdr:rowOff>289367</xdr:rowOff>
    </xdr:from>
    <xdr:to>
      <xdr:col>5</xdr:col>
      <xdr:colOff>774574</xdr:colOff>
      <xdr:row>75</xdr:row>
      <xdr:rowOff>1264603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CxnSpPr/>
      </xdr:nvCxnSpPr>
      <xdr:spPr>
        <a:xfrm flipV="1">
          <a:off x="5841365" y="53938805"/>
          <a:ext cx="0" cy="97536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752355</xdr:colOff>
      <xdr:row>75</xdr:row>
      <xdr:rowOff>279722</xdr:rowOff>
    </xdr:from>
    <xdr:to>
      <xdr:col>5</xdr:col>
      <xdr:colOff>1147824</xdr:colOff>
      <xdr:row>75</xdr:row>
      <xdr:rowOff>289369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CxnSpPr/>
      </xdr:nvCxnSpPr>
      <xdr:spPr>
        <a:xfrm flipH="1">
          <a:off x="5819140" y="53929280"/>
          <a:ext cx="395605" cy="95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784219</xdr:colOff>
      <xdr:row>78</xdr:row>
      <xdr:rowOff>270076</xdr:rowOff>
    </xdr:from>
    <xdr:to>
      <xdr:col>5</xdr:col>
      <xdr:colOff>784219</xdr:colOff>
      <xdr:row>78</xdr:row>
      <xdr:rowOff>1245312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CxnSpPr/>
      </xdr:nvCxnSpPr>
      <xdr:spPr>
        <a:xfrm flipV="1">
          <a:off x="5850890" y="57082055"/>
          <a:ext cx="0" cy="97536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78</xdr:row>
      <xdr:rowOff>260431</xdr:rowOff>
    </xdr:from>
    <xdr:to>
      <xdr:col>5</xdr:col>
      <xdr:colOff>1157469</xdr:colOff>
      <xdr:row>78</xdr:row>
      <xdr:rowOff>270078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CxnSpPr/>
      </xdr:nvCxnSpPr>
      <xdr:spPr>
        <a:xfrm flipH="1">
          <a:off x="5829300" y="57072530"/>
          <a:ext cx="394970" cy="95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793864</xdr:colOff>
      <xdr:row>81</xdr:row>
      <xdr:rowOff>260430</xdr:rowOff>
    </xdr:from>
    <xdr:to>
      <xdr:col>5</xdr:col>
      <xdr:colOff>793864</xdr:colOff>
      <xdr:row>81</xdr:row>
      <xdr:rowOff>1235666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CxnSpPr/>
      </xdr:nvCxnSpPr>
      <xdr:spPr>
        <a:xfrm flipV="1">
          <a:off x="5861050" y="60234830"/>
          <a:ext cx="0" cy="9747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771645</xdr:colOff>
      <xdr:row>81</xdr:row>
      <xdr:rowOff>250785</xdr:rowOff>
    </xdr:from>
    <xdr:to>
      <xdr:col>5</xdr:col>
      <xdr:colOff>1167114</xdr:colOff>
      <xdr:row>81</xdr:row>
      <xdr:rowOff>260432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CxnSpPr/>
      </xdr:nvCxnSpPr>
      <xdr:spPr>
        <a:xfrm flipH="1">
          <a:off x="5838825" y="60224670"/>
          <a:ext cx="394970" cy="1016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89</xdr:row>
      <xdr:rowOff>123824</xdr:rowOff>
    </xdr:from>
    <xdr:to>
      <xdr:col>5</xdr:col>
      <xdr:colOff>1428750</xdr:colOff>
      <xdr:row>89</xdr:row>
      <xdr:rowOff>1219199</xdr:rowOff>
    </xdr:to>
    <xdr:sp macro="" textlink="">
      <xdr:nvSpPr>
        <xdr:cNvPr id="157" name="Rounded Rectangle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5734050" y="65860295"/>
          <a:ext cx="762000" cy="10953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89</xdr:row>
      <xdr:rowOff>238127</xdr:rowOff>
    </xdr:from>
    <xdr:to>
      <xdr:col>5</xdr:col>
      <xdr:colOff>790575</xdr:colOff>
      <xdr:row>89</xdr:row>
      <xdr:rowOff>361950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CxnSpPr/>
      </xdr:nvCxnSpPr>
      <xdr:spPr>
        <a:xfrm flipH="1" flipV="1">
          <a:off x="5715000" y="659752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89</xdr:row>
      <xdr:rowOff>133352</xdr:rowOff>
    </xdr:from>
    <xdr:to>
      <xdr:col>5</xdr:col>
      <xdr:colOff>885825</xdr:colOff>
      <xdr:row>89</xdr:row>
      <xdr:rowOff>257175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CxnSpPr/>
      </xdr:nvCxnSpPr>
      <xdr:spPr>
        <a:xfrm flipH="1" flipV="1">
          <a:off x="5810250" y="6587045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92</xdr:row>
      <xdr:rowOff>123824</xdr:rowOff>
    </xdr:from>
    <xdr:to>
      <xdr:col>5</xdr:col>
      <xdr:colOff>1428750</xdr:colOff>
      <xdr:row>92</xdr:row>
      <xdr:rowOff>1219199</xdr:rowOff>
    </xdr:to>
    <xdr:sp macro="" textlink="">
      <xdr:nvSpPr>
        <xdr:cNvPr id="162" name="Rounded Rectangle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5734050" y="69022595"/>
          <a:ext cx="762000" cy="10953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92</xdr:row>
      <xdr:rowOff>238127</xdr:rowOff>
    </xdr:from>
    <xdr:to>
      <xdr:col>5</xdr:col>
      <xdr:colOff>790575</xdr:colOff>
      <xdr:row>92</xdr:row>
      <xdr:rowOff>361950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CxnSpPr/>
      </xdr:nvCxnSpPr>
      <xdr:spPr>
        <a:xfrm flipH="1" flipV="1">
          <a:off x="5715000" y="691375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92</xdr:row>
      <xdr:rowOff>133352</xdr:rowOff>
    </xdr:from>
    <xdr:to>
      <xdr:col>5</xdr:col>
      <xdr:colOff>885825</xdr:colOff>
      <xdr:row>92</xdr:row>
      <xdr:rowOff>257175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CxnSpPr/>
      </xdr:nvCxnSpPr>
      <xdr:spPr>
        <a:xfrm flipH="1" flipV="1">
          <a:off x="5810250" y="6903275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95</xdr:row>
      <xdr:rowOff>123824</xdr:rowOff>
    </xdr:from>
    <xdr:to>
      <xdr:col>5</xdr:col>
      <xdr:colOff>1428750</xdr:colOff>
      <xdr:row>95</xdr:row>
      <xdr:rowOff>1219199</xdr:rowOff>
    </xdr:to>
    <xdr:sp macro="" textlink="">
      <xdr:nvSpPr>
        <xdr:cNvPr id="167" name="Rounded Rectangle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5734050" y="72184895"/>
          <a:ext cx="762000" cy="10953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95</xdr:row>
      <xdr:rowOff>238127</xdr:rowOff>
    </xdr:from>
    <xdr:to>
      <xdr:col>5</xdr:col>
      <xdr:colOff>790575</xdr:colOff>
      <xdr:row>95</xdr:row>
      <xdr:rowOff>361950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CxnSpPr/>
      </xdr:nvCxnSpPr>
      <xdr:spPr>
        <a:xfrm flipH="1" flipV="1">
          <a:off x="5715000" y="722998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95</xdr:row>
      <xdr:rowOff>133352</xdr:rowOff>
    </xdr:from>
    <xdr:to>
      <xdr:col>5</xdr:col>
      <xdr:colOff>885825</xdr:colOff>
      <xdr:row>95</xdr:row>
      <xdr:rowOff>257175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CxnSpPr/>
      </xdr:nvCxnSpPr>
      <xdr:spPr>
        <a:xfrm flipH="1" flipV="1">
          <a:off x="5810250" y="7219505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98</xdr:row>
      <xdr:rowOff>123824</xdr:rowOff>
    </xdr:from>
    <xdr:to>
      <xdr:col>5</xdr:col>
      <xdr:colOff>1428750</xdr:colOff>
      <xdr:row>98</xdr:row>
      <xdr:rowOff>1219199</xdr:rowOff>
    </xdr:to>
    <xdr:sp macro="" textlink="">
      <xdr:nvSpPr>
        <xdr:cNvPr id="172" name="Rounded Rectangle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>
          <a:off x="5734050" y="75347195"/>
          <a:ext cx="762000" cy="109537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98</xdr:row>
      <xdr:rowOff>238127</xdr:rowOff>
    </xdr:from>
    <xdr:to>
      <xdr:col>5</xdr:col>
      <xdr:colOff>790575</xdr:colOff>
      <xdr:row>98</xdr:row>
      <xdr:rowOff>361950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CxnSpPr/>
      </xdr:nvCxnSpPr>
      <xdr:spPr>
        <a:xfrm flipH="1" flipV="1">
          <a:off x="5715000" y="75462130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98</xdr:row>
      <xdr:rowOff>133352</xdr:rowOff>
    </xdr:from>
    <xdr:to>
      <xdr:col>5</xdr:col>
      <xdr:colOff>885825</xdr:colOff>
      <xdr:row>98</xdr:row>
      <xdr:rowOff>257175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CxnSpPr/>
      </xdr:nvCxnSpPr>
      <xdr:spPr>
        <a:xfrm flipH="1" flipV="1">
          <a:off x="5810250" y="75357355"/>
          <a:ext cx="142875" cy="1238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784219</xdr:colOff>
      <xdr:row>88</xdr:row>
      <xdr:rowOff>202557</xdr:rowOff>
    </xdr:from>
    <xdr:to>
      <xdr:col>5</xdr:col>
      <xdr:colOff>784219</xdr:colOff>
      <xdr:row>88</xdr:row>
      <xdr:rowOff>1177793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CxnSpPr/>
      </xdr:nvCxnSpPr>
      <xdr:spPr>
        <a:xfrm flipV="1">
          <a:off x="5850890" y="64415035"/>
          <a:ext cx="0" cy="97536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88</xdr:row>
      <xdr:rowOff>192912</xdr:rowOff>
    </xdr:from>
    <xdr:to>
      <xdr:col>5</xdr:col>
      <xdr:colOff>1157469</xdr:colOff>
      <xdr:row>88</xdr:row>
      <xdr:rowOff>202559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CxnSpPr/>
      </xdr:nvCxnSpPr>
      <xdr:spPr>
        <a:xfrm flipH="1">
          <a:off x="5829300" y="64405510"/>
          <a:ext cx="394970" cy="95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764928</xdr:colOff>
      <xdr:row>91</xdr:row>
      <xdr:rowOff>250784</xdr:rowOff>
    </xdr:from>
    <xdr:to>
      <xdr:col>5</xdr:col>
      <xdr:colOff>764928</xdr:colOff>
      <xdr:row>91</xdr:row>
      <xdr:rowOff>1226020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CxnSpPr/>
      </xdr:nvCxnSpPr>
      <xdr:spPr>
        <a:xfrm flipV="1">
          <a:off x="5831840" y="67625595"/>
          <a:ext cx="0" cy="97536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742709</xdr:colOff>
      <xdr:row>91</xdr:row>
      <xdr:rowOff>241139</xdr:rowOff>
    </xdr:from>
    <xdr:to>
      <xdr:col>5</xdr:col>
      <xdr:colOff>1138178</xdr:colOff>
      <xdr:row>91</xdr:row>
      <xdr:rowOff>250786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CxnSpPr/>
      </xdr:nvCxnSpPr>
      <xdr:spPr>
        <a:xfrm flipH="1">
          <a:off x="5809615" y="67616070"/>
          <a:ext cx="395605" cy="95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716700</xdr:colOff>
      <xdr:row>94</xdr:row>
      <xdr:rowOff>231493</xdr:rowOff>
    </xdr:from>
    <xdr:to>
      <xdr:col>5</xdr:col>
      <xdr:colOff>716700</xdr:colOff>
      <xdr:row>94</xdr:row>
      <xdr:rowOff>1206729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CxnSpPr/>
      </xdr:nvCxnSpPr>
      <xdr:spPr>
        <a:xfrm flipV="1">
          <a:off x="5783580" y="70768845"/>
          <a:ext cx="0" cy="97536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694481</xdr:colOff>
      <xdr:row>94</xdr:row>
      <xdr:rowOff>221848</xdr:rowOff>
    </xdr:from>
    <xdr:to>
      <xdr:col>5</xdr:col>
      <xdr:colOff>1089950</xdr:colOff>
      <xdr:row>94</xdr:row>
      <xdr:rowOff>231495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CxnSpPr/>
      </xdr:nvCxnSpPr>
      <xdr:spPr>
        <a:xfrm flipH="1">
          <a:off x="5761355" y="70759320"/>
          <a:ext cx="395605" cy="95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745637</xdr:colOff>
      <xdr:row>97</xdr:row>
      <xdr:rowOff>260430</xdr:rowOff>
    </xdr:from>
    <xdr:to>
      <xdr:col>5</xdr:col>
      <xdr:colOff>745637</xdr:colOff>
      <xdr:row>97</xdr:row>
      <xdr:rowOff>1235666</xdr:rowOff>
    </xdr:to>
    <xdr:cxnSp macro="">
      <xdr:nvCxnSpPr>
        <xdr:cNvPr id="223" name="Straight Connector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CxnSpPr/>
      </xdr:nvCxnSpPr>
      <xdr:spPr>
        <a:xfrm flipV="1">
          <a:off x="5812790" y="73960355"/>
          <a:ext cx="0" cy="9747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723418</xdr:colOff>
      <xdr:row>97</xdr:row>
      <xdr:rowOff>250785</xdr:rowOff>
    </xdr:from>
    <xdr:to>
      <xdr:col>5</xdr:col>
      <xdr:colOff>1118887</xdr:colOff>
      <xdr:row>97</xdr:row>
      <xdr:rowOff>260432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CxnSpPr/>
      </xdr:nvCxnSpPr>
      <xdr:spPr>
        <a:xfrm flipH="1">
          <a:off x="5790565" y="73950195"/>
          <a:ext cx="395605" cy="1016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325534</xdr:colOff>
      <xdr:row>105</xdr:row>
      <xdr:rowOff>711361</xdr:rowOff>
    </xdr:from>
    <xdr:to>
      <xdr:col>5</xdr:col>
      <xdr:colOff>554620</xdr:colOff>
      <xdr:row>105</xdr:row>
      <xdr:rowOff>711361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CxnSpPr/>
      </xdr:nvCxnSpPr>
      <xdr:spPr>
        <a:xfrm flipH="1">
          <a:off x="6161104" y="78719905"/>
          <a:ext cx="22908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337594</xdr:colOff>
      <xdr:row>105</xdr:row>
      <xdr:rowOff>856045</xdr:rowOff>
    </xdr:from>
    <xdr:to>
      <xdr:col>5</xdr:col>
      <xdr:colOff>1495063</xdr:colOff>
      <xdr:row>105</xdr:row>
      <xdr:rowOff>868101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CxnSpPr/>
      </xdr:nvCxnSpPr>
      <xdr:spPr>
        <a:xfrm flipH="1">
          <a:off x="6173164" y="78864589"/>
          <a:ext cx="1157469" cy="120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337595</xdr:colOff>
      <xdr:row>105</xdr:row>
      <xdr:rowOff>699304</xdr:rowOff>
    </xdr:from>
    <xdr:to>
      <xdr:col>5</xdr:col>
      <xdr:colOff>337596</xdr:colOff>
      <xdr:row>105</xdr:row>
      <xdr:rowOff>880161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CxnSpPr/>
      </xdr:nvCxnSpPr>
      <xdr:spPr>
        <a:xfrm flipH="1" flipV="1">
          <a:off x="6173165" y="78707848"/>
          <a:ext cx="1" cy="18085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482279</xdr:colOff>
      <xdr:row>107</xdr:row>
      <xdr:rowOff>723417</xdr:rowOff>
    </xdr:from>
    <xdr:to>
      <xdr:col>5</xdr:col>
      <xdr:colOff>1591519</xdr:colOff>
      <xdr:row>107</xdr:row>
      <xdr:rowOff>723418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CxnSpPr/>
      </xdr:nvCxnSpPr>
      <xdr:spPr>
        <a:xfrm flipH="1">
          <a:off x="6317849" y="81770316"/>
          <a:ext cx="1109240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482279</xdr:colOff>
      <xdr:row>108</xdr:row>
      <xdr:rowOff>723417</xdr:rowOff>
    </xdr:from>
    <xdr:to>
      <xdr:col>5</xdr:col>
      <xdr:colOff>1591519</xdr:colOff>
      <xdr:row>108</xdr:row>
      <xdr:rowOff>723418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CxnSpPr/>
      </xdr:nvCxnSpPr>
      <xdr:spPr>
        <a:xfrm flipH="1">
          <a:off x="6317849" y="81770316"/>
          <a:ext cx="1109240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1483006</xdr:colOff>
      <xdr:row>124</xdr:row>
      <xdr:rowOff>711361</xdr:rowOff>
    </xdr:from>
    <xdr:to>
      <xdr:col>5</xdr:col>
      <xdr:colOff>1868828</xdr:colOff>
      <xdr:row>124</xdr:row>
      <xdr:rowOff>711361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CxnSpPr/>
      </xdr:nvCxnSpPr>
      <xdr:spPr>
        <a:xfrm flipH="1">
          <a:off x="7318576" y="78719905"/>
          <a:ext cx="38582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639019</xdr:colOff>
      <xdr:row>124</xdr:row>
      <xdr:rowOff>868101</xdr:rowOff>
    </xdr:from>
    <xdr:to>
      <xdr:col>5</xdr:col>
      <xdr:colOff>1302151</xdr:colOff>
      <xdr:row>124</xdr:row>
      <xdr:rowOff>868101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CxnSpPr/>
      </xdr:nvCxnSpPr>
      <xdr:spPr>
        <a:xfrm flipH="1">
          <a:off x="6474589" y="78876645"/>
          <a:ext cx="6631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530506</xdr:colOff>
      <xdr:row>124</xdr:row>
      <xdr:rowOff>711361</xdr:rowOff>
    </xdr:from>
    <xdr:to>
      <xdr:col>5</xdr:col>
      <xdr:colOff>651076</xdr:colOff>
      <xdr:row>124</xdr:row>
      <xdr:rowOff>843987</xdr:rowOff>
    </xdr:to>
    <xdr:cxnSp macro="">
      <xdr:nvCxnSpPr>
        <xdr:cNvPr id="234" name="Straight Connector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CxnSpPr/>
      </xdr:nvCxnSpPr>
      <xdr:spPr>
        <a:xfrm flipH="1" flipV="1">
          <a:off x="6366076" y="78719905"/>
          <a:ext cx="120570" cy="13262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168797</xdr:colOff>
      <xdr:row>124</xdr:row>
      <xdr:rowOff>711361</xdr:rowOff>
    </xdr:from>
    <xdr:to>
      <xdr:col>5</xdr:col>
      <xdr:colOff>554619</xdr:colOff>
      <xdr:row>124</xdr:row>
      <xdr:rowOff>711361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CxnSpPr/>
      </xdr:nvCxnSpPr>
      <xdr:spPr>
        <a:xfrm flipH="1">
          <a:off x="6004367" y="78719905"/>
          <a:ext cx="38582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1302152</xdr:colOff>
      <xdr:row>124</xdr:row>
      <xdr:rowOff>711361</xdr:rowOff>
    </xdr:from>
    <xdr:to>
      <xdr:col>5</xdr:col>
      <xdr:colOff>1495063</xdr:colOff>
      <xdr:row>124</xdr:row>
      <xdr:rowOff>880160</xdr:rowOff>
    </xdr:to>
    <xdr:cxnSp macro="">
      <xdr:nvCxnSpPr>
        <xdr:cNvPr id="236" name="Straight Connector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CxnSpPr/>
      </xdr:nvCxnSpPr>
      <xdr:spPr>
        <a:xfrm flipV="1">
          <a:off x="7137722" y="78719905"/>
          <a:ext cx="192911" cy="16879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325534</xdr:colOff>
      <xdr:row>106</xdr:row>
      <xdr:rowOff>711361</xdr:rowOff>
    </xdr:from>
    <xdr:to>
      <xdr:col>5</xdr:col>
      <xdr:colOff>554620</xdr:colOff>
      <xdr:row>106</xdr:row>
      <xdr:rowOff>711361</xdr:rowOff>
    </xdr:to>
    <xdr:cxnSp macro="">
      <xdr:nvCxnSpPr>
        <xdr:cNvPr id="240" name="Straight Connector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CxnSpPr/>
      </xdr:nvCxnSpPr>
      <xdr:spPr>
        <a:xfrm flipH="1">
          <a:off x="6161104" y="78719905"/>
          <a:ext cx="22908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337594</xdr:colOff>
      <xdr:row>106</xdr:row>
      <xdr:rowOff>856045</xdr:rowOff>
    </xdr:from>
    <xdr:to>
      <xdr:col>5</xdr:col>
      <xdr:colOff>1495063</xdr:colOff>
      <xdr:row>106</xdr:row>
      <xdr:rowOff>868101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CxnSpPr/>
      </xdr:nvCxnSpPr>
      <xdr:spPr>
        <a:xfrm flipH="1">
          <a:off x="6173164" y="78864589"/>
          <a:ext cx="1157469" cy="120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337595</xdr:colOff>
      <xdr:row>106</xdr:row>
      <xdr:rowOff>699304</xdr:rowOff>
    </xdr:from>
    <xdr:to>
      <xdr:col>5</xdr:col>
      <xdr:colOff>337596</xdr:colOff>
      <xdr:row>106</xdr:row>
      <xdr:rowOff>880161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CxnSpPr/>
      </xdr:nvCxnSpPr>
      <xdr:spPr>
        <a:xfrm flipH="1" flipV="1">
          <a:off x="6173165" y="78707848"/>
          <a:ext cx="1" cy="18085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325534</xdr:colOff>
      <xdr:row>125</xdr:row>
      <xdr:rowOff>711361</xdr:rowOff>
    </xdr:from>
    <xdr:to>
      <xdr:col>5</xdr:col>
      <xdr:colOff>554620</xdr:colOff>
      <xdr:row>125</xdr:row>
      <xdr:rowOff>711361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CxnSpPr/>
      </xdr:nvCxnSpPr>
      <xdr:spPr>
        <a:xfrm flipH="1">
          <a:off x="6161104" y="80239083"/>
          <a:ext cx="22908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337594</xdr:colOff>
      <xdr:row>125</xdr:row>
      <xdr:rowOff>856045</xdr:rowOff>
    </xdr:from>
    <xdr:to>
      <xdr:col>5</xdr:col>
      <xdr:colOff>1495063</xdr:colOff>
      <xdr:row>125</xdr:row>
      <xdr:rowOff>868101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CxnSpPr/>
      </xdr:nvCxnSpPr>
      <xdr:spPr>
        <a:xfrm flipH="1">
          <a:off x="6173164" y="80383767"/>
          <a:ext cx="1157469" cy="120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337595</xdr:colOff>
      <xdr:row>125</xdr:row>
      <xdr:rowOff>699304</xdr:rowOff>
    </xdr:from>
    <xdr:to>
      <xdr:col>5</xdr:col>
      <xdr:colOff>337596</xdr:colOff>
      <xdr:row>125</xdr:row>
      <xdr:rowOff>880161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CxnSpPr/>
      </xdr:nvCxnSpPr>
      <xdr:spPr>
        <a:xfrm flipH="1" flipV="1">
          <a:off x="6173165" y="80227026"/>
          <a:ext cx="1" cy="18085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482279</xdr:colOff>
      <xdr:row>126</xdr:row>
      <xdr:rowOff>723417</xdr:rowOff>
    </xdr:from>
    <xdr:to>
      <xdr:col>5</xdr:col>
      <xdr:colOff>1591519</xdr:colOff>
      <xdr:row>126</xdr:row>
      <xdr:rowOff>723418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CxnSpPr/>
      </xdr:nvCxnSpPr>
      <xdr:spPr>
        <a:xfrm flipH="1">
          <a:off x="6317849" y="83289493"/>
          <a:ext cx="1109240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482279</xdr:colOff>
      <xdr:row>127</xdr:row>
      <xdr:rowOff>723417</xdr:rowOff>
    </xdr:from>
    <xdr:to>
      <xdr:col>5</xdr:col>
      <xdr:colOff>1591519</xdr:colOff>
      <xdr:row>127</xdr:row>
      <xdr:rowOff>723418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CxnSpPr/>
      </xdr:nvCxnSpPr>
      <xdr:spPr>
        <a:xfrm flipH="1">
          <a:off x="6317849" y="83289493"/>
          <a:ext cx="1109240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1483006</xdr:colOff>
      <xdr:row>149</xdr:row>
      <xdr:rowOff>711361</xdr:rowOff>
    </xdr:from>
    <xdr:to>
      <xdr:col>5</xdr:col>
      <xdr:colOff>1868828</xdr:colOff>
      <xdr:row>149</xdr:row>
      <xdr:rowOff>711361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CxnSpPr/>
      </xdr:nvCxnSpPr>
      <xdr:spPr>
        <a:xfrm flipH="1">
          <a:off x="7318576" y="87871139"/>
          <a:ext cx="38582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639019</xdr:colOff>
      <xdr:row>149</xdr:row>
      <xdr:rowOff>868101</xdr:rowOff>
    </xdr:from>
    <xdr:to>
      <xdr:col>5</xdr:col>
      <xdr:colOff>1302151</xdr:colOff>
      <xdr:row>149</xdr:row>
      <xdr:rowOff>868101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CxnSpPr/>
      </xdr:nvCxnSpPr>
      <xdr:spPr>
        <a:xfrm flipH="1">
          <a:off x="6474589" y="88027879"/>
          <a:ext cx="6631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530506</xdr:colOff>
      <xdr:row>149</xdr:row>
      <xdr:rowOff>711361</xdr:rowOff>
    </xdr:from>
    <xdr:to>
      <xdr:col>5</xdr:col>
      <xdr:colOff>651076</xdr:colOff>
      <xdr:row>149</xdr:row>
      <xdr:rowOff>843987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CxnSpPr/>
      </xdr:nvCxnSpPr>
      <xdr:spPr>
        <a:xfrm flipH="1" flipV="1">
          <a:off x="6366076" y="87871139"/>
          <a:ext cx="120570" cy="13262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168797</xdr:colOff>
      <xdr:row>149</xdr:row>
      <xdr:rowOff>711361</xdr:rowOff>
    </xdr:from>
    <xdr:to>
      <xdr:col>5</xdr:col>
      <xdr:colOff>554619</xdr:colOff>
      <xdr:row>149</xdr:row>
      <xdr:rowOff>711361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CxnSpPr/>
      </xdr:nvCxnSpPr>
      <xdr:spPr>
        <a:xfrm flipH="1">
          <a:off x="6004367" y="87871139"/>
          <a:ext cx="38582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1302152</xdr:colOff>
      <xdr:row>149</xdr:row>
      <xdr:rowOff>711361</xdr:rowOff>
    </xdr:from>
    <xdr:to>
      <xdr:col>5</xdr:col>
      <xdr:colOff>1495063</xdr:colOff>
      <xdr:row>149</xdr:row>
      <xdr:rowOff>880160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CxnSpPr/>
      </xdr:nvCxnSpPr>
      <xdr:spPr>
        <a:xfrm flipV="1">
          <a:off x="7137722" y="87871139"/>
          <a:ext cx="192911" cy="16879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1483006</xdr:colOff>
      <xdr:row>150</xdr:row>
      <xdr:rowOff>711361</xdr:rowOff>
    </xdr:from>
    <xdr:to>
      <xdr:col>5</xdr:col>
      <xdr:colOff>1868828</xdr:colOff>
      <xdr:row>150</xdr:row>
      <xdr:rowOff>711361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CxnSpPr/>
      </xdr:nvCxnSpPr>
      <xdr:spPr>
        <a:xfrm flipH="1">
          <a:off x="7318576" y="87871139"/>
          <a:ext cx="38582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639019</xdr:colOff>
      <xdr:row>150</xdr:row>
      <xdr:rowOff>868101</xdr:rowOff>
    </xdr:from>
    <xdr:to>
      <xdr:col>5</xdr:col>
      <xdr:colOff>1302151</xdr:colOff>
      <xdr:row>150</xdr:row>
      <xdr:rowOff>868101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CxnSpPr/>
      </xdr:nvCxnSpPr>
      <xdr:spPr>
        <a:xfrm flipH="1">
          <a:off x="6474589" y="88027879"/>
          <a:ext cx="6631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530506</xdr:colOff>
      <xdr:row>150</xdr:row>
      <xdr:rowOff>711361</xdr:rowOff>
    </xdr:from>
    <xdr:to>
      <xdr:col>5</xdr:col>
      <xdr:colOff>651076</xdr:colOff>
      <xdr:row>150</xdr:row>
      <xdr:rowOff>843987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CxnSpPr/>
      </xdr:nvCxnSpPr>
      <xdr:spPr>
        <a:xfrm flipH="1" flipV="1">
          <a:off x="6366076" y="87871139"/>
          <a:ext cx="120570" cy="13262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168797</xdr:colOff>
      <xdr:row>150</xdr:row>
      <xdr:rowOff>711361</xdr:rowOff>
    </xdr:from>
    <xdr:to>
      <xdr:col>5</xdr:col>
      <xdr:colOff>554619</xdr:colOff>
      <xdr:row>150</xdr:row>
      <xdr:rowOff>711361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CxnSpPr/>
      </xdr:nvCxnSpPr>
      <xdr:spPr>
        <a:xfrm flipH="1">
          <a:off x="6004367" y="87871139"/>
          <a:ext cx="38582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1302152</xdr:colOff>
      <xdr:row>150</xdr:row>
      <xdr:rowOff>711361</xdr:rowOff>
    </xdr:from>
    <xdr:to>
      <xdr:col>5</xdr:col>
      <xdr:colOff>1495063</xdr:colOff>
      <xdr:row>150</xdr:row>
      <xdr:rowOff>880160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CxnSpPr/>
      </xdr:nvCxnSpPr>
      <xdr:spPr>
        <a:xfrm flipV="1">
          <a:off x="7137722" y="87871139"/>
          <a:ext cx="192911" cy="16879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1483006</xdr:colOff>
      <xdr:row>151</xdr:row>
      <xdr:rowOff>711361</xdr:rowOff>
    </xdr:from>
    <xdr:to>
      <xdr:col>5</xdr:col>
      <xdr:colOff>1868828</xdr:colOff>
      <xdr:row>151</xdr:row>
      <xdr:rowOff>711361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CxnSpPr/>
      </xdr:nvCxnSpPr>
      <xdr:spPr>
        <a:xfrm flipH="1">
          <a:off x="7318576" y="87871139"/>
          <a:ext cx="38582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639019</xdr:colOff>
      <xdr:row>151</xdr:row>
      <xdr:rowOff>868101</xdr:rowOff>
    </xdr:from>
    <xdr:to>
      <xdr:col>5</xdr:col>
      <xdr:colOff>1302151</xdr:colOff>
      <xdr:row>151</xdr:row>
      <xdr:rowOff>868101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CxnSpPr/>
      </xdr:nvCxnSpPr>
      <xdr:spPr>
        <a:xfrm flipH="1">
          <a:off x="6474589" y="88027879"/>
          <a:ext cx="6631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530506</xdr:colOff>
      <xdr:row>151</xdr:row>
      <xdr:rowOff>711361</xdr:rowOff>
    </xdr:from>
    <xdr:to>
      <xdr:col>5</xdr:col>
      <xdr:colOff>651076</xdr:colOff>
      <xdr:row>151</xdr:row>
      <xdr:rowOff>843987</xdr:rowOff>
    </xdr:to>
    <xdr:cxnSp macro="">
      <xdr:nvCxnSpPr>
        <xdr:cNvPr id="260" name="Straight Connector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CxnSpPr/>
      </xdr:nvCxnSpPr>
      <xdr:spPr>
        <a:xfrm flipH="1" flipV="1">
          <a:off x="6366076" y="87871139"/>
          <a:ext cx="120570" cy="13262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168797</xdr:colOff>
      <xdr:row>151</xdr:row>
      <xdr:rowOff>711361</xdr:rowOff>
    </xdr:from>
    <xdr:to>
      <xdr:col>5</xdr:col>
      <xdr:colOff>554619</xdr:colOff>
      <xdr:row>151</xdr:row>
      <xdr:rowOff>711361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CxnSpPr/>
      </xdr:nvCxnSpPr>
      <xdr:spPr>
        <a:xfrm flipH="1">
          <a:off x="6004367" y="87871139"/>
          <a:ext cx="38582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1302152</xdr:colOff>
      <xdr:row>151</xdr:row>
      <xdr:rowOff>711361</xdr:rowOff>
    </xdr:from>
    <xdr:to>
      <xdr:col>5</xdr:col>
      <xdr:colOff>1495063</xdr:colOff>
      <xdr:row>151</xdr:row>
      <xdr:rowOff>880160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CxnSpPr/>
      </xdr:nvCxnSpPr>
      <xdr:spPr>
        <a:xfrm flipV="1">
          <a:off x="7137722" y="87871139"/>
          <a:ext cx="192911" cy="16879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1483006</xdr:colOff>
      <xdr:row>152</xdr:row>
      <xdr:rowOff>711361</xdr:rowOff>
    </xdr:from>
    <xdr:to>
      <xdr:col>5</xdr:col>
      <xdr:colOff>1868828</xdr:colOff>
      <xdr:row>152</xdr:row>
      <xdr:rowOff>711361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CxnSpPr/>
      </xdr:nvCxnSpPr>
      <xdr:spPr>
        <a:xfrm flipH="1">
          <a:off x="7318576" y="87871139"/>
          <a:ext cx="38582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639019</xdr:colOff>
      <xdr:row>152</xdr:row>
      <xdr:rowOff>868101</xdr:rowOff>
    </xdr:from>
    <xdr:to>
      <xdr:col>5</xdr:col>
      <xdr:colOff>1302151</xdr:colOff>
      <xdr:row>152</xdr:row>
      <xdr:rowOff>868101</xdr:rowOff>
    </xdr:to>
    <xdr:cxnSp macro="">
      <xdr:nvCxnSpPr>
        <xdr:cNvPr id="264" name="Straight Connector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CxnSpPr/>
      </xdr:nvCxnSpPr>
      <xdr:spPr>
        <a:xfrm flipH="1">
          <a:off x="6474589" y="88027879"/>
          <a:ext cx="6631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530506</xdr:colOff>
      <xdr:row>152</xdr:row>
      <xdr:rowOff>711361</xdr:rowOff>
    </xdr:from>
    <xdr:to>
      <xdr:col>5</xdr:col>
      <xdr:colOff>651076</xdr:colOff>
      <xdr:row>152</xdr:row>
      <xdr:rowOff>843987</xdr:rowOff>
    </xdr:to>
    <xdr:cxnSp macro="">
      <xdr:nvCxnSpPr>
        <xdr:cNvPr id="265" name="Straight Connector 264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CxnSpPr/>
      </xdr:nvCxnSpPr>
      <xdr:spPr>
        <a:xfrm flipH="1" flipV="1">
          <a:off x="6366076" y="87871139"/>
          <a:ext cx="120570" cy="13262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168797</xdr:colOff>
      <xdr:row>152</xdr:row>
      <xdr:rowOff>711361</xdr:rowOff>
    </xdr:from>
    <xdr:to>
      <xdr:col>5</xdr:col>
      <xdr:colOff>554619</xdr:colOff>
      <xdr:row>152</xdr:row>
      <xdr:rowOff>711361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CxnSpPr/>
      </xdr:nvCxnSpPr>
      <xdr:spPr>
        <a:xfrm flipH="1">
          <a:off x="6004367" y="87871139"/>
          <a:ext cx="38582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1302152</xdr:colOff>
      <xdr:row>152</xdr:row>
      <xdr:rowOff>711361</xdr:rowOff>
    </xdr:from>
    <xdr:to>
      <xdr:col>5</xdr:col>
      <xdr:colOff>1495063</xdr:colOff>
      <xdr:row>152</xdr:row>
      <xdr:rowOff>880160</xdr:rowOff>
    </xdr:to>
    <xdr:cxnSp macro="">
      <xdr:nvCxnSpPr>
        <xdr:cNvPr id="267" name="Straight Connector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CxnSpPr/>
      </xdr:nvCxnSpPr>
      <xdr:spPr>
        <a:xfrm flipV="1">
          <a:off x="7137722" y="87871139"/>
          <a:ext cx="192911" cy="16879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325534</xdr:colOff>
      <xdr:row>164</xdr:row>
      <xdr:rowOff>711361</xdr:rowOff>
    </xdr:from>
    <xdr:to>
      <xdr:col>5</xdr:col>
      <xdr:colOff>554620</xdr:colOff>
      <xdr:row>164</xdr:row>
      <xdr:rowOff>711361</xdr:rowOff>
    </xdr:to>
    <xdr:cxnSp macro="">
      <xdr:nvCxnSpPr>
        <xdr:cNvPr id="268" name="Straight Connector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CxnSpPr/>
      </xdr:nvCxnSpPr>
      <xdr:spPr>
        <a:xfrm flipH="1">
          <a:off x="6161104" y="78719905"/>
          <a:ext cx="22908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337594</xdr:colOff>
      <xdr:row>164</xdr:row>
      <xdr:rowOff>856045</xdr:rowOff>
    </xdr:from>
    <xdr:to>
      <xdr:col>5</xdr:col>
      <xdr:colOff>1495063</xdr:colOff>
      <xdr:row>164</xdr:row>
      <xdr:rowOff>868101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CxnSpPr/>
      </xdr:nvCxnSpPr>
      <xdr:spPr>
        <a:xfrm flipH="1">
          <a:off x="6173164" y="78864589"/>
          <a:ext cx="1157469" cy="120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337595</xdr:colOff>
      <xdr:row>164</xdr:row>
      <xdr:rowOff>699304</xdr:rowOff>
    </xdr:from>
    <xdr:to>
      <xdr:col>5</xdr:col>
      <xdr:colOff>337596</xdr:colOff>
      <xdr:row>164</xdr:row>
      <xdr:rowOff>880161</xdr:rowOff>
    </xdr:to>
    <xdr:cxnSp macro="">
      <xdr:nvCxnSpPr>
        <xdr:cNvPr id="270" name="Straight Connector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CxnSpPr/>
      </xdr:nvCxnSpPr>
      <xdr:spPr>
        <a:xfrm flipH="1" flipV="1">
          <a:off x="6173165" y="78707848"/>
          <a:ext cx="1" cy="18085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1350379</xdr:colOff>
      <xdr:row>165</xdr:row>
      <xdr:rowOff>506392</xdr:rowOff>
    </xdr:from>
    <xdr:to>
      <xdr:col>5</xdr:col>
      <xdr:colOff>1350381</xdr:colOff>
      <xdr:row>165</xdr:row>
      <xdr:rowOff>771647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CxnSpPr/>
      </xdr:nvCxnSpPr>
      <xdr:spPr>
        <a:xfrm flipH="1" flipV="1">
          <a:off x="7185949" y="103846614"/>
          <a:ext cx="2" cy="26525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578734</xdr:colOff>
      <xdr:row>165</xdr:row>
      <xdr:rowOff>771645</xdr:rowOff>
    </xdr:from>
    <xdr:to>
      <xdr:col>5</xdr:col>
      <xdr:colOff>1350381</xdr:colOff>
      <xdr:row>165</xdr:row>
      <xdr:rowOff>771646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CxnSpPr/>
      </xdr:nvCxnSpPr>
      <xdr:spPr>
        <a:xfrm flipH="1" flipV="1">
          <a:off x="6414304" y="104111867"/>
          <a:ext cx="771647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578734</xdr:colOff>
      <xdr:row>165</xdr:row>
      <xdr:rowOff>494335</xdr:rowOff>
    </xdr:from>
    <xdr:to>
      <xdr:col>5</xdr:col>
      <xdr:colOff>578734</xdr:colOff>
      <xdr:row>165</xdr:row>
      <xdr:rowOff>771646</xdr:rowOff>
    </xdr:to>
    <xdr:cxnSp macro="">
      <xdr:nvCxnSpPr>
        <xdr:cNvPr id="273" name="Straight Connector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CxnSpPr/>
      </xdr:nvCxnSpPr>
      <xdr:spPr>
        <a:xfrm flipV="1">
          <a:off x="6414304" y="103834557"/>
          <a:ext cx="0" cy="27731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1350379</xdr:colOff>
      <xdr:row>169</xdr:row>
      <xdr:rowOff>506392</xdr:rowOff>
    </xdr:from>
    <xdr:to>
      <xdr:col>5</xdr:col>
      <xdr:colOff>1350381</xdr:colOff>
      <xdr:row>169</xdr:row>
      <xdr:rowOff>771647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CxnSpPr/>
      </xdr:nvCxnSpPr>
      <xdr:spPr>
        <a:xfrm flipH="1" flipV="1">
          <a:off x="7185949" y="103846614"/>
          <a:ext cx="2" cy="26525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578734</xdr:colOff>
      <xdr:row>169</xdr:row>
      <xdr:rowOff>771645</xdr:rowOff>
    </xdr:from>
    <xdr:to>
      <xdr:col>5</xdr:col>
      <xdr:colOff>1350381</xdr:colOff>
      <xdr:row>169</xdr:row>
      <xdr:rowOff>771646</xdr:rowOff>
    </xdr:to>
    <xdr:cxnSp macro="">
      <xdr:nvCxnSpPr>
        <xdr:cNvPr id="275" name="Straight Connector 27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CxnSpPr/>
      </xdr:nvCxnSpPr>
      <xdr:spPr>
        <a:xfrm flipH="1" flipV="1">
          <a:off x="6414304" y="104111867"/>
          <a:ext cx="771647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578734</xdr:colOff>
      <xdr:row>169</xdr:row>
      <xdr:rowOff>494335</xdr:rowOff>
    </xdr:from>
    <xdr:to>
      <xdr:col>5</xdr:col>
      <xdr:colOff>578734</xdr:colOff>
      <xdr:row>169</xdr:row>
      <xdr:rowOff>771646</xdr:rowOff>
    </xdr:to>
    <xdr:cxnSp macro="">
      <xdr:nvCxnSpPr>
        <xdr:cNvPr id="276" name="Straight Connector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CxnSpPr/>
      </xdr:nvCxnSpPr>
      <xdr:spPr>
        <a:xfrm flipV="1">
          <a:off x="6414304" y="103834557"/>
          <a:ext cx="0" cy="27731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325534</xdr:colOff>
      <xdr:row>168</xdr:row>
      <xdr:rowOff>711361</xdr:rowOff>
    </xdr:from>
    <xdr:to>
      <xdr:col>5</xdr:col>
      <xdr:colOff>554620</xdr:colOff>
      <xdr:row>168</xdr:row>
      <xdr:rowOff>711361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CxnSpPr/>
      </xdr:nvCxnSpPr>
      <xdr:spPr>
        <a:xfrm flipH="1">
          <a:off x="6161104" y="103050855"/>
          <a:ext cx="22908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337594</xdr:colOff>
      <xdr:row>168</xdr:row>
      <xdr:rowOff>856045</xdr:rowOff>
    </xdr:from>
    <xdr:to>
      <xdr:col>5</xdr:col>
      <xdr:colOff>1495063</xdr:colOff>
      <xdr:row>168</xdr:row>
      <xdr:rowOff>868101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CxnSpPr/>
      </xdr:nvCxnSpPr>
      <xdr:spPr>
        <a:xfrm flipH="1">
          <a:off x="6173164" y="103195539"/>
          <a:ext cx="1157469" cy="120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337595</xdr:colOff>
      <xdr:row>168</xdr:row>
      <xdr:rowOff>699304</xdr:rowOff>
    </xdr:from>
    <xdr:to>
      <xdr:col>5</xdr:col>
      <xdr:colOff>337596</xdr:colOff>
      <xdr:row>168</xdr:row>
      <xdr:rowOff>880161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CxnSpPr/>
      </xdr:nvCxnSpPr>
      <xdr:spPr>
        <a:xfrm flipH="1" flipV="1">
          <a:off x="6173165" y="103038798"/>
          <a:ext cx="1" cy="18085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325534</xdr:colOff>
      <xdr:row>172</xdr:row>
      <xdr:rowOff>711361</xdr:rowOff>
    </xdr:from>
    <xdr:to>
      <xdr:col>5</xdr:col>
      <xdr:colOff>554620</xdr:colOff>
      <xdr:row>172</xdr:row>
      <xdr:rowOff>711361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CxnSpPr/>
      </xdr:nvCxnSpPr>
      <xdr:spPr>
        <a:xfrm flipH="1">
          <a:off x="6161104" y="105438133"/>
          <a:ext cx="22908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337594</xdr:colOff>
      <xdr:row>172</xdr:row>
      <xdr:rowOff>856045</xdr:rowOff>
    </xdr:from>
    <xdr:to>
      <xdr:col>5</xdr:col>
      <xdr:colOff>1495063</xdr:colOff>
      <xdr:row>172</xdr:row>
      <xdr:rowOff>868101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CxnSpPr/>
      </xdr:nvCxnSpPr>
      <xdr:spPr>
        <a:xfrm flipH="1">
          <a:off x="6173164" y="105582817"/>
          <a:ext cx="1157469" cy="120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337595</xdr:colOff>
      <xdr:row>172</xdr:row>
      <xdr:rowOff>699304</xdr:rowOff>
    </xdr:from>
    <xdr:to>
      <xdr:col>5</xdr:col>
      <xdr:colOff>337596</xdr:colOff>
      <xdr:row>172</xdr:row>
      <xdr:rowOff>880161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CxnSpPr/>
      </xdr:nvCxnSpPr>
      <xdr:spPr>
        <a:xfrm flipH="1" flipV="1">
          <a:off x="6173165" y="105426076"/>
          <a:ext cx="1" cy="18085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1350379</xdr:colOff>
      <xdr:row>173</xdr:row>
      <xdr:rowOff>506392</xdr:rowOff>
    </xdr:from>
    <xdr:to>
      <xdr:col>5</xdr:col>
      <xdr:colOff>1350381</xdr:colOff>
      <xdr:row>173</xdr:row>
      <xdr:rowOff>771647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CxnSpPr/>
      </xdr:nvCxnSpPr>
      <xdr:spPr>
        <a:xfrm flipH="1" flipV="1">
          <a:off x="7185949" y="106233892"/>
          <a:ext cx="2" cy="26525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578734</xdr:colOff>
      <xdr:row>173</xdr:row>
      <xdr:rowOff>771645</xdr:rowOff>
    </xdr:from>
    <xdr:to>
      <xdr:col>5</xdr:col>
      <xdr:colOff>1350381</xdr:colOff>
      <xdr:row>173</xdr:row>
      <xdr:rowOff>771646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CxnSpPr/>
      </xdr:nvCxnSpPr>
      <xdr:spPr>
        <a:xfrm flipH="1" flipV="1">
          <a:off x="6414304" y="106499145"/>
          <a:ext cx="771647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578734</xdr:colOff>
      <xdr:row>173</xdr:row>
      <xdr:rowOff>494335</xdr:rowOff>
    </xdr:from>
    <xdr:to>
      <xdr:col>5</xdr:col>
      <xdr:colOff>578734</xdr:colOff>
      <xdr:row>173</xdr:row>
      <xdr:rowOff>771646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CxnSpPr/>
      </xdr:nvCxnSpPr>
      <xdr:spPr>
        <a:xfrm flipV="1">
          <a:off x="6414304" y="106221835"/>
          <a:ext cx="0" cy="27731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325534</xdr:colOff>
      <xdr:row>176</xdr:row>
      <xdr:rowOff>711361</xdr:rowOff>
    </xdr:from>
    <xdr:to>
      <xdr:col>5</xdr:col>
      <xdr:colOff>554620</xdr:colOff>
      <xdr:row>176</xdr:row>
      <xdr:rowOff>711361</xdr:rowOff>
    </xdr:to>
    <xdr:cxnSp macro="">
      <xdr:nvCxnSpPr>
        <xdr:cNvPr id="289" name="Straight Connector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CxnSpPr/>
      </xdr:nvCxnSpPr>
      <xdr:spPr>
        <a:xfrm flipH="1">
          <a:off x="6161104" y="107825412"/>
          <a:ext cx="22908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337594</xdr:colOff>
      <xdr:row>176</xdr:row>
      <xdr:rowOff>860746</xdr:rowOff>
    </xdr:from>
    <xdr:to>
      <xdr:col>5</xdr:col>
      <xdr:colOff>1495063</xdr:colOff>
      <xdr:row>176</xdr:row>
      <xdr:rowOff>863277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CxnSpPr/>
      </xdr:nvCxnSpPr>
      <xdr:spPr>
        <a:xfrm flipH="1">
          <a:off x="6173164" y="111157835"/>
          <a:ext cx="1157469" cy="253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337595</xdr:colOff>
      <xdr:row>176</xdr:row>
      <xdr:rowOff>699304</xdr:rowOff>
    </xdr:from>
    <xdr:to>
      <xdr:col>5</xdr:col>
      <xdr:colOff>337596</xdr:colOff>
      <xdr:row>176</xdr:row>
      <xdr:rowOff>880161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CxnSpPr/>
      </xdr:nvCxnSpPr>
      <xdr:spPr>
        <a:xfrm flipH="1" flipV="1">
          <a:off x="6173165" y="107813355"/>
          <a:ext cx="1" cy="18085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1350379</xdr:colOff>
      <xdr:row>177</xdr:row>
      <xdr:rowOff>506392</xdr:rowOff>
    </xdr:from>
    <xdr:to>
      <xdr:col>5</xdr:col>
      <xdr:colOff>1350381</xdr:colOff>
      <xdr:row>177</xdr:row>
      <xdr:rowOff>771647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CxnSpPr/>
      </xdr:nvCxnSpPr>
      <xdr:spPr>
        <a:xfrm flipH="1" flipV="1">
          <a:off x="7185949" y="108621170"/>
          <a:ext cx="2" cy="26525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578734</xdr:colOff>
      <xdr:row>177</xdr:row>
      <xdr:rowOff>771645</xdr:rowOff>
    </xdr:from>
    <xdr:to>
      <xdr:col>5</xdr:col>
      <xdr:colOff>1350381</xdr:colOff>
      <xdr:row>177</xdr:row>
      <xdr:rowOff>771646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CxnSpPr/>
      </xdr:nvCxnSpPr>
      <xdr:spPr>
        <a:xfrm flipH="1" flipV="1">
          <a:off x="6414304" y="108886423"/>
          <a:ext cx="771647" cy="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578734</xdr:colOff>
      <xdr:row>177</xdr:row>
      <xdr:rowOff>494335</xdr:rowOff>
    </xdr:from>
    <xdr:to>
      <xdr:col>5</xdr:col>
      <xdr:colOff>578734</xdr:colOff>
      <xdr:row>177</xdr:row>
      <xdr:rowOff>771646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CxnSpPr/>
      </xdr:nvCxnSpPr>
      <xdr:spPr>
        <a:xfrm flipV="1">
          <a:off x="6414304" y="108609113"/>
          <a:ext cx="0" cy="27731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940443</xdr:colOff>
      <xdr:row>183</xdr:row>
      <xdr:rowOff>204969</xdr:rowOff>
    </xdr:from>
    <xdr:to>
      <xdr:col>5</xdr:col>
      <xdr:colOff>940443</xdr:colOff>
      <xdr:row>183</xdr:row>
      <xdr:rowOff>783704</xdr:rowOff>
    </xdr:to>
    <xdr:cxnSp macro="">
      <xdr:nvCxnSpPr>
        <xdr:cNvPr id="295" name="Straight Connector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CxnSpPr/>
      </xdr:nvCxnSpPr>
      <xdr:spPr>
        <a:xfrm flipV="1">
          <a:off x="6776013" y="113480127"/>
          <a:ext cx="0" cy="57873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940443</xdr:colOff>
      <xdr:row>180</xdr:row>
      <xdr:rowOff>204969</xdr:rowOff>
    </xdr:from>
    <xdr:to>
      <xdr:col>5</xdr:col>
      <xdr:colOff>940443</xdr:colOff>
      <xdr:row>180</xdr:row>
      <xdr:rowOff>783704</xdr:rowOff>
    </xdr:to>
    <xdr:cxnSp macro="">
      <xdr:nvCxnSpPr>
        <xdr:cNvPr id="296" name="Straight Connector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CxnSpPr/>
      </xdr:nvCxnSpPr>
      <xdr:spPr>
        <a:xfrm flipV="1">
          <a:off x="6776013" y="113480127"/>
          <a:ext cx="0" cy="57873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1302151</xdr:colOff>
      <xdr:row>185</xdr:row>
      <xdr:rowOff>217024</xdr:rowOff>
    </xdr:from>
    <xdr:to>
      <xdr:col>5</xdr:col>
      <xdr:colOff>1531237</xdr:colOff>
      <xdr:row>185</xdr:row>
      <xdr:rowOff>217024</xdr:rowOff>
    </xdr:to>
    <xdr:cxnSp macro="">
      <xdr:nvCxnSpPr>
        <xdr:cNvPr id="297" name="Straight Connector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CxnSpPr/>
      </xdr:nvCxnSpPr>
      <xdr:spPr>
        <a:xfrm flipH="1">
          <a:off x="7137721" y="114685821"/>
          <a:ext cx="22908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892215</xdr:colOff>
      <xdr:row>185</xdr:row>
      <xdr:rowOff>397879</xdr:rowOff>
    </xdr:from>
    <xdr:to>
      <xdr:col>5</xdr:col>
      <xdr:colOff>1555349</xdr:colOff>
      <xdr:row>185</xdr:row>
      <xdr:rowOff>409937</xdr:rowOff>
    </xdr:to>
    <xdr:cxnSp macro="">
      <xdr:nvCxnSpPr>
        <xdr:cNvPr id="298" name="Straight Connector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CxnSpPr/>
      </xdr:nvCxnSpPr>
      <xdr:spPr>
        <a:xfrm flipH="1">
          <a:off x="6727785" y="114866676"/>
          <a:ext cx="663134" cy="1205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1543295</xdr:colOff>
      <xdr:row>185</xdr:row>
      <xdr:rowOff>204967</xdr:rowOff>
    </xdr:from>
    <xdr:to>
      <xdr:col>5</xdr:col>
      <xdr:colOff>1543296</xdr:colOff>
      <xdr:row>185</xdr:row>
      <xdr:rowOff>385824</xdr:rowOff>
    </xdr:to>
    <xdr:cxnSp macro="">
      <xdr:nvCxnSpPr>
        <xdr:cNvPr id="299" name="Straight Connector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CxnSpPr/>
      </xdr:nvCxnSpPr>
      <xdr:spPr>
        <a:xfrm flipH="1" flipV="1">
          <a:off x="7378865" y="114673764"/>
          <a:ext cx="1" cy="18085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663130</xdr:colOff>
      <xdr:row>185</xdr:row>
      <xdr:rowOff>868102</xdr:rowOff>
    </xdr:from>
    <xdr:to>
      <xdr:col>5</xdr:col>
      <xdr:colOff>892216</xdr:colOff>
      <xdr:row>185</xdr:row>
      <xdr:rowOff>868102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CxnSpPr/>
      </xdr:nvCxnSpPr>
      <xdr:spPr>
        <a:xfrm flipH="1">
          <a:off x="6498700" y="115336899"/>
          <a:ext cx="22908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892215</xdr:colOff>
      <xdr:row>185</xdr:row>
      <xdr:rowOff>397880</xdr:rowOff>
    </xdr:from>
    <xdr:to>
      <xdr:col>5</xdr:col>
      <xdr:colOff>892216</xdr:colOff>
      <xdr:row>185</xdr:row>
      <xdr:rowOff>868102</xdr:rowOff>
    </xdr:to>
    <xdr:cxnSp macro="">
      <xdr:nvCxnSpPr>
        <xdr:cNvPr id="301" name="Straight Connector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CxnSpPr/>
      </xdr:nvCxnSpPr>
      <xdr:spPr>
        <a:xfrm flipH="1">
          <a:off x="6727785" y="114866677"/>
          <a:ext cx="1" cy="47022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651077</xdr:colOff>
      <xdr:row>185</xdr:row>
      <xdr:rowOff>699304</xdr:rowOff>
    </xdr:from>
    <xdr:to>
      <xdr:col>5</xdr:col>
      <xdr:colOff>651078</xdr:colOff>
      <xdr:row>185</xdr:row>
      <xdr:rowOff>880161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CxnSpPr/>
      </xdr:nvCxnSpPr>
      <xdr:spPr>
        <a:xfrm flipH="1" flipV="1">
          <a:off x="6486647" y="115168101"/>
          <a:ext cx="1" cy="18085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6</xdr:row>
      <xdr:rowOff>400050</xdr:rowOff>
    </xdr:from>
    <xdr:to>
      <xdr:col>5</xdr:col>
      <xdr:colOff>1666875</xdr:colOff>
      <xdr:row>6</xdr:row>
      <xdr:rowOff>400050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3438525" y="127635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</xdr:row>
      <xdr:rowOff>127000</xdr:rowOff>
    </xdr:from>
    <xdr:to>
      <xdr:col>5</xdr:col>
      <xdr:colOff>356810</xdr:colOff>
      <xdr:row>6</xdr:row>
      <xdr:rowOff>409912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H="1" flipV="1">
          <a:off x="3442909" y="1224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</xdr:row>
      <xdr:rowOff>125785</xdr:rowOff>
    </xdr:from>
    <xdr:to>
      <xdr:col>5</xdr:col>
      <xdr:colOff>1652211</xdr:colOff>
      <xdr:row>6</xdr:row>
      <xdr:rowOff>408697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 flipH="1" flipV="1">
          <a:off x="3701990" y="1223065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7</xdr:row>
      <xdr:rowOff>400053</xdr:rowOff>
    </xdr:from>
    <xdr:to>
      <xdr:col>5</xdr:col>
      <xdr:colOff>1666875</xdr:colOff>
      <xdr:row>7</xdr:row>
      <xdr:rowOff>400053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3438525" y="1459233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</xdr:row>
      <xdr:rowOff>127000</xdr:rowOff>
    </xdr:from>
    <xdr:to>
      <xdr:col>5</xdr:col>
      <xdr:colOff>356810</xdr:colOff>
      <xdr:row>7</xdr:row>
      <xdr:rowOff>409912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 flipH="1" flipV="1">
          <a:off x="3442909" y="1407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</xdr:row>
      <xdr:rowOff>125785</xdr:rowOff>
    </xdr:from>
    <xdr:to>
      <xdr:col>5</xdr:col>
      <xdr:colOff>1652211</xdr:colOff>
      <xdr:row>7</xdr:row>
      <xdr:rowOff>408697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 flipH="1" flipV="1">
          <a:off x="3701990" y="1405945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</xdr:row>
      <xdr:rowOff>137582</xdr:rowOff>
    </xdr:from>
    <xdr:to>
      <xdr:col>5</xdr:col>
      <xdr:colOff>1666875</xdr:colOff>
      <xdr:row>8</xdr:row>
      <xdr:rowOff>137582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438525" y="1600622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</xdr:row>
      <xdr:rowOff>127000</xdr:rowOff>
    </xdr:from>
    <xdr:to>
      <xdr:col>5</xdr:col>
      <xdr:colOff>356810</xdr:colOff>
      <xdr:row>8</xdr:row>
      <xdr:rowOff>409912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H="1" flipV="1">
          <a:off x="3442909" y="15900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</xdr:row>
      <xdr:rowOff>134252</xdr:rowOff>
    </xdr:from>
    <xdr:to>
      <xdr:col>5</xdr:col>
      <xdr:colOff>1652211</xdr:colOff>
      <xdr:row>8</xdr:row>
      <xdr:rowOff>417164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 flipH="1" flipV="1">
          <a:off x="3701990" y="15972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9</xdr:row>
      <xdr:rowOff>137582</xdr:rowOff>
    </xdr:from>
    <xdr:to>
      <xdr:col>5</xdr:col>
      <xdr:colOff>1666875</xdr:colOff>
      <xdr:row>9</xdr:row>
      <xdr:rowOff>137582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3438525" y="1783502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9</xdr:row>
      <xdr:rowOff>127000</xdr:rowOff>
    </xdr:from>
    <xdr:to>
      <xdr:col>5</xdr:col>
      <xdr:colOff>356810</xdr:colOff>
      <xdr:row>9</xdr:row>
      <xdr:rowOff>409912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 flipH="1" flipV="1">
          <a:off x="3442909" y="17729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9</xdr:row>
      <xdr:rowOff>134252</xdr:rowOff>
    </xdr:from>
    <xdr:to>
      <xdr:col>5</xdr:col>
      <xdr:colOff>1652211</xdr:colOff>
      <xdr:row>9</xdr:row>
      <xdr:rowOff>417164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/>
      </xdr:nvCxnSpPr>
      <xdr:spPr>
        <a:xfrm flipH="1" flipV="1">
          <a:off x="3701990" y="17801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17</xdr:row>
      <xdr:rowOff>137582</xdr:rowOff>
    </xdr:from>
    <xdr:to>
      <xdr:col>5</xdr:col>
      <xdr:colOff>1666875</xdr:colOff>
      <xdr:row>17</xdr:row>
      <xdr:rowOff>137582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3438525" y="3246542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</xdr:row>
      <xdr:rowOff>127000</xdr:rowOff>
    </xdr:from>
    <xdr:to>
      <xdr:col>5</xdr:col>
      <xdr:colOff>356810</xdr:colOff>
      <xdr:row>17</xdr:row>
      <xdr:rowOff>409912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 flipV="1">
          <a:off x="3442909" y="3235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</xdr:row>
      <xdr:rowOff>134252</xdr:rowOff>
    </xdr:from>
    <xdr:to>
      <xdr:col>5</xdr:col>
      <xdr:colOff>1652211</xdr:colOff>
      <xdr:row>17</xdr:row>
      <xdr:rowOff>417164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 flipV="1">
          <a:off x="3701990" y="3243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</xdr:row>
      <xdr:rowOff>137582</xdr:rowOff>
    </xdr:from>
    <xdr:to>
      <xdr:col>5</xdr:col>
      <xdr:colOff>1666875</xdr:colOff>
      <xdr:row>18</xdr:row>
      <xdr:rowOff>137582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3438525" y="3429422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</xdr:row>
      <xdr:rowOff>127000</xdr:rowOff>
    </xdr:from>
    <xdr:to>
      <xdr:col>5</xdr:col>
      <xdr:colOff>356810</xdr:colOff>
      <xdr:row>18</xdr:row>
      <xdr:rowOff>409912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/>
      </xdr:nvCxnSpPr>
      <xdr:spPr>
        <a:xfrm flipH="1" flipV="1">
          <a:off x="3442909" y="3418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</xdr:row>
      <xdr:rowOff>134252</xdr:rowOff>
    </xdr:from>
    <xdr:to>
      <xdr:col>5</xdr:col>
      <xdr:colOff>1652211</xdr:colOff>
      <xdr:row>18</xdr:row>
      <xdr:rowOff>417164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 flipH="1" flipV="1">
          <a:off x="3701990" y="3426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</xdr:row>
      <xdr:rowOff>400050</xdr:rowOff>
    </xdr:from>
    <xdr:to>
      <xdr:col>5</xdr:col>
      <xdr:colOff>1666875</xdr:colOff>
      <xdr:row>15</xdr:row>
      <xdr:rowOff>400050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438525" y="292227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</xdr:row>
      <xdr:rowOff>127000</xdr:rowOff>
    </xdr:from>
    <xdr:to>
      <xdr:col>5</xdr:col>
      <xdr:colOff>356810</xdr:colOff>
      <xdr:row>15</xdr:row>
      <xdr:rowOff>409912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/>
      </xdr:nvCxnSpPr>
      <xdr:spPr>
        <a:xfrm flipH="1" flipV="1">
          <a:off x="3442909" y="28702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</xdr:row>
      <xdr:rowOff>125785</xdr:rowOff>
    </xdr:from>
    <xdr:to>
      <xdr:col>5</xdr:col>
      <xdr:colOff>1652211</xdr:colOff>
      <xdr:row>15</xdr:row>
      <xdr:rowOff>408697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 flipH="1" flipV="1">
          <a:off x="3701990" y="2868985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</xdr:row>
      <xdr:rowOff>400050</xdr:rowOff>
    </xdr:from>
    <xdr:to>
      <xdr:col>5</xdr:col>
      <xdr:colOff>1666875</xdr:colOff>
      <xdr:row>16</xdr:row>
      <xdr:rowOff>400050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CxnSpPr/>
      </xdr:nvCxnSpPr>
      <xdr:spPr>
        <a:xfrm>
          <a:off x="3438525" y="310515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</xdr:row>
      <xdr:rowOff>127000</xdr:rowOff>
    </xdr:from>
    <xdr:to>
      <xdr:col>5</xdr:col>
      <xdr:colOff>356810</xdr:colOff>
      <xdr:row>16</xdr:row>
      <xdr:rowOff>409912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/>
      </xdr:nvCxnSpPr>
      <xdr:spPr>
        <a:xfrm flipH="1" flipV="1">
          <a:off x="3442909" y="3053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</xdr:row>
      <xdr:rowOff>125785</xdr:rowOff>
    </xdr:from>
    <xdr:to>
      <xdr:col>5</xdr:col>
      <xdr:colOff>1652211</xdr:colOff>
      <xdr:row>16</xdr:row>
      <xdr:rowOff>408697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 flipH="1" flipV="1">
          <a:off x="3701990" y="3051865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347133</xdr:colOff>
      <xdr:row>11</xdr:row>
      <xdr:rowOff>296332</xdr:rowOff>
    </xdr:from>
    <xdr:to>
      <xdr:col>5</xdr:col>
      <xdr:colOff>1661583</xdr:colOff>
      <xdr:row>11</xdr:row>
      <xdr:rowOff>296332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CxnSpPr/>
      </xdr:nvCxnSpPr>
      <xdr:spPr>
        <a:xfrm>
          <a:off x="3433233" y="2193712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347133</xdr:colOff>
      <xdr:row>12</xdr:row>
      <xdr:rowOff>296332</xdr:rowOff>
    </xdr:from>
    <xdr:to>
      <xdr:col>5</xdr:col>
      <xdr:colOff>1661583</xdr:colOff>
      <xdr:row>12</xdr:row>
      <xdr:rowOff>296332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/>
      </xdr:nvCxnSpPr>
      <xdr:spPr>
        <a:xfrm>
          <a:off x="3433233" y="2376592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24</xdr:row>
      <xdr:rowOff>127001</xdr:rowOff>
    </xdr:from>
    <xdr:to>
      <xdr:col>5</xdr:col>
      <xdr:colOff>1168400</xdr:colOff>
      <xdr:row>24</xdr:row>
      <xdr:rowOff>127001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/>
      </xdr:nvCxnSpPr>
      <xdr:spPr>
        <a:xfrm flipH="1">
          <a:off x="3704168" y="451612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24</xdr:row>
      <xdr:rowOff>1083733</xdr:rowOff>
    </xdr:from>
    <xdr:to>
      <xdr:col>5</xdr:col>
      <xdr:colOff>1159935</xdr:colOff>
      <xdr:row>24</xdr:row>
      <xdr:rowOff>1083733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/>
      </xdr:nvCxnSpPr>
      <xdr:spPr>
        <a:xfrm flipH="1">
          <a:off x="3703323" y="457369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25</xdr:row>
      <xdr:rowOff>127001</xdr:rowOff>
    </xdr:from>
    <xdr:to>
      <xdr:col>5</xdr:col>
      <xdr:colOff>1168400</xdr:colOff>
      <xdr:row>25</xdr:row>
      <xdr:rowOff>127001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flipH="1">
          <a:off x="3704168" y="469900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25</xdr:row>
      <xdr:rowOff>1083733</xdr:rowOff>
    </xdr:from>
    <xdr:to>
      <xdr:col>5</xdr:col>
      <xdr:colOff>1159935</xdr:colOff>
      <xdr:row>25</xdr:row>
      <xdr:rowOff>1083733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/>
      </xdr:nvCxnSpPr>
      <xdr:spPr>
        <a:xfrm flipH="1">
          <a:off x="3703323" y="475657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26</xdr:row>
      <xdr:rowOff>127001</xdr:rowOff>
    </xdr:from>
    <xdr:to>
      <xdr:col>5</xdr:col>
      <xdr:colOff>1168400</xdr:colOff>
      <xdr:row>26</xdr:row>
      <xdr:rowOff>127001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 flipH="1">
          <a:off x="3704168" y="488188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26</xdr:row>
      <xdr:rowOff>1083733</xdr:rowOff>
    </xdr:from>
    <xdr:to>
      <xdr:col>5</xdr:col>
      <xdr:colOff>1169876</xdr:colOff>
      <xdr:row>26</xdr:row>
      <xdr:rowOff>1083733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CxnSpPr/>
      </xdr:nvCxnSpPr>
      <xdr:spPr>
        <a:xfrm flipH="1">
          <a:off x="3703324" y="493945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27</xdr:row>
      <xdr:rowOff>127001</xdr:rowOff>
    </xdr:from>
    <xdr:to>
      <xdr:col>5</xdr:col>
      <xdr:colOff>1168400</xdr:colOff>
      <xdr:row>27</xdr:row>
      <xdr:rowOff>127001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/>
      </xdr:nvCxnSpPr>
      <xdr:spPr>
        <a:xfrm flipH="1">
          <a:off x="3704168" y="506476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27</xdr:row>
      <xdr:rowOff>1083733</xdr:rowOff>
    </xdr:from>
    <xdr:to>
      <xdr:col>5</xdr:col>
      <xdr:colOff>1169876</xdr:colOff>
      <xdr:row>27</xdr:row>
      <xdr:rowOff>1083733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CxnSpPr/>
      </xdr:nvCxnSpPr>
      <xdr:spPr>
        <a:xfrm flipH="1">
          <a:off x="3703324" y="512233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30</xdr:row>
      <xdr:rowOff>127001</xdr:rowOff>
    </xdr:from>
    <xdr:to>
      <xdr:col>5</xdr:col>
      <xdr:colOff>1168400</xdr:colOff>
      <xdr:row>30</xdr:row>
      <xdr:rowOff>127001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/>
      </xdr:nvCxnSpPr>
      <xdr:spPr>
        <a:xfrm flipH="1">
          <a:off x="3704168" y="561340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30</xdr:row>
      <xdr:rowOff>1083733</xdr:rowOff>
    </xdr:from>
    <xdr:to>
      <xdr:col>5</xdr:col>
      <xdr:colOff>1159935</xdr:colOff>
      <xdr:row>30</xdr:row>
      <xdr:rowOff>1083733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CxnSpPr/>
      </xdr:nvCxnSpPr>
      <xdr:spPr>
        <a:xfrm flipH="1">
          <a:off x="3703323" y="567097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31</xdr:row>
      <xdr:rowOff>127001</xdr:rowOff>
    </xdr:from>
    <xdr:to>
      <xdr:col>5</xdr:col>
      <xdr:colOff>1168400</xdr:colOff>
      <xdr:row>31</xdr:row>
      <xdr:rowOff>127001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/>
      </xdr:nvCxnSpPr>
      <xdr:spPr>
        <a:xfrm flipH="1">
          <a:off x="3704168" y="579628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31</xdr:row>
      <xdr:rowOff>1083733</xdr:rowOff>
    </xdr:from>
    <xdr:to>
      <xdr:col>5</xdr:col>
      <xdr:colOff>1159935</xdr:colOff>
      <xdr:row>31</xdr:row>
      <xdr:rowOff>1083733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CxnSpPr/>
      </xdr:nvCxnSpPr>
      <xdr:spPr>
        <a:xfrm flipH="1">
          <a:off x="3703323" y="585385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32</xdr:row>
      <xdr:rowOff>127001</xdr:rowOff>
    </xdr:from>
    <xdr:to>
      <xdr:col>5</xdr:col>
      <xdr:colOff>1168400</xdr:colOff>
      <xdr:row>32</xdr:row>
      <xdr:rowOff>127001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CxnSpPr/>
      </xdr:nvCxnSpPr>
      <xdr:spPr>
        <a:xfrm flipH="1">
          <a:off x="3704168" y="597916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32</xdr:row>
      <xdr:rowOff>1083733</xdr:rowOff>
    </xdr:from>
    <xdr:to>
      <xdr:col>5</xdr:col>
      <xdr:colOff>1169876</xdr:colOff>
      <xdr:row>32</xdr:row>
      <xdr:rowOff>1083733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CxnSpPr/>
      </xdr:nvCxnSpPr>
      <xdr:spPr>
        <a:xfrm flipH="1">
          <a:off x="3703324" y="603673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33</xdr:row>
      <xdr:rowOff>127001</xdr:rowOff>
    </xdr:from>
    <xdr:to>
      <xdr:col>5</xdr:col>
      <xdr:colOff>1168400</xdr:colOff>
      <xdr:row>33</xdr:row>
      <xdr:rowOff>127001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/>
      </xdr:nvCxnSpPr>
      <xdr:spPr>
        <a:xfrm flipH="1">
          <a:off x="3704168" y="616204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33</xdr:row>
      <xdr:rowOff>1083733</xdr:rowOff>
    </xdr:from>
    <xdr:to>
      <xdr:col>5</xdr:col>
      <xdr:colOff>1169876</xdr:colOff>
      <xdr:row>33</xdr:row>
      <xdr:rowOff>1083733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CxnSpPr/>
      </xdr:nvCxnSpPr>
      <xdr:spPr>
        <a:xfrm flipH="1">
          <a:off x="3703324" y="621961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347133</xdr:colOff>
      <xdr:row>20</xdr:row>
      <xdr:rowOff>296332</xdr:rowOff>
    </xdr:from>
    <xdr:to>
      <xdr:col>5</xdr:col>
      <xdr:colOff>1661583</xdr:colOff>
      <xdr:row>20</xdr:row>
      <xdr:rowOff>296332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/>
      </xdr:nvCxnSpPr>
      <xdr:spPr>
        <a:xfrm>
          <a:off x="3433233" y="3839632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347133</xdr:colOff>
      <xdr:row>21</xdr:row>
      <xdr:rowOff>296332</xdr:rowOff>
    </xdr:from>
    <xdr:to>
      <xdr:col>5</xdr:col>
      <xdr:colOff>1661583</xdr:colOff>
      <xdr:row>21</xdr:row>
      <xdr:rowOff>296332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CxnSpPr/>
      </xdr:nvCxnSpPr>
      <xdr:spPr>
        <a:xfrm>
          <a:off x="3433233" y="4022512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1210616</xdr:colOff>
      <xdr:row>36</xdr:row>
      <xdr:rowOff>160421</xdr:rowOff>
    </xdr:from>
    <xdr:to>
      <xdr:col>5</xdr:col>
      <xdr:colOff>1210616</xdr:colOff>
      <xdr:row>36</xdr:row>
      <xdr:rowOff>601581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/>
      </xdr:nvCxnSpPr>
      <xdr:spPr>
        <a:xfrm flipV="1">
          <a:off x="3702356" y="6744101"/>
          <a:ext cx="0" cy="2206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938463</xdr:colOff>
      <xdr:row>36</xdr:row>
      <xdr:rowOff>593558</xdr:rowOff>
    </xdr:from>
    <xdr:to>
      <xdr:col>5</xdr:col>
      <xdr:colOff>1211179</xdr:colOff>
      <xdr:row>36</xdr:row>
      <xdr:rowOff>778042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/>
      </xdr:nvCxnSpPr>
      <xdr:spPr>
        <a:xfrm flipV="1">
          <a:off x="3704523" y="6765758"/>
          <a:ext cx="0" cy="160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513347</xdr:colOff>
      <xdr:row>36</xdr:row>
      <xdr:rowOff>786064</xdr:rowOff>
    </xdr:from>
    <xdr:to>
      <xdr:col>5</xdr:col>
      <xdr:colOff>946485</xdr:colOff>
      <xdr:row>36</xdr:row>
      <xdr:rowOff>786064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CxnSpPr/>
      </xdr:nvCxnSpPr>
      <xdr:spPr>
        <a:xfrm flipH="1">
          <a:off x="3599447" y="6767764"/>
          <a:ext cx="10547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1210616</xdr:colOff>
      <xdr:row>37</xdr:row>
      <xdr:rowOff>160421</xdr:rowOff>
    </xdr:from>
    <xdr:to>
      <xdr:col>5</xdr:col>
      <xdr:colOff>1210616</xdr:colOff>
      <xdr:row>37</xdr:row>
      <xdr:rowOff>601581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CxnSpPr/>
      </xdr:nvCxnSpPr>
      <xdr:spPr>
        <a:xfrm flipV="1">
          <a:off x="3702356" y="6926981"/>
          <a:ext cx="0" cy="2206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938463</xdr:colOff>
      <xdr:row>37</xdr:row>
      <xdr:rowOff>593558</xdr:rowOff>
    </xdr:from>
    <xdr:to>
      <xdr:col>5</xdr:col>
      <xdr:colOff>1211179</xdr:colOff>
      <xdr:row>37</xdr:row>
      <xdr:rowOff>778042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CxnSpPr/>
      </xdr:nvCxnSpPr>
      <xdr:spPr>
        <a:xfrm flipV="1">
          <a:off x="3704523" y="6948638"/>
          <a:ext cx="0" cy="160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513347</xdr:colOff>
      <xdr:row>37</xdr:row>
      <xdr:rowOff>786064</xdr:rowOff>
    </xdr:from>
    <xdr:to>
      <xdr:col>5</xdr:col>
      <xdr:colOff>946485</xdr:colOff>
      <xdr:row>37</xdr:row>
      <xdr:rowOff>786064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CxnSpPr/>
      </xdr:nvCxnSpPr>
      <xdr:spPr>
        <a:xfrm flipH="1">
          <a:off x="3599447" y="6950644"/>
          <a:ext cx="10547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24</xdr:row>
      <xdr:rowOff>118533</xdr:rowOff>
    </xdr:from>
    <xdr:to>
      <xdr:col>5</xdr:col>
      <xdr:colOff>1151462</xdr:colOff>
      <xdr:row>24</xdr:row>
      <xdr:rowOff>1066801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CxnSpPr/>
      </xdr:nvCxnSpPr>
      <xdr:spPr>
        <a:xfrm flipH="1" flipV="1">
          <a:off x="3704161" y="450765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24</xdr:row>
      <xdr:rowOff>127001</xdr:rowOff>
    </xdr:from>
    <xdr:to>
      <xdr:col>5</xdr:col>
      <xdr:colOff>1168400</xdr:colOff>
      <xdr:row>24</xdr:row>
      <xdr:rowOff>127001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CxnSpPr/>
      </xdr:nvCxnSpPr>
      <xdr:spPr>
        <a:xfrm flipH="1">
          <a:off x="3704168" y="451612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24</xdr:row>
      <xdr:rowOff>1083733</xdr:rowOff>
    </xdr:from>
    <xdr:to>
      <xdr:col>5</xdr:col>
      <xdr:colOff>1169876</xdr:colOff>
      <xdr:row>24</xdr:row>
      <xdr:rowOff>1083733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/>
      </xdr:nvCxnSpPr>
      <xdr:spPr>
        <a:xfrm flipH="1">
          <a:off x="3703324" y="457369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26</xdr:row>
      <xdr:rowOff>118533</xdr:rowOff>
    </xdr:from>
    <xdr:to>
      <xdr:col>5</xdr:col>
      <xdr:colOff>855134</xdr:colOff>
      <xdr:row>26</xdr:row>
      <xdr:rowOff>1066801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CxnSpPr/>
      </xdr:nvCxnSpPr>
      <xdr:spPr>
        <a:xfrm flipH="1" flipV="1">
          <a:off x="3705013" y="487341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26</xdr:row>
      <xdr:rowOff>127001</xdr:rowOff>
    </xdr:from>
    <xdr:to>
      <xdr:col>5</xdr:col>
      <xdr:colOff>1168400</xdr:colOff>
      <xdr:row>26</xdr:row>
      <xdr:rowOff>127001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CxnSpPr/>
      </xdr:nvCxnSpPr>
      <xdr:spPr>
        <a:xfrm flipH="1">
          <a:off x="3704168" y="488188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26</xdr:row>
      <xdr:rowOff>1083733</xdr:rowOff>
    </xdr:from>
    <xdr:to>
      <xdr:col>5</xdr:col>
      <xdr:colOff>1159935</xdr:colOff>
      <xdr:row>26</xdr:row>
      <xdr:rowOff>1083733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/>
      </xdr:nvCxnSpPr>
      <xdr:spPr>
        <a:xfrm flipH="1">
          <a:off x="3703323" y="493945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25</xdr:row>
      <xdr:rowOff>127001</xdr:rowOff>
    </xdr:from>
    <xdr:to>
      <xdr:col>5</xdr:col>
      <xdr:colOff>1168400</xdr:colOff>
      <xdr:row>25</xdr:row>
      <xdr:rowOff>127001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CxnSpPr/>
      </xdr:nvCxnSpPr>
      <xdr:spPr>
        <a:xfrm flipH="1">
          <a:off x="3704168" y="469900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25</xdr:row>
      <xdr:rowOff>1083733</xdr:rowOff>
    </xdr:from>
    <xdr:to>
      <xdr:col>5</xdr:col>
      <xdr:colOff>1159935</xdr:colOff>
      <xdr:row>25</xdr:row>
      <xdr:rowOff>1083733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>
        <a:xfrm flipH="1">
          <a:off x="3703323" y="475657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25</xdr:row>
      <xdr:rowOff>118533</xdr:rowOff>
    </xdr:from>
    <xdr:to>
      <xdr:col>5</xdr:col>
      <xdr:colOff>1151462</xdr:colOff>
      <xdr:row>25</xdr:row>
      <xdr:rowOff>1066801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CxnSpPr/>
      </xdr:nvCxnSpPr>
      <xdr:spPr>
        <a:xfrm flipH="1" flipV="1">
          <a:off x="3704161" y="469053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25</xdr:row>
      <xdr:rowOff>127001</xdr:rowOff>
    </xdr:from>
    <xdr:to>
      <xdr:col>5</xdr:col>
      <xdr:colOff>1168400</xdr:colOff>
      <xdr:row>25</xdr:row>
      <xdr:rowOff>127001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/>
      </xdr:nvCxnSpPr>
      <xdr:spPr>
        <a:xfrm flipH="1">
          <a:off x="3704168" y="469900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25</xdr:row>
      <xdr:rowOff>1083733</xdr:rowOff>
    </xdr:from>
    <xdr:to>
      <xdr:col>5</xdr:col>
      <xdr:colOff>1169876</xdr:colOff>
      <xdr:row>25</xdr:row>
      <xdr:rowOff>1083733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CxnSpPr/>
      </xdr:nvCxnSpPr>
      <xdr:spPr>
        <a:xfrm flipH="1">
          <a:off x="3703324" y="475657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27</xdr:row>
      <xdr:rowOff>127001</xdr:rowOff>
    </xdr:from>
    <xdr:to>
      <xdr:col>5</xdr:col>
      <xdr:colOff>1168400</xdr:colOff>
      <xdr:row>27</xdr:row>
      <xdr:rowOff>127001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CxnSpPr/>
      </xdr:nvCxnSpPr>
      <xdr:spPr>
        <a:xfrm flipH="1">
          <a:off x="3704168" y="506476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27</xdr:row>
      <xdr:rowOff>1083733</xdr:rowOff>
    </xdr:from>
    <xdr:to>
      <xdr:col>5</xdr:col>
      <xdr:colOff>1169876</xdr:colOff>
      <xdr:row>27</xdr:row>
      <xdr:rowOff>1083733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CxnSpPr/>
      </xdr:nvCxnSpPr>
      <xdr:spPr>
        <a:xfrm flipH="1">
          <a:off x="3703324" y="512233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27</xdr:row>
      <xdr:rowOff>118533</xdr:rowOff>
    </xdr:from>
    <xdr:to>
      <xdr:col>5</xdr:col>
      <xdr:colOff>855134</xdr:colOff>
      <xdr:row>27</xdr:row>
      <xdr:rowOff>1066801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/>
      </xdr:nvCxnSpPr>
      <xdr:spPr>
        <a:xfrm flipH="1" flipV="1">
          <a:off x="3705013" y="505629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27</xdr:row>
      <xdr:rowOff>127001</xdr:rowOff>
    </xdr:from>
    <xdr:to>
      <xdr:col>5</xdr:col>
      <xdr:colOff>1168400</xdr:colOff>
      <xdr:row>27</xdr:row>
      <xdr:rowOff>127001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CxnSpPr/>
      </xdr:nvCxnSpPr>
      <xdr:spPr>
        <a:xfrm flipH="1">
          <a:off x="3704168" y="506476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27</xdr:row>
      <xdr:rowOff>1083733</xdr:rowOff>
    </xdr:from>
    <xdr:to>
      <xdr:col>5</xdr:col>
      <xdr:colOff>1159935</xdr:colOff>
      <xdr:row>27</xdr:row>
      <xdr:rowOff>1083733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/>
      </xdr:nvCxnSpPr>
      <xdr:spPr>
        <a:xfrm flipH="1">
          <a:off x="3703323" y="512233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44</xdr:row>
      <xdr:rowOff>400050</xdr:rowOff>
    </xdr:from>
    <xdr:to>
      <xdr:col>5</xdr:col>
      <xdr:colOff>1666875</xdr:colOff>
      <xdr:row>44</xdr:row>
      <xdr:rowOff>400050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CxnSpPr/>
      </xdr:nvCxnSpPr>
      <xdr:spPr>
        <a:xfrm>
          <a:off x="3438525" y="822579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44</xdr:row>
      <xdr:rowOff>127000</xdr:rowOff>
    </xdr:from>
    <xdr:to>
      <xdr:col>5</xdr:col>
      <xdr:colOff>356810</xdr:colOff>
      <xdr:row>44</xdr:row>
      <xdr:rowOff>409912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/>
      </xdr:nvCxnSpPr>
      <xdr:spPr>
        <a:xfrm flipH="1" flipV="1">
          <a:off x="3442909" y="8173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44</xdr:row>
      <xdr:rowOff>125785</xdr:rowOff>
    </xdr:from>
    <xdr:to>
      <xdr:col>5</xdr:col>
      <xdr:colOff>1652211</xdr:colOff>
      <xdr:row>44</xdr:row>
      <xdr:rowOff>408697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/>
      </xdr:nvCxnSpPr>
      <xdr:spPr>
        <a:xfrm flipH="1" flipV="1">
          <a:off x="3701990" y="8172505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45</xdr:row>
      <xdr:rowOff>400050</xdr:rowOff>
    </xdr:from>
    <xdr:to>
      <xdr:col>5</xdr:col>
      <xdr:colOff>1666875</xdr:colOff>
      <xdr:row>45</xdr:row>
      <xdr:rowOff>400050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CxnSpPr/>
      </xdr:nvCxnSpPr>
      <xdr:spPr>
        <a:xfrm>
          <a:off x="3438525" y="840867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45</xdr:row>
      <xdr:rowOff>127000</xdr:rowOff>
    </xdr:from>
    <xdr:to>
      <xdr:col>5</xdr:col>
      <xdr:colOff>356810</xdr:colOff>
      <xdr:row>45</xdr:row>
      <xdr:rowOff>409912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CxnSpPr/>
      </xdr:nvCxnSpPr>
      <xdr:spPr>
        <a:xfrm flipH="1" flipV="1">
          <a:off x="3442909" y="83566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45</xdr:row>
      <xdr:rowOff>125785</xdr:rowOff>
    </xdr:from>
    <xdr:to>
      <xdr:col>5</xdr:col>
      <xdr:colOff>1652211</xdr:colOff>
      <xdr:row>45</xdr:row>
      <xdr:rowOff>408697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CxnSpPr/>
      </xdr:nvCxnSpPr>
      <xdr:spPr>
        <a:xfrm flipH="1" flipV="1">
          <a:off x="3701990" y="8355385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</xdr:row>
      <xdr:rowOff>127000</xdr:rowOff>
    </xdr:from>
    <xdr:to>
      <xdr:col>5</xdr:col>
      <xdr:colOff>356810</xdr:colOff>
      <xdr:row>17</xdr:row>
      <xdr:rowOff>409912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CxnSpPr/>
      </xdr:nvCxnSpPr>
      <xdr:spPr>
        <a:xfrm flipH="1" flipV="1">
          <a:off x="3442909" y="3235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</xdr:row>
      <xdr:rowOff>125785</xdr:rowOff>
    </xdr:from>
    <xdr:to>
      <xdr:col>5</xdr:col>
      <xdr:colOff>1652211</xdr:colOff>
      <xdr:row>17</xdr:row>
      <xdr:rowOff>408697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CxnSpPr/>
      </xdr:nvCxnSpPr>
      <xdr:spPr>
        <a:xfrm flipH="1" flipV="1">
          <a:off x="3701990" y="3234745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46</xdr:row>
      <xdr:rowOff>137582</xdr:rowOff>
    </xdr:from>
    <xdr:to>
      <xdr:col>5</xdr:col>
      <xdr:colOff>1666875</xdr:colOff>
      <xdr:row>46</xdr:row>
      <xdr:rowOff>137582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CxnSpPr/>
      </xdr:nvCxnSpPr>
      <xdr:spPr>
        <a:xfrm>
          <a:off x="3438525" y="8550062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46</xdr:row>
      <xdr:rowOff>127000</xdr:rowOff>
    </xdr:from>
    <xdr:to>
      <xdr:col>5</xdr:col>
      <xdr:colOff>356810</xdr:colOff>
      <xdr:row>46</xdr:row>
      <xdr:rowOff>409912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CxnSpPr/>
      </xdr:nvCxnSpPr>
      <xdr:spPr>
        <a:xfrm flipH="1" flipV="1">
          <a:off x="3442909" y="85394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46</xdr:row>
      <xdr:rowOff>134252</xdr:rowOff>
    </xdr:from>
    <xdr:to>
      <xdr:col>5</xdr:col>
      <xdr:colOff>1652211</xdr:colOff>
      <xdr:row>46</xdr:row>
      <xdr:rowOff>417164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/>
      </xdr:nvCxnSpPr>
      <xdr:spPr>
        <a:xfrm flipH="1" flipV="1">
          <a:off x="3701990" y="85467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47</xdr:row>
      <xdr:rowOff>137582</xdr:rowOff>
    </xdr:from>
    <xdr:to>
      <xdr:col>5</xdr:col>
      <xdr:colOff>1666875</xdr:colOff>
      <xdr:row>47</xdr:row>
      <xdr:rowOff>137582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CxnSpPr/>
      </xdr:nvCxnSpPr>
      <xdr:spPr>
        <a:xfrm>
          <a:off x="3438525" y="8732942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47</xdr:row>
      <xdr:rowOff>127000</xdr:rowOff>
    </xdr:from>
    <xdr:to>
      <xdr:col>5</xdr:col>
      <xdr:colOff>356810</xdr:colOff>
      <xdr:row>47</xdr:row>
      <xdr:rowOff>409912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/>
      </xdr:nvCxnSpPr>
      <xdr:spPr>
        <a:xfrm flipH="1" flipV="1">
          <a:off x="3442909" y="8722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47</xdr:row>
      <xdr:rowOff>134252</xdr:rowOff>
    </xdr:from>
    <xdr:to>
      <xdr:col>5</xdr:col>
      <xdr:colOff>1652211</xdr:colOff>
      <xdr:row>47</xdr:row>
      <xdr:rowOff>417164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CxnSpPr/>
      </xdr:nvCxnSpPr>
      <xdr:spPr>
        <a:xfrm flipH="1" flipV="1">
          <a:off x="3701990" y="8729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44</xdr:row>
      <xdr:rowOff>127000</xdr:rowOff>
    </xdr:from>
    <xdr:to>
      <xdr:col>5</xdr:col>
      <xdr:colOff>356810</xdr:colOff>
      <xdr:row>44</xdr:row>
      <xdr:rowOff>409912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CxnSpPr/>
      </xdr:nvCxnSpPr>
      <xdr:spPr>
        <a:xfrm flipH="1" flipV="1">
          <a:off x="3442909" y="8173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44</xdr:row>
      <xdr:rowOff>134252</xdr:rowOff>
    </xdr:from>
    <xdr:to>
      <xdr:col>5</xdr:col>
      <xdr:colOff>1652211</xdr:colOff>
      <xdr:row>44</xdr:row>
      <xdr:rowOff>417164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CxnSpPr/>
      </xdr:nvCxnSpPr>
      <xdr:spPr>
        <a:xfrm flipH="1" flipV="1">
          <a:off x="3701990" y="8180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50</xdr:row>
      <xdr:rowOff>400050</xdr:rowOff>
    </xdr:from>
    <xdr:to>
      <xdr:col>5</xdr:col>
      <xdr:colOff>1666875</xdr:colOff>
      <xdr:row>50</xdr:row>
      <xdr:rowOff>400050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CxnSpPr/>
      </xdr:nvCxnSpPr>
      <xdr:spPr>
        <a:xfrm>
          <a:off x="3438525" y="932307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50</xdr:row>
      <xdr:rowOff>127000</xdr:rowOff>
    </xdr:from>
    <xdr:to>
      <xdr:col>5</xdr:col>
      <xdr:colOff>356810</xdr:colOff>
      <xdr:row>50</xdr:row>
      <xdr:rowOff>409912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CxnSpPr/>
      </xdr:nvCxnSpPr>
      <xdr:spPr>
        <a:xfrm flipH="1" flipV="1">
          <a:off x="3442909" y="9271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50</xdr:row>
      <xdr:rowOff>125785</xdr:rowOff>
    </xdr:from>
    <xdr:to>
      <xdr:col>5</xdr:col>
      <xdr:colOff>1652211</xdr:colOff>
      <xdr:row>50</xdr:row>
      <xdr:rowOff>408697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CxnSpPr/>
      </xdr:nvCxnSpPr>
      <xdr:spPr>
        <a:xfrm flipH="1" flipV="1">
          <a:off x="3701990" y="9269785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50</xdr:row>
      <xdr:rowOff>127000</xdr:rowOff>
    </xdr:from>
    <xdr:to>
      <xdr:col>5</xdr:col>
      <xdr:colOff>356810</xdr:colOff>
      <xdr:row>50</xdr:row>
      <xdr:rowOff>409912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CxnSpPr/>
      </xdr:nvCxnSpPr>
      <xdr:spPr>
        <a:xfrm flipH="1" flipV="1">
          <a:off x="3442909" y="9271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50</xdr:row>
      <xdr:rowOff>134252</xdr:rowOff>
    </xdr:from>
    <xdr:to>
      <xdr:col>5</xdr:col>
      <xdr:colOff>1652211</xdr:colOff>
      <xdr:row>50</xdr:row>
      <xdr:rowOff>417164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CxnSpPr/>
      </xdr:nvCxnSpPr>
      <xdr:spPr>
        <a:xfrm flipH="1" flipV="1">
          <a:off x="3701990" y="9278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51</xdr:row>
      <xdr:rowOff>400050</xdr:rowOff>
    </xdr:from>
    <xdr:to>
      <xdr:col>5</xdr:col>
      <xdr:colOff>1666875</xdr:colOff>
      <xdr:row>51</xdr:row>
      <xdr:rowOff>400050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CxnSpPr/>
      </xdr:nvCxnSpPr>
      <xdr:spPr>
        <a:xfrm>
          <a:off x="3438525" y="950595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51</xdr:row>
      <xdr:rowOff>127000</xdr:rowOff>
    </xdr:from>
    <xdr:to>
      <xdr:col>5</xdr:col>
      <xdr:colOff>356810</xdr:colOff>
      <xdr:row>51</xdr:row>
      <xdr:rowOff>409912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CxnSpPr/>
      </xdr:nvCxnSpPr>
      <xdr:spPr>
        <a:xfrm flipH="1" flipV="1">
          <a:off x="3442909" y="94538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51</xdr:row>
      <xdr:rowOff>125785</xdr:rowOff>
    </xdr:from>
    <xdr:to>
      <xdr:col>5</xdr:col>
      <xdr:colOff>1652211</xdr:colOff>
      <xdr:row>51</xdr:row>
      <xdr:rowOff>408697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CxnSpPr/>
      </xdr:nvCxnSpPr>
      <xdr:spPr>
        <a:xfrm flipH="1" flipV="1">
          <a:off x="3701990" y="9452665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51</xdr:row>
      <xdr:rowOff>127000</xdr:rowOff>
    </xdr:from>
    <xdr:to>
      <xdr:col>5</xdr:col>
      <xdr:colOff>356810</xdr:colOff>
      <xdr:row>51</xdr:row>
      <xdr:rowOff>409912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CxnSpPr/>
      </xdr:nvCxnSpPr>
      <xdr:spPr>
        <a:xfrm flipH="1" flipV="1">
          <a:off x="3442909" y="94538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51</xdr:row>
      <xdr:rowOff>134252</xdr:rowOff>
    </xdr:from>
    <xdr:to>
      <xdr:col>5</xdr:col>
      <xdr:colOff>1652211</xdr:colOff>
      <xdr:row>51</xdr:row>
      <xdr:rowOff>417164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CxnSpPr/>
      </xdr:nvCxnSpPr>
      <xdr:spPr>
        <a:xfrm flipH="1" flipV="1">
          <a:off x="3701990" y="94611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52</xdr:row>
      <xdr:rowOff>137582</xdr:rowOff>
    </xdr:from>
    <xdr:to>
      <xdr:col>5</xdr:col>
      <xdr:colOff>1666875</xdr:colOff>
      <xdr:row>52</xdr:row>
      <xdr:rowOff>137582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CxnSpPr/>
      </xdr:nvCxnSpPr>
      <xdr:spPr>
        <a:xfrm>
          <a:off x="3438525" y="9647342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52</xdr:row>
      <xdr:rowOff>127000</xdr:rowOff>
    </xdr:from>
    <xdr:to>
      <xdr:col>5</xdr:col>
      <xdr:colOff>356810</xdr:colOff>
      <xdr:row>52</xdr:row>
      <xdr:rowOff>409912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CxnSpPr/>
      </xdr:nvCxnSpPr>
      <xdr:spPr>
        <a:xfrm flipH="1" flipV="1">
          <a:off x="3442909" y="96367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52</xdr:row>
      <xdr:rowOff>134252</xdr:rowOff>
    </xdr:from>
    <xdr:to>
      <xdr:col>5</xdr:col>
      <xdr:colOff>1652211</xdr:colOff>
      <xdr:row>52</xdr:row>
      <xdr:rowOff>417164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CxnSpPr/>
      </xdr:nvCxnSpPr>
      <xdr:spPr>
        <a:xfrm flipH="1" flipV="1">
          <a:off x="3701990" y="96440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56</xdr:row>
      <xdr:rowOff>127001</xdr:rowOff>
    </xdr:from>
    <xdr:to>
      <xdr:col>5</xdr:col>
      <xdr:colOff>1168400</xdr:colOff>
      <xdr:row>56</xdr:row>
      <xdr:rowOff>127001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CxnSpPr/>
      </xdr:nvCxnSpPr>
      <xdr:spPr>
        <a:xfrm flipH="1">
          <a:off x="3704168" y="1036828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56</xdr:row>
      <xdr:rowOff>1083733</xdr:rowOff>
    </xdr:from>
    <xdr:to>
      <xdr:col>5</xdr:col>
      <xdr:colOff>1159935</xdr:colOff>
      <xdr:row>56</xdr:row>
      <xdr:rowOff>1083733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CxnSpPr/>
      </xdr:nvCxnSpPr>
      <xdr:spPr>
        <a:xfrm flipH="1">
          <a:off x="3703323" y="1042585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56</xdr:row>
      <xdr:rowOff>118533</xdr:rowOff>
    </xdr:from>
    <xdr:to>
      <xdr:col>5</xdr:col>
      <xdr:colOff>1151462</xdr:colOff>
      <xdr:row>56</xdr:row>
      <xdr:rowOff>1066801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CxnSpPr/>
      </xdr:nvCxnSpPr>
      <xdr:spPr>
        <a:xfrm flipH="1" flipV="1">
          <a:off x="3704161" y="1035981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56</xdr:row>
      <xdr:rowOff>127001</xdr:rowOff>
    </xdr:from>
    <xdr:to>
      <xdr:col>5</xdr:col>
      <xdr:colOff>1168400</xdr:colOff>
      <xdr:row>56</xdr:row>
      <xdr:rowOff>127001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CxnSpPr/>
      </xdr:nvCxnSpPr>
      <xdr:spPr>
        <a:xfrm flipH="1">
          <a:off x="3704168" y="1036828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56</xdr:row>
      <xdr:rowOff>1083733</xdr:rowOff>
    </xdr:from>
    <xdr:to>
      <xdr:col>5</xdr:col>
      <xdr:colOff>1169876</xdr:colOff>
      <xdr:row>56</xdr:row>
      <xdr:rowOff>1083733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CxnSpPr/>
      </xdr:nvCxnSpPr>
      <xdr:spPr>
        <a:xfrm flipH="1">
          <a:off x="3703324" y="1042585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57</xdr:row>
      <xdr:rowOff>127001</xdr:rowOff>
    </xdr:from>
    <xdr:to>
      <xdr:col>5</xdr:col>
      <xdr:colOff>1168400</xdr:colOff>
      <xdr:row>57</xdr:row>
      <xdr:rowOff>127001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CxnSpPr/>
      </xdr:nvCxnSpPr>
      <xdr:spPr>
        <a:xfrm flipH="1">
          <a:off x="3704168" y="1055116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57</xdr:row>
      <xdr:rowOff>1083733</xdr:rowOff>
    </xdr:from>
    <xdr:to>
      <xdr:col>5</xdr:col>
      <xdr:colOff>1159935</xdr:colOff>
      <xdr:row>57</xdr:row>
      <xdr:rowOff>1083733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CxnSpPr/>
      </xdr:nvCxnSpPr>
      <xdr:spPr>
        <a:xfrm flipH="1">
          <a:off x="3703323" y="1060873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57</xdr:row>
      <xdr:rowOff>118533</xdr:rowOff>
    </xdr:from>
    <xdr:to>
      <xdr:col>5</xdr:col>
      <xdr:colOff>1151462</xdr:colOff>
      <xdr:row>57</xdr:row>
      <xdr:rowOff>1066801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CxnSpPr/>
      </xdr:nvCxnSpPr>
      <xdr:spPr>
        <a:xfrm flipH="1" flipV="1">
          <a:off x="3704161" y="1054269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57</xdr:row>
      <xdr:rowOff>127001</xdr:rowOff>
    </xdr:from>
    <xdr:to>
      <xdr:col>5</xdr:col>
      <xdr:colOff>1168400</xdr:colOff>
      <xdr:row>57</xdr:row>
      <xdr:rowOff>127001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CxnSpPr/>
      </xdr:nvCxnSpPr>
      <xdr:spPr>
        <a:xfrm flipH="1">
          <a:off x="3704168" y="1055116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57</xdr:row>
      <xdr:rowOff>1083733</xdr:rowOff>
    </xdr:from>
    <xdr:to>
      <xdr:col>5</xdr:col>
      <xdr:colOff>1169876</xdr:colOff>
      <xdr:row>57</xdr:row>
      <xdr:rowOff>1083733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CxnSpPr/>
      </xdr:nvCxnSpPr>
      <xdr:spPr>
        <a:xfrm flipH="1">
          <a:off x="3703324" y="1060873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58</xdr:row>
      <xdr:rowOff>127001</xdr:rowOff>
    </xdr:from>
    <xdr:to>
      <xdr:col>5</xdr:col>
      <xdr:colOff>1168400</xdr:colOff>
      <xdr:row>58</xdr:row>
      <xdr:rowOff>127001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CxnSpPr/>
      </xdr:nvCxnSpPr>
      <xdr:spPr>
        <a:xfrm flipH="1">
          <a:off x="3704168" y="1073404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58</xdr:row>
      <xdr:rowOff>1083733</xdr:rowOff>
    </xdr:from>
    <xdr:to>
      <xdr:col>5</xdr:col>
      <xdr:colOff>1169876</xdr:colOff>
      <xdr:row>58</xdr:row>
      <xdr:rowOff>1083733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CxnSpPr/>
      </xdr:nvCxnSpPr>
      <xdr:spPr>
        <a:xfrm flipH="1">
          <a:off x="3703324" y="1079161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58</xdr:row>
      <xdr:rowOff>118533</xdr:rowOff>
    </xdr:from>
    <xdr:to>
      <xdr:col>5</xdr:col>
      <xdr:colOff>855134</xdr:colOff>
      <xdr:row>58</xdr:row>
      <xdr:rowOff>1066801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CxnSpPr/>
      </xdr:nvCxnSpPr>
      <xdr:spPr>
        <a:xfrm flipH="1" flipV="1">
          <a:off x="3705013" y="1072557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58</xdr:row>
      <xdr:rowOff>127001</xdr:rowOff>
    </xdr:from>
    <xdr:to>
      <xdr:col>5</xdr:col>
      <xdr:colOff>1168400</xdr:colOff>
      <xdr:row>58</xdr:row>
      <xdr:rowOff>127001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CxnSpPr/>
      </xdr:nvCxnSpPr>
      <xdr:spPr>
        <a:xfrm flipH="1">
          <a:off x="3704168" y="1073404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58</xdr:row>
      <xdr:rowOff>1083733</xdr:rowOff>
    </xdr:from>
    <xdr:to>
      <xdr:col>5</xdr:col>
      <xdr:colOff>1159935</xdr:colOff>
      <xdr:row>58</xdr:row>
      <xdr:rowOff>1083733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CxnSpPr/>
      </xdr:nvCxnSpPr>
      <xdr:spPr>
        <a:xfrm flipH="1">
          <a:off x="3703323" y="1079161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59</xdr:row>
      <xdr:rowOff>127001</xdr:rowOff>
    </xdr:from>
    <xdr:to>
      <xdr:col>5</xdr:col>
      <xdr:colOff>1168400</xdr:colOff>
      <xdr:row>59</xdr:row>
      <xdr:rowOff>127001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CxnSpPr/>
      </xdr:nvCxnSpPr>
      <xdr:spPr>
        <a:xfrm flipH="1">
          <a:off x="3704168" y="1091692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59</xdr:row>
      <xdr:rowOff>1083733</xdr:rowOff>
    </xdr:from>
    <xdr:to>
      <xdr:col>5</xdr:col>
      <xdr:colOff>1169876</xdr:colOff>
      <xdr:row>59</xdr:row>
      <xdr:rowOff>1083733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CxnSpPr/>
      </xdr:nvCxnSpPr>
      <xdr:spPr>
        <a:xfrm flipH="1">
          <a:off x="3703324" y="1097449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59</xdr:row>
      <xdr:rowOff>118533</xdr:rowOff>
    </xdr:from>
    <xdr:to>
      <xdr:col>5</xdr:col>
      <xdr:colOff>855134</xdr:colOff>
      <xdr:row>59</xdr:row>
      <xdr:rowOff>1066801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CxnSpPr/>
      </xdr:nvCxnSpPr>
      <xdr:spPr>
        <a:xfrm flipH="1" flipV="1">
          <a:off x="3705013" y="1090845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59</xdr:row>
      <xdr:rowOff>127001</xdr:rowOff>
    </xdr:from>
    <xdr:to>
      <xdr:col>5</xdr:col>
      <xdr:colOff>1168400</xdr:colOff>
      <xdr:row>59</xdr:row>
      <xdr:rowOff>127001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CxnSpPr/>
      </xdr:nvCxnSpPr>
      <xdr:spPr>
        <a:xfrm flipH="1">
          <a:off x="3704168" y="1091692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59</xdr:row>
      <xdr:rowOff>1083733</xdr:rowOff>
    </xdr:from>
    <xdr:to>
      <xdr:col>5</xdr:col>
      <xdr:colOff>1159935</xdr:colOff>
      <xdr:row>59</xdr:row>
      <xdr:rowOff>1083733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CxnSpPr/>
      </xdr:nvCxnSpPr>
      <xdr:spPr>
        <a:xfrm flipH="1">
          <a:off x="3703323" y="1097449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30</xdr:row>
      <xdr:rowOff>127001</xdr:rowOff>
    </xdr:from>
    <xdr:to>
      <xdr:col>5</xdr:col>
      <xdr:colOff>1168400</xdr:colOff>
      <xdr:row>30</xdr:row>
      <xdr:rowOff>127001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CxnSpPr/>
      </xdr:nvCxnSpPr>
      <xdr:spPr>
        <a:xfrm flipH="1">
          <a:off x="3704168" y="561340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30</xdr:row>
      <xdr:rowOff>1083733</xdr:rowOff>
    </xdr:from>
    <xdr:to>
      <xdr:col>5</xdr:col>
      <xdr:colOff>1159935</xdr:colOff>
      <xdr:row>30</xdr:row>
      <xdr:rowOff>1083733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CxnSpPr/>
      </xdr:nvCxnSpPr>
      <xdr:spPr>
        <a:xfrm flipH="1">
          <a:off x="3703323" y="567097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30</xdr:row>
      <xdr:rowOff>118533</xdr:rowOff>
    </xdr:from>
    <xdr:to>
      <xdr:col>5</xdr:col>
      <xdr:colOff>1151462</xdr:colOff>
      <xdr:row>30</xdr:row>
      <xdr:rowOff>1066801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CxnSpPr/>
      </xdr:nvCxnSpPr>
      <xdr:spPr>
        <a:xfrm flipH="1" flipV="1">
          <a:off x="3704161" y="560493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30</xdr:row>
      <xdr:rowOff>127001</xdr:rowOff>
    </xdr:from>
    <xdr:to>
      <xdr:col>5</xdr:col>
      <xdr:colOff>1168400</xdr:colOff>
      <xdr:row>30</xdr:row>
      <xdr:rowOff>127001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CxnSpPr/>
      </xdr:nvCxnSpPr>
      <xdr:spPr>
        <a:xfrm flipH="1">
          <a:off x="3704168" y="561340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30</xdr:row>
      <xdr:rowOff>1083733</xdr:rowOff>
    </xdr:from>
    <xdr:to>
      <xdr:col>5</xdr:col>
      <xdr:colOff>1169876</xdr:colOff>
      <xdr:row>30</xdr:row>
      <xdr:rowOff>1083733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CxnSpPr/>
      </xdr:nvCxnSpPr>
      <xdr:spPr>
        <a:xfrm flipH="1">
          <a:off x="3703324" y="567097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31</xdr:row>
      <xdr:rowOff>127001</xdr:rowOff>
    </xdr:from>
    <xdr:to>
      <xdr:col>5</xdr:col>
      <xdr:colOff>1168400</xdr:colOff>
      <xdr:row>31</xdr:row>
      <xdr:rowOff>127001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CxnSpPr/>
      </xdr:nvCxnSpPr>
      <xdr:spPr>
        <a:xfrm flipH="1">
          <a:off x="3704168" y="579628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31</xdr:row>
      <xdr:rowOff>1083733</xdr:rowOff>
    </xdr:from>
    <xdr:to>
      <xdr:col>5</xdr:col>
      <xdr:colOff>1159935</xdr:colOff>
      <xdr:row>31</xdr:row>
      <xdr:rowOff>1083733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CxnSpPr/>
      </xdr:nvCxnSpPr>
      <xdr:spPr>
        <a:xfrm flipH="1">
          <a:off x="3703323" y="585385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31</xdr:row>
      <xdr:rowOff>118533</xdr:rowOff>
    </xdr:from>
    <xdr:to>
      <xdr:col>5</xdr:col>
      <xdr:colOff>1151462</xdr:colOff>
      <xdr:row>31</xdr:row>
      <xdr:rowOff>1066801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CxnSpPr/>
      </xdr:nvCxnSpPr>
      <xdr:spPr>
        <a:xfrm flipH="1" flipV="1">
          <a:off x="3704161" y="578781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31</xdr:row>
      <xdr:rowOff>127001</xdr:rowOff>
    </xdr:from>
    <xdr:to>
      <xdr:col>5</xdr:col>
      <xdr:colOff>1168400</xdr:colOff>
      <xdr:row>31</xdr:row>
      <xdr:rowOff>127001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CxnSpPr/>
      </xdr:nvCxnSpPr>
      <xdr:spPr>
        <a:xfrm flipH="1">
          <a:off x="3704168" y="579628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31</xdr:row>
      <xdr:rowOff>1083733</xdr:rowOff>
    </xdr:from>
    <xdr:to>
      <xdr:col>5</xdr:col>
      <xdr:colOff>1169876</xdr:colOff>
      <xdr:row>31</xdr:row>
      <xdr:rowOff>1083733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CxnSpPr/>
      </xdr:nvCxnSpPr>
      <xdr:spPr>
        <a:xfrm flipH="1">
          <a:off x="3703324" y="585385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32</xdr:row>
      <xdr:rowOff>127001</xdr:rowOff>
    </xdr:from>
    <xdr:to>
      <xdr:col>5</xdr:col>
      <xdr:colOff>1168400</xdr:colOff>
      <xdr:row>32</xdr:row>
      <xdr:rowOff>127001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CxnSpPr/>
      </xdr:nvCxnSpPr>
      <xdr:spPr>
        <a:xfrm flipH="1">
          <a:off x="3704168" y="597916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32</xdr:row>
      <xdr:rowOff>1083733</xdr:rowOff>
    </xdr:from>
    <xdr:to>
      <xdr:col>5</xdr:col>
      <xdr:colOff>1169876</xdr:colOff>
      <xdr:row>32</xdr:row>
      <xdr:rowOff>1083733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CxnSpPr/>
      </xdr:nvCxnSpPr>
      <xdr:spPr>
        <a:xfrm flipH="1">
          <a:off x="3703324" y="603673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32</xdr:row>
      <xdr:rowOff>118533</xdr:rowOff>
    </xdr:from>
    <xdr:to>
      <xdr:col>5</xdr:col>
      <xdr:colOff>855134</xdr:colOff>
      <xdr:row>32</xdr:row>
      <xdr:rowOff>1066801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CxnSpPr/>
      </xdr:nvCxnSpPr>
      <xdr:spPr>
        <a:xfrm flipH="1" flipV="1">
          <a:off x="3705013" y="597069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32</xdr:row>
      <xdr:rowOff>127001</xdr:rowOff>
    </xdr:from>
    <xdr:to>
      <xdr:col>5</xdr:col>
      <xdr:colOff>1168400</xdr:colOff>
      <xdr:row>32</xdr:row>
      <xdr:rowOff>127001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CxnSpPr/>
      </xdr:nvCxnSpPr>
      <xdr:spPr>
        <a:xfrm flipH="1">
          <a:off x="3704168" y="597916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32</xdr:row>
      <xdr:rowOff>1083733</xdr:rowOff>
    </xdr:from>
    <xdr:to>
      <xdr:col>5</xdr:col>
      <xdr:colOff>1159935</xdr:colOff>
      <xdr:row>32</xdr:row>
      <xdr:rowOff>1083733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CxnSpPr/>
      </xdr:nvCxnSpPr>
      <xdr:spPr>
        <a:xfrm flipH="1">
          <a:off x="3703323" y="603673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33</xdr:row>
      <xdr:rowOff>127001</xdr:rowOff>
    </xdr:from>
    <xdr:to>
      <xdr:col>5</xdr:col>
      <xdr:colOff>1168400</xdr:colOff>
      <xdr:row>33</xdr:row>
      <xdr:rowOff>127001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CxnSpPr/>
      </xdr:nvCxnSpPr>
      <xdr:spPr>
        <a:xfrm flipH="1">
          <a:off x="3704168" y="616204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33</xdr:row>
      <xdr:rowOff>1083733</xdr:rowOff>
    </xdr:from>
    <xdr:to>
      <xdr:col>5</xdr:col>
      <xdr:colOff>1169876</xdr:colOff>
      <xdr:row>33</xdr:row>
      <xdr:rowOff>1083733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CxnSpPr/>
      </xdr:nvCxnSpPr>
      <xdr:spPr>
        <a:xfrm flipH="1">
          <a:off x="3703324" y="621961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33</xdr:row>
      <xdr:rowOff>118533</xdr:rowOff>
    </xdr:from>
    <xdr:to>
      <xdr:col>5</xdr:col>
      <xdr:colOff>855134</xdr:colOff>
      <xdr:row>33</xdr:row>
      <xdr:rowOff>1066801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CxnSpPr/>
      </xdr:nvCxnSpPr>
      <xdr:spPr>
        <a:xfrm flipH="1" flipV="1">
          <a:off x="3705013" y="615357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33</xdr:row>
      <xdr:rowOff>127001</xdr:rowOff>
    </xdr:from>
    <xdr:to>
      <xdr:col>5</xdr:col>
      <xdr:colOff>1168400</xdr:colOff>
      <xdr:row>33</xdr:row>
      <xdr:rowOff>127001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CxnSpPr/>
      </xdr:nvCxnSpPr>
      <xdr:spPr>
        <a:xfrm flipH="1">
          <a:off x="3704168" y="616204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33</xdr:row>
      <xdr:rowOff>1083733</xdr:rowOff>
    </xdr:from>
    <xdr:to>
      <xdr:col>5</xdr:col>
      <xdr:colOff>1159935</xdr:colOff>
      <xdr:row>33</xdr:row>
      <xdr:rowOff>1083733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CxnSpPr/>
      </xdr:nvCxnSpPr>
      <xdr:spPr>
        <a:xfrm flipH="1">
          <a:off x="3703323" y="621961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62</xdr:row>
      <xdr:rowOff>127001</xdr:rowOff>
    </xdr:from>
    <xdr:to>
      <xdr:col>5</xdr:col>
      <xdr:colOff>1168400</xdr:colOff>
      <xdr:row>62</xdr:row>
      <xdr:rowOff>127001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CxnSpPr/>
      </xdr:nvCxnSpPr>
      <xdr:spPr>
        <a:xfrm flipH="1">
          <a:off x="3704168" y="1146556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62</xdr:row>
      <xdr:rowOff>1083733</xdr:rowOff>
    </xdr:from>
    <xdr:to>
      <xdr:col>5</xdr:col>
      <xdr:colOff>1159935</xdr:colOff>
      <xdr:row>62</xdr:row>
      <xdr:rowOff>1083733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CxnSpPr/>
      </xdr:nvCxnSpPr>
      <xdr:spPr>
        <a:xfrm flipH="1">
          <a:off x="3703323" y="1152313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62</xdr:row>
      <xdr:rowOff>118533</xdr:rowOff>
    </xdr:from>
    <xdr:to>
      <xdr:col>5</xdr:col>
      <xdr:colOff>1151462</xdr:colOff>
      <xdr:row>62</xdr:row>
      <xdr:rowOff>1066801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CxnSpPr/>
      </xdr:nvCxnSpPr>
      <xdr:spPr>
        <a:xfrm flipH="1" flipV="1">
          <a:off x="3704161" y="1145709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62</xdr:row>
      <xdr:rowOff>127001</xdr:rowOff>
    </xdr:from>
    <xdr:to>
      <xdr:col>5</xdr:col>
      <xdr:colOff>1168400</xdr:colOff>
      <xdr:row>62</xdr:row>
      <xdr:rowOff>127001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CxnSpPr/>
      </xdr:nvCxnSpPr>
      <xdr:spPr>
        <a:xfrm flipH="1">
          <a:off x="3704168" y="1146556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62</xdr:row>
      <xdr:rowOff>1083733</xdr:rowOff>
    </xdr:from>
    <xdr:to>
      <xdr:col>5</xdr:col>
      <xdr:colOff>1169876</xdr:colOff>
      <xdr:row>62</xdr:row>
      <xdr:rowOff>1083733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CxnSpPr/>
      </xdr:nvCxnSpPr>
      <xdr:spPr>
        <a:xfrm flipH="1">
          <a:off x="3703324" y="1152313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63</xdr:row>
      <xdr:rowOff>127001</xdr:rowOff>
    </xdr:from>
    <xdr:to>
      <xdr:col>5</xdr:col>
      <xdr:colOff>1168400</xdr:colOff>
      <xdr:row>63</xdr:row>
      <xdr:rowOff>127001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CxnSpPr/>
      </xdr:nvCxnSpPr>
      <xdr:spPr>
        <a:xfrm flipH="1">
          <a:off x="3704168" y="1164844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63</xdr:row>
      <xdr:rowOff>1083733</xdr:rowOff>
    </xdr:from>
    <xdr:to>
      <xdr:col>5</xdr:col>
      <xdr:colOff>1159935</xdr:colOff>
      <xdr:row>63</xdr:row>
      <xdr:rowOff>1083733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CxnSpPr/>
      </xdr:nvCxnSpPr>
      <xdr:spPr>
        <a:xfrm flipH="1">
          <a:off x="3703323" y="1170601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63</xdr:row>
      <xdr:rowOff>118533</xdr:rowOff>
    </xdr:from>
    <xdr:to>
      <xdr:col>5</xdr:col>
      <xdr:colOff>1151462</xdr:colOff>
      <xdr:row>63</xdr:row>
      <xdr:rowOff>1066801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CxnSpPr/>
      </xdr:nvCxnSpPr>
      <xdr:spPr>
        <a:xfrm flipH="1" flipV="1">
          <a:off x="3704161" y="1163997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63</xdr:row>
      <xdr:rowOff>127001</xdr:rowOff>
    </xdr:from>
    <xdr:to>
      <xdr:col>5</xdr:col>
      <xdr:colOff>1168400</xdr:colOff>
      <xdr:row>63</xdr:row>
      <xdr:rowOff>127001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CxnSpPr/>
      </xdr:nvCxnSpPr>
      <xdr:spPr>
        <a:xfrm flipH="1">
          <a:off x="3704168" y="1164844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63</xdr:row>
      <xdr:rowOff>1083733</xdr:rowOff>
    </xdr:from>
    <xdr:to>
      <xdr:col>5</xdr:col>
      <xdr:colOff>1169876</xdr:colOff>
      <xdr:row>63</xdr:row>
      <xdr:rowOff>1083733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CxnSpPr/>
      </xdr:nvCxnSpPr>
      <xdr:spPr>
        <a:xfrm flipH="1">
          <a:off x="3703324" y="1170601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64</xdr:row>
      <xdr:rowOff>127001</xdr:rowOff>
    </xdr:from>
    <xdr:to>
      <xdr:col>5</xdr:col>
      <xdr:colOff>1168400</xdr:colOff>
      <xdr:row>64</xdr:row>
      <xdr:rowOff>127001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CxnSpPr/>
      </xdr:nvCxnSpPr>
      <xdr:spPr>
        <a:xfrm flipH="1">
          <a:off x="3704168" y="1183132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64</xdr:row>
      <xdr:rowOff>1083733</xdr:rowOff>
    </xdr:from>
    <xdr:to>
      <xdr:col>5</xdr:col>
      <xdr:colOff>1169876</xdr:colOff>
      <xdr:row>64</xdr:row>
      <xdr:rowOff>1083733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CxnSpPr/>
      </xdr:nvCxnSpPr>
      <xdr:spPr>
        <a:xfrm flipH="1">
          <a:off x="3703324" y="1188889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64</xdr:row>
      <xdr:rowOff>118533</xdr:rowOff>
    </xdr:from>
    <xdr:to>
      <xdr:col>5</xdr:col>
      <xdr:colOff>855134</xdr:colOff>
      <xdr:row>64</xdr:row>
      <xdr:rowOff>1066801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CxnSpPr/>
      </xdr:nvCxnSpPr>
      <xdr:spPr>
        <a:xfrm flipH="1" flipV="1">
          <a:off x="3705013" y="1182285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64</xdr:row>
      <xdr:rowOff>127001</xdr:rowOff>
    </xdr:from>
    <xdr:to>
      <xdr:col>5</xdr:col>
      <xdr:colOff>1168400</xdr:colOff>
      <xdr:row>64</xdr:row>
      <xdr:rowOff>127001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CxnSpPr/>
      </xdr:nvCxnSpPr>
      <xdr:spPr>
        <a:xfrm flipH="1">
          <a:off x="3704168" y="1183132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64</xdr:row>
      <xdr:rowOff>1083733</xdr:rowOff>
    </xdr:from>
    <xdr:to>
      <xdr:col>5</xdr:col>
      <xdr:colOff>1159935</xdr:colOff>
      <xdr:row>64</xdr:row>
      <xdr:rowOff>1083733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CxnSpPr/>
      </xdr:nvCxnSpPr>
      <xdr:spPr>
        <a:xfrm flipH="1">
          <a:off x="3703323" y="1188889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65</xdr:row>
      <xdr:rowOff>127001</xdr:rowOff>
    </xdr:from>
    <xdr:to>
      <xdr:col>5</xdr:col>
      <xdr:colOff>1168400</xdr:colOff>
      <xdr:row>65</xdr:row>
      <xdr:rowOff>127001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CxnSpPr/>
      </xdr:nvCxnSpPr>
      <xdr:spPr>
        <a:xfrm flipH="1">
          <a:off x="3704168" y="1201420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65</xdr:row>
      <xdr:rowOff>1083733</xdr:rowOff>
    </xdr:from>
    <xdr:to>
      <xdr:col>5</xdr:col>
      <xdr:colOff>1169876</xdr:colOff>
      <xdr:row>65</xdr:row>
      <xdr:rowOff>1083733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CxnSpPr/>
      </xdr:nvCxnSpPr>
      <xdr:spPr>
        <a:xfrm flipH="1">
          <a:off x="3703324" y="12071773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65</xdr:row>
      <xdr:rowOff>118533</xdr:rowOff>
    </xdr:from>
    <xdr:to>
      <xdr:col>5</xdr:col>
      <xdr:colOff>855134</xdr:colOff>
      <xdr:row>65</xdr:row>
      <xdr:rowOff>1066801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CxnSpPr/>
      </xdr:nvCxnSpPr>
      <xdr:spPr>
        <a:xfrm flipH="1" flipV="1">
          <a:off x="3705013" y="12005733"/>
          <a:ext cx="1" cy="6434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65</xdr:row>
      <xdr:rowOff>127001</xdr:rowOff>
    </xdr:from>
    <xdr:to>
      <xdr:col>5</xdr:col>
      <xdr:colOff>1168400</xdr:colOff>
      <xdr:row>65</xdr:row>
      <xdr:rowOff>127001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CxnSpPr/>
      </xdr:nvCxnSpPr>
      <xdr:spPr>
        <a:xfrm flipH="1">
          <a:off x="3704168" y="12014201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65</xdr:row>
      <xdr:rowOff>1083733</xdr:rowOff>
    </xdr:from>
    <xdr:to>
      <xdr:col>5</xdr:col>
      <xdr:colOff>1159935</xdr:colOff>
      <xdr:row>65</xdr:row>
      <xdr:rowOff>1083733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CxnSpPr/>
      </xdr:nvCxnSpPr>
      <xdr:spPr>
        <a:xfrm flipH="1">
          <a:off x="3703323" y="12071773"/>
          <a:ext cx="169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347133</xdr:colOff>
      <xdr:row>67</xdr:row>
      <xdr:rowOff>296332</xdr:rowOff>
    </xdr:from>
    <xdr:to>
      <xdr:col>5</xdr:col>
      <xdr:colOff>1661583</xdr:colOff>
      <xdr:row>67</xdr:row>
      <xdr:rowOff>296332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CxnSpPr/>
      </xdr:nvCxnSpPr>
      <xdr:spPr>
        <a:xfrm>
          <a:off x="3433233" y="12434992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356235</xdr:colOff>
      <xdr:row>5</xdr:row>
      <xdr:rowOff>127000</xdr:rowOff>
    </xdr:from>
    <xdr:to>
      <xdr:col>5</xdr:col>
      <xdr:colOff>356235</xdr:colOff>
      <xdr:row>5</xdr:row>
      <xdr:rowOff>309880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 flipV="1">
          <a:off x="5126355" y="111760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5</xdr:row>
      <xdr:rowOff>400050</xdr:rowOff>
    </xdr:from>
    <xdr:to>
      <xdr:col>5</xdr:col>
      <xdr:colOff>1666875</xdr:colOff>
      <xdr:row>5</xdr:row>
      <xdr:rowOff>400050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5122545" y="139065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</xdr:row>
      <xdr:rowOff>127000</xdr:rowOff>
    </xdr:from>
    <xdr:to>
      <xdr:col>5</xdr:col>
      <xdr:colOff>356810</xdr:colOff>
      <xdr:row>5</xdr:row>
      <xdr:rowOff>409912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 flipH="1" flipV="1">
          <a:off x="5126929" y="111760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</xdr:row>
      <xdr:rowOff>134252</xdr:rowOff>
    </xdr:from>
    <xdr:to>
      <xdr:col>5</xdr:col>
      <xdr:colOff>1652211</xdr:colOff>
      <xdr:row>5</xdr:row>
      <xdr:rowOff>417164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 flipH="1" flipV="1">
          <a:off x="6422330" y="112485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6</xdr:row>
      <xdr:rowOff>190500</xdr:rowOff>
    </xdr:from>
    <xdr:to>
      <xdr:col>5</xdr:col>
      <xdr:colOff>1628775</xdr:colOff>
      <xdr:row>6</xdr:row>
      <xdr:rowOff>190500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5084445" y="176784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</xdr:row>
      <xdr:rowOff>127000</xdr:rowOff>
    </xdr:from>
    <xdr:to>
      <xdr:col>5</xdr:col>
      <xdr:colOff>356235</xdr:colOff>
      <xdr:row>7</xdr:row>
      <xdr:rowOff>309880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 flipH="1" flipV="1">
          <a:off x="5126355" y="200152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7</xdr:row>
      <xdr:rowOff>152400</xdr:rowOff>
    </xdr:from>
    <xdr:to>
      <xdr:col>5</xdr:col>
      <xdr:colOff>1676400</xdr:colOff>
      <xdr:row>7</xdr:row>
      <xdr:rowOff>152400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>
          <a:off x="5132070" y="202692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</xdr:row>
      <xdr:rowOff>127000</xdr:rowOff>
    </xdr:from>
    <xdr:to>
      <xdr:col>5</xdr:col>
      <xdr:colOff>356810</xdr:colOff>
      <xdr:row>7</xdr:row>
      <xdr:rowOff>409912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 flipH="1" flipV="1">
          <a:off x="5126929" y="200152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</xdr:row>
      <xdr:rowOff>134252</xdr:rowOff>
    </xdr:from>
    <xdr:to>
      <xdr:col>5</xdr:col>
      <xdr:colOff>1652211</xdr:colOff>
      <xdr:row>7</xdr:row>
      <xdr:rowOff>417164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/>
      </xdr:nvCxnSpPr>
      <xdr:spPr>
        <a:xfrm flipH="1" flipV="1">
          <a:off x="6422330" y="200877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8</xdr:row>
      <xdr:rowOff>190500</xdr:rowOff>
    </xdr:from>
    <xdr:to>
      <xdr:col>5</xdr:col>
      <xdr:colOff>1628775</xdr:colOff>
      <xdr:row>8</xdr:row>
      <xdr:rowOff>190500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CxnSpPr/>
      </xdr:nvCxnSpPr>
      <xdr:spPr>
        <a:xfrm>
          <a:off x="5084445" y="265176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9</xdr:row>
      <xdr:rowOff>123824</xdr:rowOff>
    </xdr:from>
    <xdr:to>
      <xdr:col>5</xdr:col>
      <xdr:colOff>1428750</xdr:colOff>
      <xdr:row>9</xdr:row>
      <xdr:rowOff>1219199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5436870" y="2882264"/>
          <a:ext cx="762000" cy="104203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9</xdr:row>
      <xdr:rowOff>238127</xdr:rowOff>
    </xdr:from>
    <xdr:to>
      <xdr:col>5</xdr:col>
      <xdr:colOff>790575</xdr:colOff>
      <xdr:row>9</xdr:row>
      <xdr:rowOff>361950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CxnSpPr/>
      </xdr:nvCxnSpPr>
      <xdr:spPr>
        <a:xfrm flipH="1" flipV="1">
          <a:off x="5417821" y="2996567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9</xdr:row>
      <xdr:rowOff>133352</xdr:rowOff>
    </xdr:from>
    <xdr:to>
      <xdr:col>5</xdr:col>
      <xdr:colOff>885825</xdr:colOff>
      <xdr:row>9</xdr:row>
      <xdr:rowOff>257175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/>
      </xdr:nvCxnSpPr>
      <xdr:spPr>
        <a:xfrm flipH="1" flipV="1">
          <a:off x="5513071" y="2891792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</xdr:row>
      <xdr:rowOff>127000</xdr:rowOff>
    </xdr:from>
    <xdr:to>
      <xdr:col>5</xdr:col>
      <xdr:colOff>356235</xdr:colOff>
      <xdr:row>13</xdr:row>
      <xdr:rowOff>309880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CxnSpPr/>
      </xdr:nvCxnSpPr>
      <xdr:spPr>
        <a:xfrm flipH="1" flipV="1">
          <a:off x="5126355" y="459994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</xdr:row>
      <xdr:rowOff>400050</xdr:rowOff>
    </xdr:from>
    <xdr:to>
      <xdr:col>5</xdr:col>
      <xdr:colOff>1666875</xdr:colOff>
      <xdr:row>13</xdr:row>
      <xdr:rowOff>400050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CxnSpPr/>
      </xdr:nvCxnSpPr>
      <xdr:spPr>
        <a:xfrm>
          <a:off x="5122545" y="487299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</xdr:row>
      <xdr:rowOff>127000</xdr:rowOff>
    </xdr:from>
    <xdr:to>
      <xdr:col>5</xdr:col>
      <xdr:colOff>356810</xdr:colOff>
      <xdr:row>13</xdr:row>
      <xdr:rowOff>409912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CxnSpPr/>
      </xdr:nvCxnSpPr>
      <xdr:spPr>
        <a:xfrm flipH="1" flipV="1">
          <a:off x="5126929" y="459994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</xdr:row>
      <xdr:rowOff>134252</xdr:rowOff>
    </xdr:from>
    <xdr:to>
      <xdr:col>5</xdr:col>
      <xdr:colOff>1652211</xdr:colOff>
      <xdr:row>13</xdr:row>
      <xdr:rowOff>417164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 flipH="1" flipV="1">
          <a:off x="6422330" y="460719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14</xdr:row>
      <xdr:rowOff>190500</xdr:rowOff>
    </xdr:from>
    <xdr:to>
      <xdr:col>5</xdr:col>
      <xdr:colOff>1628775</xdr:colOff>
      <xdr:row>14</xdr:row>
      <xdr:rowOff>190500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>
        <a:xfrm>
          <a:off x="5084445" y="525018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</xdr:row>
      <xdr:rowOff>127000</xdr:rowOff>
    </xdr:from>
    <xdr:to>
      <xdr:col>5</xdr:col>
      <xdr:colOff>356235</xdr:colOff>
      <xdr:row>15</xdr:row>
      <xdr:rowOff>309880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 flipH="1" flipV="1">
          <a:off x="5126355" y="548386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</xdr:row>
      <xdr:rowOff>152400</xdr:rowOff>
    </xdr:from>
    <xdr:to>
      <xdr:col>5</xdr:col>
      <xdr:colOff>1676400</xdr:colOff>
      <xdr:row>15</xdr:row>
      <xdr:rowOff>152400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/>
      </xdr:nvCxnSpPr>
      <xdr:spPr>
        <a:xfrm>
          <a:off x="5132070" y="550926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</xdr:row>
      <xdr:rowOff>127000</xdr:rowOff>
    </xdr:from>
    <xdr:to>
      <xdr:col>5</xdr:col>
      <xdr:colOff>356810</xdr:colOff>
      <xdr:row>15</xdr:row>
      <xdr:rowOff>409912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 flipH="1" flipV="1">
          <a:off x="5126929" y="548386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</xdr:row>
      <xdr:rowOff>134252</xdr:rowOff>
    </xdr:from>
    <xdr:to>
      <xdr:col>5</xdr:col>
      <xdr:colOff>1652211</xdr:colOff>
      <xdr:row>15</xdr:row>
      <xdr:rowOff>417164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>
        <a:xfrm flipH="1" flipV="1">
          <a:off x="6422330" y="549111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16</xdr:row>
      <xdr:rowOff>190500</xdr:rowOff>
    </xdr:from>
    <xdr:to>
      <xdr:col>5</xdr:col>
      <xdr:colOff>1628775</xdr:colOff>
      <xdr:row>16</xdr:row>
      <xdr:rowOff>190500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/>
      </xdr:nvCxnSpPr>
      <xdr:spPr>
        <a:xfrm>
          <a:off x="5084445" y="613410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</xdr:row>
      <xdr:rowOff>123824</xdr:rowOff>
    </xdr:from>
    <xdr:to>
      <xdr:col>5</xdr:col>
      <xdr:colOff>1428750</xdr:colOff>
      <xdr:row>17</xdr:row>
      <xdr:rowOff>1219199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5436870" y="6364604"/>
          <a:ext cx="762000" cy="104203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</xdr:row>
      <xdr:rowOff>238127</xdr:rowOff>
    </xdr:from>
    <xdr:to>
      <xdr:col>5</xdr:col>
      <xdr:colOff>790575</xdr:colOff>
      <xdr:row>17</xdr:row>
      <xdr:rowOff>361950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CxnSpPr/>
      </xdr:nvCxnSpPr>
      <xdr:spPr>
        <a:xfrm flipH="1" flipV="1">
          <a:off x="5417821" y="6478907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</xdr:row>
      <xdr:rowOff>133352</xdr:rowOff>
    </xdr:from>
    <xdr:to>
      <xdr:col>5</xdr:col>
      <xdr:colOff>885825</xdr:colOff>
      <xdr:row>17</xdr:row>
      <xdr:rowOff>257175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CxnSpPr/>
      </xdr:nvCxnSpPr>
      <xdr:spPr>
        <a:xfrm flipH="1" flipV="1">
          <a:off x="5513071" y="6374132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</xdr:row>
      <xdr:rowOff>127000</xdr:rowOff>
    </xdr:from>
    <xdr:to>
      <xdr:col>5</xdr:col>
      <xdr:colOff>356235</xdr:colOff>
      <xdr:row>21</xdr:row>
      <xdr:rowOff>309880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/>
      </xdr:nvCxnSpPr>
      <xdr:spPr>
        <a:xfrm flipH="1" flipV="1">
          <a:off x="5126355" y="808228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21</xdr:row>
      <xdr:rowOff>400050</xdr:rowOff>
    </xdr:from>
    <xdr:to>
      <xdr:col>5</xdr:col>
      <xdr:colOff>1666875</xdr:colOff>
      <xdr:row>21</xdr:row>
      <xdr:rowOff>400050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/>
      </xdr:nvCxnSpPr>
      <xdr:spPr>
        <a:xfrm>
          <a:off x="5122545" y="835533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</xdr:row>
      <xdr:rowOff>127000</xdr:rowOff>
    </xdr:from>
    <xdr:to>
      <xdr:col>5</xdr:col>
      <xdr:colOff>356810</xdr:colOff>
      <xdr:row>21</xdr:row>
      <xdr:rowOff>409912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CxnSpPr/>
      </xdr:nvCxnSpPr>
      <xdr:spPr>
        <a:xfrm flipH="1" flipV="1">
          <a:off x="5126929" y="808228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</xdr:row>
      <xdr:rowOff>134252</xdr:rowOff>
    </xdr:from>
    <xdr:to>
      <xdr:col>5</xdr:col>
      <xdr:colOff>1652211</xdr:colOff>
      <xdr:row>21</xdr:row>
      <xdr:rowOff>417164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CxnSpPr/>
      </xdr:nvCxnSpPr>
      <xdr:spPr>
        <a:xfrm flipH="1" flipV="1">
          <a:off x="6422330" y="808953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22</xdr:row>
      <xdr:rowOff>190500</xdr:rowOff>
    </xdr:from>
    <xdr:to>
      <xdr:col>5</xdr:col>
      <xdr:colOff>1628775</xdr:colOff>
      <xdr:row>22</xdr:row>
      <xdr:rowOff>190500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CxnSpPr/>
      </xdr:nvCxnSpPr>
      <xdr:spPr>
        <a:xfrm>
          <a:off x="5084445" y="873252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</xdr:row>
      <xdr:rowOff>127000</xdr:rowOff>
    </xdr:from>
    <xdr:to>
      <xdr:col>5</xdr:col>
      <xdr:colOff>356235</xdr:colOff>
      <xdr:row>23</xdr:row>
      <xdr:rowOff>309880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CxnSpPr/>
      </xdr:nvCxnSpPr>
      <xdr:spPr>
        <a:xfrm flipH="1" flipV="1">
          <a:off x="5126355" y="896620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23</xdr:row>
      <xdr:rowOff>152400</xdr:rowOff>
    </xdr:from>
    <xdr:to>
      <xdr:col>5</xdr:col>
      <xdr:colOff>1676400</xdr:colOff>
      <xdr:row>23</xdr:row>
      <xdr:rowOff>152400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5132070" y="899160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</xdr:row>
      <xdr:rowOff>127000</xdr:rowOff>
    </xdr:from>
    <xdr:to>
      <xdr:col>5</xdr:col>
      <xdr:colOff>356810</xdr:colOff>
      <xdr:row>23</xdr:row>
      <xdr:rowOff>409912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 flipV="1">
          <a:off x="5126929" y="896620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</xdr:row>
      <xdr:rowOff>134252</xdr:rowOff>
    </xdr:from>
    <xdr:to>
      <xdr:col>5</xdr:col>
      <xdr:colOff>1652211</xdr:colOff>
      <xdr:row>23</xdr:row>
      <xdr:rowOff>417164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 flipH="1" flipV="1">
          <a:off x="6422330" y="897345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24</xdr:row>
      <xdr:rowOff>190500</xdr:rowOff>
    </xdr:from>
    <xdr:to>
      <xdr:col>5</xdr:col>
      <xdr:colOff>1628775</xdr:colOff>
      <xdr:row>24</xdr:row>
      <xdr:rowOff>190500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>
          <a:off x="5084445" y="961644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25</xdr:row>
      <xdr:rowOff>123824</xdr:rowOff>
    </xdr:from>
    <xdr:to>
      <xdr:col>5</xdr:col>
      <xdr:colOff>1428750</xdr:colOff>
      <xdr:row>25</xdr:row>
      <xdr:rowOff>1219199</xdr:rowOff>
    </xdr:to>
    <xdr:sp macro="" textlink="">
      <xdr:nvSpPr>
        <xdr:cNvPr id="38" name="Rounded Rectangl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5436870" y="9846944"/>
          <a:ext cx="762000" cy="104203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25</xdr:row>
      <xdr:rowOff>238127</xdr:rowOff>
    </xdr:from>
    <xdr:to>
      <xdr:col>5</xdr:col>
      <xdr:colOff>790575</xdr:colOff>
      <xdr:row>25</xdr:row>
      <xdr:rowOff>361950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 flipH="1" flipV="1">
          <a:off x="5417821" y="9961247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25</xdr:row>
      <xdr:rowOff>133352</xdr:rowOff>
    </xdr:from>
    <xdr:to>
      <xdr:col>5</xdr:col>
      <xdr:colOff>885825</xdr:colOff>
      <xdr:row>25</xdr:row>
      <xdr:rowOff>257175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/>
      </xdr:nvCxnSpPr>
      <xdr:spPr>
        <a:xfrm flipH="1" flipV="1">
          <a:off x="5513071" y="9856472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29</xdr:row>
      <xdr:rowOff>127000</xdr:rowOff>
    </xdr:from>
    <xdr:to>
      <xdr:col>5</xdr:col>
      <xdr:colOff>356235</xdr:colOff>
      <xdr:row>29</xdr:row>
      <xdr:rowOff>309880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/>
      </xdr:nvCxnSpPr>
      <xdr:spPr>
        <a:xfrm flipH="1" flipV="1">
          <a:off x="5126355" y="1156462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29</xdr:row>
      <xdr:rowOff>400050</xdr:rowOff>
    </xdr:from>
    <xdr:to>
      <xdr:col>5</xdr:col>
      <xdr:colOff>1666875</xdr:colOff>
      <xdr:row>29</xdr:row>
      <xdr:rowOff>400050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CxnSpPr/>
      </xdr:nvCxnSpPr>
      <xdr:spPr>
        <a:xfrm>
          <a:off x="5122545" y="1183767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29</xdr:row>
      <xdr:rowOff>127000</xdr:rowOff>
    </xdr:from>
    <xdr:to>
      <xdr:col>5</xdr:col>
      <xdr:colOff>356810</xdr:colOff>
      <xdr:row>29</xdr:row>
      <xdr:rowOff>409912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CxnSpPr/>
      </xdr:nvCxnSpPr>
      <xdr:spPr>
        <a:xfrm flipH="1" flipV="1">
          <a:off x="5126929" y="1156462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29</xdr:row>
      <xdr:rowOff>134252</xdr:rowOff>
    </xdr:from>
    <xdr:to>
      <xdr:col>5</xdr:col>
      <xdr:colOff>1652211</xdr:colOff>
      <xdr:row>29</xdr:row>
      <xdr:rowOff>417164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CxnSpPr/>
      </xdr:nvCxnSpPr>
      <xdr:spPr>
        <a:xfrm flipH="1" flipV="1">
          <a:off x="6422330" y="1157187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30</xdr:row>
      <xdr:rowOff>190500</xdr:rowOff>
    </xdr:from>
    <xdr:to>
      <xdr:col>5</xdr:col>
      <xdr:colOff>1628775</xdr:colOff>
      <xdr:row>30</xdr:row>
      <xdr:rowOff>190500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CxnSpPr/>
      </xdr:nvCxnSpPr>
      <xdr:spPr>
        <a:xfrm>
          <a:off x="5084445" y="1221486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31</xdr:row>
      <xdr:rowOff>127000</xdr:rowOff>
    </xdr:from>
    <xdr:to>
      <xdr:col>5</xdr:col>
      <xdr:colOff>356235</xdr:colOff>
      <xdr:row>31</xdr:row>
      <xdr:rowOff>309880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CxnSpPr/>
      </xdr:nvCxnSpPr>
      <xdr:spPr>
        <a:xfrm flipH="1" flipV="1">
          <a:off x="5126355" y="1244854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31</xdr:row>
      <xdr:rowOff>152400</xdr:rowOff>
    </xdr:from>
    <xdr:to>
      <xdr:col>5</xdr:col>
      <xdr:colOff>1676400</xdr:colOff>
      <xdr:row>31</xdr:row>
      <xdr:rowOff>152400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CxnSpPr/>
      </xdr:nvCxnSpPr>
      <xdr:spPr>
        <a:xfrm>
          <a:off x="5132070" y="1247394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31</xdr:row>
      <xdr:rowOff>127000</xdr:rowOff>
    </xdr:from>
    <xdr:to>
      <xdr:col>5</xdr:col>
      <xdr:colOff>356810</xdr:colOff>
      <xdr:row>31</xdr:row>
      <xdr:rowOff>409912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CxnSpPr/>
      </xdr:nvCxnSpPr>
      <xdr:spPr>
        <a:xfrm flipH="1" flipV="1">
          <a:off x="5126929" y="1244854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31</xdr:row>
      <xdr:rowOff>134252</xdr:rowOff>
    </xdr:from>
    <xdr:to>
      <xdr:col>5</xdr:col>
      <xdr:colOff>1652211</xdr:colOff>
      <xdr:row>31</xdr:row>
      <xdr:rowOff>417164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CxnSpPr/>
      </xdr:nvCxnSpPr>
      <xdr:spPr>
        <a:xfrm flipH="1" flipV="1">
          <a:off x="6422330" y="1245579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32</xdr:row>
      <xdr:rowOff>190500</xdr:rowOff>
    </xdr:from>
    <xdr:to>
      <xdr:col>5</xdr:col>
      <xdr:colOff>1628775</xdr:colOff>
      <xdr:row>32</xdr:row>
      <xdr:rowOff>190500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CxnSpPr/>
      </xdr:nvCxnSpPr>
      <xdr:spPr>
        <a:xfrm>
          <a:off x="5084445" y="1309878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33</xdr:row>
      <xdr:rowOff>123824</xdr:rowOff>
    </xdr:from>
    <xdr:to>
      <xdr:col>5</xdr:col>
      <xdr:colOff>1428750</xdr:colOff>
      <xdr:row>33</xdr:row>
      <xdr:rowOff>1219199</xdr:rowOff>
    </xdr:to>
    <xdr:sp macro="" textlink="">
      <xdr:nvSpPr>
        <xdr:cNvPr id="51" name="Rounded Rectangle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5436870" y="13329284"/>
          <a:ext cx="762000" cy="104203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33</xdr:row>
      <xdr:rowOff>238127</xdr:rowOff>
    </xdr:from>
    <xdr:to>
      <xdr:col>5</xdr:col>
      <xdr:colOff>790575</xdr:colOff>
      <xdr:row>33</xdr:row>
      <xdr:rowOff>361950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/>
      </xdr:nvCxnSpPr>
      <xdr:spPr>
        <a:xfrm flipH="1" flipV="1">
          <a:off x="5417821" y="13443587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33</xdr:row>
      <xdr:rowOff>133352</xdr:rowOff>
    </xdr:from>
    <xdr:to>
      <xdr:col>5</xdr:col>
      <xdr:colOff>885825</xdr:colOff>
      <xdr:row>33</xdr:row>
      <xdr:rowOff>257175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CxnSpPr/>
      </xdr:nvCxnSpPr>
      <xdr:spPr>
        <a:xfrm flipH="1" flipV="1">
          <a:off x="5513071" y="13338812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32</xdr:row>
      <xdr:rowOff>190500</xdr:rowOff>
    </xdr:from>
    <xdr:to>
      <xdr:col>5</xdr:col>
      <xdr:colOff>1628775</xdr:colOff>
      <xdr:row>32</xdr:row>
      <xdr:rowOff>190500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CxnSpPr/>
      </xdr:nvCxnSpPr>
      <xdr:spPr>
        <a:xfrm>
          <a:off x="5084445" y="1309878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37</xdr:row>
      <xdr:rowOff>127000</xdr:rowOff>
    </xdr:from>
    <xdr:to>
      <xdr:col>5</xdr:col>
      <xdr:colOff>356235</xdr:colOff>
      <xdr:row>37</xdr:row>
      <xdr:rowOff>309880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CxnSpPr/>
      </xdr:nvCxnSpPr>
      <xdr:spPr>
        <a:xfrm flipH="1" flipV="1">
          <a:off x="5126355" y="1504696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37</xdr:row>
      <xdr:rowOff>400050</xdr:rowOff>
    </xdr:from>
    <xdr:to>
      <xdr:col>5</xdr:col>
      <xdr:colOff>1666875</xdr:colOff>
      <xdr:row>37</xdr:row>
      <xdr:rowOff>400050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CxnSpPr/>
      </xdr:nvCxnSpPr>
      <xdr:spPr>
        <a:xfrm>
          <a:off x="5122545" y="1532001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37</xdr:row>
      <xdr:rowOff>127000</xdr:rowOff>
    </xdr:from>
    <xdr:to>
      <xdr:col>5</xdr:col>
      <xdr:colOff>356810</xdr:colOff>
      <xdr:row>37</xdr:row>
      <xdr:rowOff>409912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CxnSpPr/>
      </xdr:nvCxnSpPr>
      <xdr:spPr>
        <a:xfrm flipH="1" flipV="1">
          <a:off x="5126929" y="1504696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37</xdr:row>
      <xdr:rowOff>134252</xdr:rowOff>
    </xdr:from>
    <xdr:to>
      <xdr:col>5</xdr:col>
      <xdr:colOff>1652211</xdr:colOff>
      <xdr:row>37</xdr:row>
      <xdr:rowOff>417164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CxnSpPr/>
      </xdr:nvCxnSpPr>
      <xdr:spPr>
        <a:xfrm flipH="1" flipV="1">
          <a:off x="6422330" y="1505421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38</xdr:row>
      <xdr:rowOff>190500</xdr:rowOff>
    </xdr:from>
    <xdr:to>
      <xdr:col>5</xdr:col>
      <xdr:colOff>1628775</xdr:colOff>
      <xdr:row>38</xdr:row>
      <xdr:rowOff>190500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CxnSpPr/>
      </xdr:nvCxnSpPr>
      <xdr:spPr>
        <a:xfrm>
          <a:off x="5084445" y="1569720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39</xdr:row>
      <xdr:rowOff>127000</xdr:rowOff>
    </xdr:from>
    <xdr:to>
      <xdr:col>5</xdr:col>
      <xdr:colOff>356235</xdr:colOff>
      <xdr:row>39</xdr:row>
      <xdr:rowOff>309880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CxnSpPr/>
      </xdr:nvCxnSpPr>
      <xdr:spPr>
        <a:xfrm flipH="1" flipV="1">
          <a:off x="5126355" y="1593088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39</xdr:row>
      <xdr:rowOff>152400</xdr:rowOff>
    </xdr:from>
    <xdr:to>
      <xdr:col>5</xdr:col>
      <xdr:colOff>1676400</xdr:colOff>
      <xdr:row>39</xdr:row>
      <xdr:rowOff>152400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CxnSpPr/>
      </xdr:nvCxnSpPr>
      <xdr:spPr>
        <a:xfrm>
          <a:off x="5132070" y="1595628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39</xdr:row>
      <xdr:rowOff>127000</xdr:rowOff>
    </xdr:from>
    <xdr:to>
      <xdr:col>5</xdr:col>
      <xdr:colOff>356810</xdr:colOff>
      <xdr:row>39</xdr:row>
      <xdr:rowOff>409912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CxnSpPr/>
      </xdr:nvCxnSpPr>
      <xdr:spPr>
        <a:xfrm flipH="1" flipV="1">
          <a:off x="5126929" y="1593088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39</xdr:row>
      <xdr:rowOff>134252</xdr:rowOff>
    </xdr:from>
    <xdr:to>
      <xdr:col>5</xdr:col>
      <xdr:colOff>1652211</xdr:colOff>
      <xdr:row>39</xdr:row>
      <xdr:rowOff>417164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CxnSpPr/>
      </xdr:nvCxnSpPr>
      <xdr:spPr>
        <a:xfrm flipH="1" flipV="1">
          <a:off x="6422330" y="1593813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40</xdr:row>
      <xdr:rowOff>190500</xdr:rowOff>
    </xdr:from>
    <xdr:to>
      <xdr:col>5</xdr:col>
      <xdr:colOff>1628775</xdr:colOff>
      <xdr:row>40</xdr:row>
      <xdr:rowOff>190500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CxnSpPr/>
      </xdr:nvCxnSpPr>
      <xdr:spPr>
        <a:xfrm>
          <a:off x="5084445" y="1658112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41</xdr:row>
      <xdr:rowOff>123824</xdr:rowOff>
    </xdr:from>
    <xdr:to>
      <xdr:col>5</xdr:col>
      <xdr:colOff>1428750</xdr:colOff>
      <xdr:row>41</xdr:row>
      <xdr:rowOff>1219199</xdr:rowOff>
    </xdr:to>
    <xdr:sp macro="" textlink="">
      <xdr:nvSpPr>
        <xdr:cNvPr id="65" name="Rounded Rectangle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/>
      </xdr:nvSpPr>
      <xdr:spPr>
        <a:xfrm>
          <a:off x="5436870" y="16811624"/>
          <a:ext cx="762000" cy="104203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41</xdr:row>
      <xdr:rowOff>238127</xdr:rowOff>
    </xdr:from>
    <xdr:to>
      <xdr:col>5</xdr:col>
      <xdr:colOff>790575</xdr:colOff>
      <xdr:row>41</xdr:row>
      <xdr:rowOff>361950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CxnSpPr/>
      </xdr:nvCxnSpPr>
      <xdr:spPr>
        <a:xfrm flipH="1" flipV="1">
          <a:off x="5417821" y="16925927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41</xdr:row>
      <xdr:rowOff>133352</xdr:rowOff>
    </xdr:from>
    <xdr:to>
      <xdr:col>5</xdr:col>
      <xdr:colOff>885825</xdr:colOff>
      <xdr:row>41</xdr:row>
      <xdr:rowOff>257175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CxnSpPr/>
      </xdr:nvCxnSpPr>
      <xdr:spPr>
        <a:xfrm flipH="1" flipV="1">
          <a:off x="5513071" y="16821152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40</xdr:row>
      <xdr:rowOff>190500</xdr:rowOff>
    </xdr:from>
    <xdr:to>
      <xdr:col>5</xdr:col>
      <xdr:colOff>1628775</xdr:colOff>
      <xdr:row>40</xdr:row>
      <xdr:rowOff>190500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CxnSpPr/>
      </xdr:nvCxnSpPr>
      <xdr:spPr>
        <a:xfrm>
          <a:off x="5084445" y="1658112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47</xdr:row>
      <xdr:rowOff>127000</xdr:rowOff>
    </xdr:from>
    <xdr:to>
      <xdr:col>5</xdr:col>
      <xdr:colOff>356235</xdr:colOff>
      <xdr:row>47</xdr:row>
      <xdr:rowOff>309880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CxnSpPr/>
      </xdr:nvCxnSpPr>
      <xdr:spPr>
        <a:xfrm flipH="1" flipV="1">
          <a:off x="5126355" y="1894078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47</xdr:row>
      <xdr:rowOff>400050</xdr:rowOff>
    </xdr:from>
    <xdr:to>
      <xdr:col>5</xdr:col>
      <xdr:colOff>1666875</xdr:colOff>
      <xdr:row>47</xdr:row>
      <xdr:rowOff>400050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CxnSpPr/>
      </xdr:nvCxnSpPr>
      <xdr:spPr>
        <a:xfrm>
          <a:off x="5122545" y="1921383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47</xdr:row>
      <xdr:rowOff>127000</xdr:rowOff>
    </xdr:from>
    <xdr:to>
      <xdr:col>5</xdr:col>
      <xdr:colOff>356810</xdr:colOff>
      <xdr:row>47</xdr:row>
      <xdr:rowOff>409912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CxnSpPr/>
      </xdr:nvCxnSpPr>
      <xdr:spPr>
        <a:xfrm flipH="1" flipV="1">
          <a:off x="5126929" y="1894078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47</xdr:row>
      <xdr:rowOff>134252</xdr:rowOff>
    </xdr:from>
    <xdr:to>
      <xdr:col>5</xdr:col>
      <xdr:colOff>1652211</xdr:colOff>
      <xdr:row>47</xdr:row>
      <xdr:rowOff>417164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CxnSpPr/>
      </xdr:nvCxnSpPr>
      <xdr:spPr>
        <a:xfrm flipH="1" flipV="1">
          <a:off x="6422330" y="1894803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48</xdr:row>
      <xdr:rowOff>127000</xdr:rowOff>
    </xdr:from>
    <xdr:to>
      <xdr:col>5</xdr:col>
      <xdr:colOff>356235</xdr:colOff>
      <xdr:row>48</xdr:row>
      <xdr:rowOff>309880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CxnSpPr/>
      </xdr:nvCxnSpPr>
      <xdr:spPr>
        <a:xfrm flipH="1" flipV="1">
          <a:off x="5126355" y="1952752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48</xdr:row>
      <xdr:rowOff>127000</xdr:rowOff>
    </xdr:from>
    <xdr:to>
      <xdr:col>5</xdr:col>
      <xdr:colOff>356810</xdr:colOff>
      <xdr:row>48</xdr:row>
      <xdr:rowOff>409912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CxnSpPr/>
      </xdr:nvCxnSpPr>
      <xdr:spPr>
        <a:xfrm flipH="1" flipV="1">
          <a:off x="5126929" y="1952752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48</xdr:row>
      <xdr:rowOff>134252</xdr:rowOff>
    </xdr:from>
    <xdr:to>
      <xdr:col>5</xdr:col>
      <xdr:colOff>1652211</xdr:colOff>
      <xdr:row>48</xdr:row>
      <xdr:rowOff>417164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CxnSpPr/>
      </xdr:nvCxnSpPr>
      <xdr:spPr>
        <a:xfrm flipH="1" flipV="1">
          <a:off x="6422330" y="1953477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49</xdr:row>
      <xdr:rowOff>123824</xdr:rowOff>
    </xdr:from>
    <xdr:to>
      <xdr:col>5</xdr:col>
      <xdr:colOff>1428750</xdr:colOff>
      <xdr:row>49</xdr:row>
      <xdr:rowOff>1219199</xdr:rowOff>
    </xdr:to>
    <xdr:sp macro="" textlink="">
      <xdr:nvSpPr>
        <xdr:cNvPr id="76" name="Rounded Rectangle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/>
      </xdr:nvSpPr>
      <xdr:spPr>
        <a:xfrm>
          <a:off x="5436870" y="20111084"/>
          <a:ext cx="762000" cy="104203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49</xdr:row>
      <xdr:rowOff>238127</xdr:rowOff>
    </xdr:from>
    <xdr:to>
      <xdr:col>5</xdr:col>
      <xdr:colOff>790575</xdr:colOff>
      <xdr:row>49</xdr:row>
      <xdr:rowOff>361950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CxnSpPr/>
      </xdr:nvCxnSpPr>
      <xdr:spPr>
        <a:xfrm flipH="1" flipV="1">
          <a:off x="5417821" y="20225387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49</xdr:row>
      <xdr:rowOff>133352</xdr:rowOff>
    </xdr:from>
    <xdr:to>
      <xdr:col>5</xdr:col>
      <xdr:colOff>885825</xdr:colOff>
      <xdr:row>49</xdr:row>
      <xdr:rowOff>257175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CxnSpPr/>
      </xdr:nvCxnSpPr>
      <xdr:spPr>
        <a:xfrm flipH="1" flipV="1">
          <a:off x="5513071" y="20120612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48</xdr:row>
      <xdr:rowOff>127000</xdr:rowOff>
    </xdr:from>
    <xdr:to>
      <xdr:col>5</xdr:col>
      <xdr:colOff>356235</xdr:colOff>
      <xdr:row>48</xdr:row>
      <xdr:rowOff>309880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CxnSpPr/>
      </xdr:nvCxnSpPr>
      <xdr:spPr>
        <a:xfrm flipH="1" flipV="1">
          <a:off x="5126355" y="1952752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48</xdr:row>
      <xdr:rowOff>152400</xdr:rowOff>
    </xdr:from>
    <xdr:to>
      <xdr:col>5</xdr:col>
      <xdr:colOff>1676400</xdr:colOff>
      <xdr:row>48</xdr:row>
      <xdr:rowOff>152400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CxnSpPr/>
      </xdr:nvCxnSpPr>
      <xdr:spPr>
        <a:xfrm>
          <a:off x="5132070" y="1955292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48</xdr:row>
      <xdr:rowOff>127000</xdr:rowOff>
    </xdr:from>
    <xdr:to>
      <xdr:col>5</xdr:col>
      <xdr:colOff>356810</xdr:colOff>
      <xdr:row>48</xdr:row>
      <xdr:rowOff>409912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CxnSpPr/>
      </xdr:nvCxnSpPr>
      <xdr:spPr>
        <a:xfrm flipH="1" flipV="1">
          <a:off x="5126929" y="1952752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48</xdr:row>
      <xdr:rowOff>134252</xdr:rowOff>
    </xdr:from>
    <xdr:to>
      <xdr:col>5</xdr:col>
      <xdr:colOff>1652211</xdr:colOff>
      <xdr:row>48</xdr:row>
      <xdr:rowOff>417164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CxnSpPr/>
      </xdr:nvCxnSpPr>
      <xdr:spPr>
        <a:xfrm flipH="1" flipV="1">
          <a:off x="6422330" y="1953477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54</xdr:row>
      <xdr:rowOff>127000</xdr:rowOff>
    </xdr:from>
    <xdr:to>
      <xdr:col>5</xdr:col>
      <xdr:colOff>356235</xdr:colOff>
      <xdr:row>54</xdr:row>
      <xdr:rowOff>309880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CxnSpPr/>
      </xdr:nvCxnSpPr>
      <xdr:spPr>
        <a:xfrm flipH="1" flipV="1">
          <a:off x="5126355" y="2201164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54</xdr:row>
      <xdr:rowOff>400050</xdr:rowOff>
    </xdr:from>
    <xdr:to>
      <xdr:col>5</xdr:col>
      <xdr:colOff>1666875</xdr:colOff>
      <xdr:row>54</xdr:row>
      <xdr:rowOff>400050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CxnSpPr/>
      </xdr:nvCxnSpPr>
      <xdr:spPr>
        <a:xfrm>
          <a:off x="5122545" y="2228469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54</xdr:row>
      <xdr:rowOff>127000</xdr:rowOff>
    </xdr:from>
    <xdr:to>
      <xdr:col>5</xdr:col>
      <xdr:colOff>356810</xdr:colOff>
      <xdr:row>54</xdr:row>
      <xdr:rowOff>409912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CxnSpPr/>
      </xdr:nvCxnSpPr>
      <xdr:spPr>
        <a:xfrm flipH="1" flipV="1">
          <a:off x="5126929" y="2201164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54</xdr:row>
      <xdr:rowOff>134252</xdr:rowOff>
    </xdr:from>
    <xdr:to>
      <xdr:col>5</xdr:col>
      <xdr:colOff>1652211</xdr:colOff>
      <xdr:row>54</xdr:row>
      <xdr:rowOff>417164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CxnSpPr/>
      </xdr:nvCxnSpPr>
      <xdr:spPr>
        <a:xfrm flipH="1" flipV="1">
          <a:off x="6422330" y="2201889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55</xdr:row>
      <xdr:rowOff>127000</xdr:rowOff>
    </xdr:from>
    <xdr:to>
      <xdr:col>5</xdr:col>
      <xdr:colOff>356235</xdr:colOff>
      <xdr:row>55</xdr:row>
      <xdr:rowOff>309880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CxnSpPr/>
      </xdr:nvCxnSpPr>
      <xdr:spPr>
        <a:xfrm flipH="1" flipV="1">
          <a:off x="5126355" y="2259838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55</xdr:row>
      <xdr:rowOff>127000</xdr:rowOff>
    </xdr:from>
    <xdr:to>
      <xdr:col>5</xdr:col>
      <xdr:colOff>356810</xdr:colOff>
      <xdr:row>55</xdr:row>
      <xdr:rowOff>409912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CxnSpPr/>
      </xdr:nvCxnSpPr>
      <xdr:spPr>
        <a:xfrm flipH="1" flipV="1">
          <a:off x="5126929" y="2259838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55</xdr:row>
      <xdr:rowOff>134252</xdr:rowOff>
    </xdr:from>
    <xdr:to>
      <xdr:col>5</xdr:col>
      <xdr:colOff>1652211</xdr:colOff>
      <xdr:row>55</xdr:row>
      <xdr:rowOff>417164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CxnSpPr/>
      </xdr:nvCxnSpPr>
      <xdr:spPr>
        <a:xfrm flipH="1" flipV="1">
          <a:off x="6422330" y="2260563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56</xdr:row>
      <xdr:rowOff>123824</xdr:rowOff>
    </xdr:from>
    <xdr:to>
      <xdr:col>5</xdr:col>
      <xdr:colOff>1428750</xdr:colOff>
      <xdr:row>56</xdr:row>
      <xdr:rowOff>1219199</xdr:rowOff>
    </xdr:to>
    <xdr:sp macro="" textlink="">
      <xdr:nvSpPr>
        <xdr:cNvPr id="90" name="Rounded Rectangle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>
          <a:off x="5436870" y="23181944"/>
          <a:ext cx="762000" cy="104203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56</xdr:row>
      <xdr:rowOff>238127</xdr:rowOff>
    </xdr:from>
    <xdr:to>
      <xdr:col>5</xdr:col>
      <xdr:colOff>790575</xdr:colOff>
      <xdr:row>56</xdr:row>
      <xdr:rowOff>361950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CxnSpPr/>
      </xdr:nvCxnSpPr>
      <xdr:spPr>
        <a:xfrm flipH="1" flipV="1">
          <a:off x="5417821" y="23296247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56</xdr:row>
      <xdr:rowOff>133352</xdr:rowOff>
    </xdr:from>
    <xdr:to>
      <xdr:col>5</xdr:col>
      <xdr:colOff>885825</xdr:colOff>
      <xdr:row>56</xdr:row>
      <xdr:rowOff>257175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CxnSpPr/>
      </xdr:nvCxnSpPr>
      <xdr:spPr>
        <a:xfrm flipH="1" flipV="1">
          <a:off x="5513071" y="23191472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55</xdr:row>
      <xdr:rowOff>127000</xdr:rowOff>
    </xdr:from>
    <xdr:to>
      <xdr:col>5</xdr:col>
      <xdr:colOff>356235</xdr:colOff>
      <xdr:row>55</xdr:row>
      <xdr:rowOff>309880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CxnSpPr/>
      </xdr:nvCxnSpPr>
      <xdr:spPr>
        <a:xfrm flipH="1" flipV="1">
          <a:off x="5126355" y="2259838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55</xdr:row>
      <xdr:rowOff>152400</xdr:rowOff>
    </xdr:from>
    <xdr:to>
      <xdr:col>5</xdr:col>
      <xdr:colOff>1676400</xdr:colOff>
      <xdr:row>55</xdr:row>
      <xdr:rowOff>152400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CxnSpPr/>
      </xdr:nvCxnSpPr>
      <xdr:spPr>
        <a:xfrm>
          <a:off x="5132070" y="2262378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55</xdr:row>
      <xdr:rowOff>127000</xdr:rowOff>
    </xdr:from>
    <xdr:to>
      <xdr:col>5</xdr:col>
      <xdr:colOff>356810</xdr:colOff>
      <xdr:row>55</xdr:row>
      <xdr:rowOff>409912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CxnSpPr/>
      </xdr:nvCxnSpPr>
      <xdr:spPr>
        <a:xfrm flipH="1" flipV="1">
          <a:off x="5126929" y="2259838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55</xdr:row>
      <xdr:rowOff>134252</xdr:rowOff>
    </xdr:from>
    <xdr:to>
      <xdr:col>5</xdr:col>
      <xdr:colOff>1652211</xdr:colOff>
      <xdr:row>55</xdr:row>
      <xdr:rowOff>417164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CxnSpPr/>
      </xdr:nvCxnSpPr>
      <xdr:spPr>
        <a:xfrm flipH="1" flipV="1">
          <a:off x="6422330" y="2260563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61</xdr:row>
      <xdr:rowOff>127000</xdr:rowOff>
    </xdr:from>
    <xdr:to>
      <xdr:col>5</xdr:col>
      <xdr:colOff>356235</xdr:colOff>
      <xdr:row>61</xdr:row>
      <xdr:rowOff>309880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CxnSpPr/>
      </xdr:nvCxnSpPr>
      <xdr:spPr>
        <a:xfrm flipH="1" flipV="1">
          <a:off x="5126355" y="2508250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61</xdr:row>
      <xdr:rowOff>400050</xdr:rowOff>
    </xdr:from>
    <xdr:to>
      <xdr:col>5</xdr:col>
      <xdr:colOff>1666875</xdr:colOff>
      <xdr:row>61</xdr:row>
      <xdr:rowOff>400050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CxnSpPr/>
      </xdr:nvCxnSpPr>
      <xdr:spPr>
        <a:xfrm>
          <a:off x="5122545" y="2535555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61</xdr:row>
      <xdr:rowOff>127000</xdr:rowOff>
    </xdr:from>
    <xdr:to>
      <xdr:col>5</xdr:col>
      <xdr:colOff>356810</xdr:colOff>
      <xdr:row>61</xdr:row>
      <xdr:rowOff>409912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CxnSpPr/>
      </xdr:nvCxnSpPr>
      <xdr:spPr>
        <a:xfrm flipH="1" flipV="1">
          <a:off x="5126929" y="2508250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61</xdr:row>
      <xdr:rowOff>134252</xdr:rowOff>
    </xdr:from>
    <xdr:to>
      <xdr:col>5</xdr:col>
      <xdr:colOff>1652211</xdr:colOff>
      <xdr:row>61</xdr:row>
      <xdr:rowOff>417164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CxnSpPr/>
      </xdr:nvCxnSpPr>
      <xdr:spPr>
        <a:xfrm flipH="1" flipV="1">
          <a:off x="6422330" y="2508975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62</xdr:row>
      <xdr:rowOff>127000</xdr:rowOff>
    </xdr:from>
    <xdr:to>
      <xdr:col>5</xdr:col>
      <xdr:colOff>356235</xdr:colOff>
      <xdr:row>62</xdr:row>
      <xdr:rowOff>309880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CxnSpPr/>
      </xdr:nvCxnSpPr>
      <xdr:spPr>
        <a:xfrm flipH="1" flipV="1">
          <a:off x="5126355" y="2566924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62</xdr:row>
      <xdr:rowOff>127000</xdr:rowOff>
    </xdr:from>
    <xdr:to>
      <xdr:col>5</xdr:col>
      <xdr:colOff>356810</xdr:colOff>
      <xdr:row>62</xdr:row>
      <xdr:rowOff>409912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CxnSpPr/>
      </xdr:nvCxnSpPr>
      <xdr:spPr>
        <a:xfrm flipH="1" flipV="1">
          <a:off x="5126929" y="2566924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62</xdr:row>
      <xdr:rowOff>134252</xdr:rowOff>
    </xdr:from>
    <xdr:to>
      <xdr:col>5</xdr:col>
      <xdr:colOff>1652211</xdr:colOff>
      <xdr:row>62</xdr:row>
      <xdr:rowOff>417164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CxnSpPr/>
      </xdr:nvCxnSpPr>
      <xdr:spPr>
        <a:xfrm flipH="1" flipV="1">
          <a:off x="6422330" y="2567649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63</xdr:row>
      <xdr:rowOff>123824</xdr:rowOff>
    </xdr:from>
    <xdr:to>
      <xdr:col>5</xdr:col>
      <xdr:colOff>1428750</xdr:colOff>
      <xdr:row>63</xdr:row>
      <xdr:rowOff>1219199</xdr:rowOff>
    </xdr:to>
    <xdr:sp macro="" textlink="">
      <xdr:nvSpPr>
        <xdr:cNvPr id="104" name="Rounded Rectangle 103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/>
      </xdr:nvSpPr>
      <xdr:spPr>
        <a:xfrm>
          <a:off x="5436870" y="26252804"/>
          <a:ext cx="762000" cy="104203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63</xdr:row>
      <xdr:rowOff>238127</xdr:rowOff>
    </xdr:from>
    <xdr:to>
      <xdr:col>5</xdr:col>
      <xdr:colOff>790575</xdr:colOff>
      <xdr:row>63</xdr:row>
      <xdr:rowOff>361950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CxnSpPr/>
      </xdr:nvCxnSpPr>
      <xdr:spPr>
        <a:xfrm flipH="1" flipV="1">
          <a:off x="5417821" y="26367107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63</xdr:row>
      <xdr:rowOff>133352</xdr:rowOff>
    </xdr:from>
    <xdr:to>
      <xdr:col>5</xdr:col>
      <xdr:colOff>885825</xdr:colOff>
      <xdr:row>63</xdr:row>
      <xdr:rowOff>257175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CxnSpPr/>
      </xdr:nvCxnSpPr>
      <xdr:spPr>
        <a:xfrm flipH="1" flipV="1">
          <a:off x="5513071" y="26262332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62</xdr:row>
      <xdr:rowOff>127000</xdr:rowOff>
    </xdr:from>
    <xdr:to>
      <xdr:col>5</xdr:col>
      <xdr:colOff>356235</xdr:colOff>
      <xdr:row>62</xdr:row>
      <xdr:rowOff>309880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CxnSpPr/>
      </xdr:nvCxnSpPr>
      <xdr:spPr>
        <a:xfrm flipH="1" flipV="1">
          <a:off x="5126355" y="2566924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62</xdr:row>
      <xdr:rowOff>152400</xdr:rowOff>
    </xdr:from>
    <xdr:to>
      <xdr:col>5</xdr:col>
      <xdr:colOff>1676400</xdr:colOff>
      <xdr:row>62</xdr:row>
      <xdr:rowOff>152400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CxnSpPr/>
      </xdr:nvCxnSpPr>
      <xdr:spPr>
        <a:xfrm>
          <a:off x="5132070" y="2569464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62</xdr:row>
      <xdr:rowOff>127000</xdr:rowOff>
    </xdr:from>
    <xdr:to>
      <xdr:col>5</xdr:col>
      <xdr:colOff>356810</xdr:colOff>
      <xdr:row>62</xdr:row>
      <xdr:rowOff>409912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CxnSpPr/>
      </xdr:nvCxnSpPr>
      <xdr:spPr>
        <a:xfrm flipH="1" flipV="1">
          <a:off x="5126929" y="2566924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62</xdr:row>
      <xdr:rowOff>134252</xdr:rowOff>
    </xdr:from>
    <xdr:to>
      <xdr:col>5</xdr:col>
      <xdr:colOff>1652211</xdr:colOff>
      <xdr:row>62</xdr:row>
      <xdr:rowOff>417164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CxnSpPr/>
      </xdr:nvCxnSpPr>
      <xdr:spPr>
        <a:xfrm flipH="1" flipV="1">
          <a:off x="6422330" y="2567649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68</xdr:row>
      <xdr:rowOff>127000</xdr:rowOff>
    </xdr:from>
    <xdr:to>
      <xdr:col>5</xdr:col>
      <xdr:colOff>356235</xdr:colOff>
      <xdr:row>68</xdr:row>
      <xdr:rowOff>309880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CxnSpPr/>
      </xdr:nvCxnSpPr>
      <xdr:spPr>
        <a:xfrm flipH="1" flipV="1">
          <a:off x="5126355" y="2815336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68</xdr:row>
      <xdr:rowOff>400050</xdr:rowOff>
    </xdr:from>
    <xdr:to>
      <xdr:col>5</xdr:col>
      <xdr:colOff>1666875</xdr:colOff>
      <xdr:row>68</xdr:row>
      <xdr:rowOff>400050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CxnSpPr/>
      </xdr:nvCxnSpPr>
      <xdr:spPr>
        <a:xfrm>
          <a:off x="5122545" y="2842641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68</xdr:row>
      <xdr:rowOff>127000</xdr:rowOff>
    </xdr:from>
    <xdr:to>
      <xdr:col>5</xdr:col>
      <xdr:colOff>356810</xdr:colOff>
      <xdr:row>68</xdr:row>
      <xdr:rowOff>409912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CxnSpPr/>
      </xdr:nvCxnSpPr>
      <xdr:spPr>
        <a:xfrm flipH="1" flipV="1">
          <a:off x="5126929" y="2815336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68</xdr:row>
      <xdr:rowOff>134252</xdr:rowOff>
    </xdr:from>
    <xdr:to>
      <xdr:col>5</xdr:col>
      <xdr:colOff>1652211</xdr:colOff>
      <xdr:row>68</xdr:row>
      <xdr:rowOff>417164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CxnSpPr/>
      </xdr:nvCxnSpPr>
      <xdr:spPr>
        <a:xfrm flipH="1" flipV="1">
          <a:off x="6422330" y="2816061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69</xdr:row>
      <xdr:rowOff>190500</xdr:rowOff>
    </xdr:from>
    <xdr:to>
      <xdr:col>5</xdr:col>
      <xdr:colOff>1628775</xdr:colOff>
      <xdr:row>69</xdr:row>
      <xdr:rowOff>190500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CxnSpPr/>
      </xdr:nvCxnSpPr>
      <xdr:spPr>
        <a:xfrm>
          <a:off x="5084445" y="2880360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70</xdr:row>
      <xdr:rowOff>127000</xdr:rowOff>
    </xdr:from>
    <xdr:to>
      <xdr:col>5</xdr:col>
      <xdr:colOff>356235</xdr:colOff>
      <xdr:row>70</xdr:row>
      <xdr:rowOff>309880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CxnSpPr/>
      </xdr:nvCxnSpPr>
      <xdr:spPr>
        <a:xfrm flipH="1" flipV="1">
          <a:off x="5126355" y="2903728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70</xdr:row>
      <xdr:rowOff>152400</xdr:rowOff>
    </xdr:from>
    <xdr:to>
      <xdr:col>5</xdr:col>
      <xdr:colOff>1676400</xdr:colOff>
      <xdr:row>70</xdr:row>
      <xdr:rowOff>152400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CxnSpPr/>
      </xdr:nvCxnSpPr>
      <xdr:spPr>
        <a:xfrm>
          <a:off x="5132070" y="2906268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70</xdr:row>
      <xdr:rowOff>127000</xdr:rowOff>
    </xdr:from>
    <xdr:to>
      <xdr:col>5</xdr:col>
      <xdr:colOff>356810</xdr:colOff>
      <xdr:row>70</xdr:row>
      <xdr:rowOff>409912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CxnSpPr/>
      </xdr:nvCxnSpPr>
      <xdr:spPr>
        <a:xfrm flipH="1" flipV="1">
          <a:off x="5126929" y="2903728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70</xdr:row>
      <xdr:rowOff>134252</xdr:rowOff>
    </xdr:from>
    <xdr:to>
      <xdr:col>5</xdr:col>
      <xdr:colOff>1652211</xdr:colOff>
      <xdr:row>70</xdr:row>
      <xdr:rowOff>417164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CxnSpPr/>
      </xdr:nvCxnSpPr>
      <xdr:spPr>
        <a:xfrm flipH="1" flipV="1">
          <a:off x="6422330" y="2904453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71</xdr:row>
      <xdr:rowOff>123824</xdr:rowOff>
    </xdr:from>
    <xdr:to>
      <xdr:col>5</xdr:col>
      <xdr:colOff>1428750</xdr:colOff>
      <xdr:row>71</xdr:row>
      <xdr:rowOff>1219199</xdr:rowOff>
    </xdr:to>
    <xdr:sp macro="" textlink="">
      <xdr:nvSpPr>
        <xdr:cNvPr id="120" name="Rounded Rectangle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/>
      </xdr:nvSpPr>
      <xdr:spPr>
        <a:xfrm>
          <a:off x="5436870" y="29620844"/>
          <a:ext cx="762000" cy="104203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71</xdr:row>
      <xdr:rowOff>238127</xdr:rowOff>
    </xdr:from>
    <xdr:to>
      <xdr:col>5</xdr:col>
      <xdr:colOff>790575</xdr:colOff>
      <xdr:row>71</xdr:row>
      <xdr:rowOff>361950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CxnSpPr/>
      </xdr:nvCxnSpPr>
      <xdr:spPr>
        <a:xfrm flipH="1" flipV="1">
          <a:off x="5417821" y="29735147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71</xdr:row>
      <xdr:rowOff>133352</xdr:rowOff>
    </xdr:from>
    <xdr:to>
      <xdr:col>5</xdr:col>
      <xdr:colOff>885825</xdr:colOff>
      <xdr:row>71</xdr:row>
      <xdr:rowOff>257175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CxnSpPr/>
      </xdr:nvCxnSpPr>
      <xdr:spPr>
        <a:xfrm flipH="1" flipV="1">
          <a:off x="5513071" y="29630372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77</xdr:row>
      <xdr:rowOff>127000</xdr:rowOff>
    </xdr:from>
    <xdr:to>
      <xdr:col>5</xdr:col>
      <xdr:colOff>356235</xdr:colOff>
      <xdr:row>77</xdr:row>
      <xdr:rowOff>309880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CxnSpPr/>
      </xdr:nvCxnSpPr>
      <xdr:spPr>
        <a:xfrm flipH="1" flipV="1">
          <a:off x="5126355" y="3175000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77</xdr:row>
      <xdr:rowOff>400050</xdr:rowOff>
    </xdr:from>
    <xdr:to>
      <xdr:col>5</xdr:col>
      <xdr:colOff>1666875</xdr:colOff>
      <xdr:row>77</xdr:row>
      <xdr:rowOff>400050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CxnSpPr/>
      </xdr:nvCxnSpPr>
      <xdr:spPr>
        <a:xfrm>
          <a:off x="5122545" y="3202305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77</xdr:row>
      <xdr:rowOff>127000</xdr:rowOff>
    </xdr:from>
    <xdr:to>
      <xdr:col>5</xdr:col>
      <xdr:colOff>356810</xdr:colOff>
      <xdr:row>77</xdr:row>
      <xdr:rowOff>409912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CxnSpPr/>
      </xdr:nvCxnSpPr>
      <xdr:spPr>
        <a:xfrm flipH="1" flipV="1">
          <a:off x="5126929" y="3175000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77</xdr:row>
      <xdr:rowOff>134252</xdr:rowOff>
    </xdr:from>
    <xdr:to>
      <xdr:col>5</xdr:col>
      <xdr:colOff>1652211</xdr:colOff>
      <xdr:row>77</xdr:row>
      <xdr:rowOff>417164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CxnSpPr/>
      </xdr:nvCxnSpPr>
      <xdr:spPr>
        <a:xfrm flipH="1" flipV="1">
          <a:off x="6422330" y="3175725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78</xdr:row>
      <xdr:rowOff>127000</xdr:rowOff>
    </xdr:from>
    <xdr:to>
      <xdr:col>5</xdr:col>
      <xdr:colOff>356235</xdr:colOff>
      <xdr:row>78</xdr:row>
      <xdr:rowOff>309880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CxnSpPr/>
      </xdr:nvCxnSpPr>
      <xdr:spPr>
        <a:xfrm flipH="1" flipV="1">
          <a:off x="5126355" y="3233674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78</xdr:row>
      <xdr:rowOff>152400</xdr:rowOff>
    </xdr:from>
    <xdr:to>
      <xdr:col>5</xdr:col>
      <xdr:colOff>1676400</xdr:colOff>
      <xdr:row>78</xdr:row>
      <xdr:rowOff>152400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CxnSpPr/>
      </xdr:nvCxnSpPr>
      <xdr:spPr>
        <a:xfrm>
          <a:off x="5132070" y="3236214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78</xdr:row>
      <xdr:rowOff>127000</xdr:rowOff>
    </xdr:from>
    <xdr:to>
      <xdr:col>5</xdr:col>
      <xdr:colOff>356810</xdr:colOff>
      <xdr:row>78</xdr:row>
      <xdr:rowOff>409912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CxnSpPr/>
      </xdr:nvCxnSpPr>
      <xdr:spPr>
        <a:xfrm flipH="1" flipV="1">
          <a:off x="5126929" y="3233674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78</xdr:row>
      <xdr:rowOff>134252</xdr:rowOff>
    </xdr:from>
    <xdr:to>
      <xdr:col>5</xdr:col>
      <xdr:colOff>1652211</xdr:colOff>
      <xdr:row>78</xdr:row>
      <xdr:rowOff>417164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CxnSpPr/>
      </xdr:nvCxnSpPr>
      <xdr:spPr>
        <a:xfrm flipH="1" flipV="1">
          <a:off x="6422330" y="3234399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79</xdr:row>
      <xdr:rowOff>123824</xdr:rowOff>
    </xdr:from>
    <xdr:to>
      <xdr:col>5</xdr:col>
      <xdr:colOff>1428750</xdr:colOff>
      <xdr:row>79</xdr:row>
      <xdr:rowOff>1219199</xdr:rowOff>
    </xdr:to>
    <xdr:sp macro="" textlink="">
      <xdr:nvSpPr>
        <xdr:cNvPr id="131" name="Rounded Rectangle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5436870" y="32920304"/>
          <a:ext cx="762000" cy="104203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79</xdr:row>
      <xdr:rowOff>238127</xdr:rowOff>
    </xdr:from>
    <xdr:to>
      <xdr:col>5</xdr:col>
      <xdr:colOff>790575</xdr:colOff>
      <xdr:row>79</xdr:row>
      <xdr:rowOff>361950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CxnSpPr/>
      </xdr:nvCxnSpPr>
      <xdr:spPr>
        <a:xfrm flipH="1" flipV="1">
          <a:off x="5417821" y="33034607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79</xdr:row>
      <xdr:rowOff>133352</xdr:rowOff>
    </xdr:from>
    <xdr:to>
      <xdr:col>5</xdr:col>
      <xdr:colOff>885825</xdr:colOff>
      <xdr:row>79</xdr:row>
      <xdr:rowOff>257175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CxnSpPr/>
      </xdr:nvCxnSpPr>
      <xdr:spPr>
        <a:xfrm flipH="1" flipV="1">
          <a:off x="5513071" y="32929832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83</xdr:row>
      <xdr:rowOff>127000</xdr:rowOff>
    </xdr:from>
    <xdr:to>
      <xdr:col>5</xdr:col>
      <xdr:colOff>356235</xdr:colOff>
      <xdr:row>83</xdr:row>
      <xdr:rowOff>309880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CxnSpPr/>
      </xdr:nvCxnSpPr>
      <xdr:spPr>
        <a:xfrm flipH="1" flipV="1">
          <a:off x="5126355" y="3463798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83</xdr:row>
      <xdr:rowOff>400050</xdr:rowOff>
    </xdr:from>
    <xdr:to>
      <xdr:col>5</xdr:col>
      <xdr:colOff>1666875</xdr:colOff>
      <xdr:row>83</xdr:row>
      <xdr:rowOff>400050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CxnSpPr/>
      </xdr:nvCxnSpPr>
      <xdr:spPr>
        <a:xfrm>
          <a:off x="5122545" y="3491103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83</xdr:row>
      <xdr:rowOff>127000</xdr:rowOff>
    </xdr:from>
    <xdr:to>
      <xdr:col>5</xdr:col>
      <xdr:colOff>356810</xdr:colOff>
      <xdr:row>83</xdr:row>
      <xdr:rowOff>409912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CxnSpPr/>
      </xdr:nvCxnSpPr>
      <xdr:spPr>
        <a:xfrm flipH="1" flipV="1">
          <a:off x="5126929" y="3463798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83</xdr:row>
      <xdr:rowOff>134252</xdr:rowOff>
    </xdr:from>
    <xdr:to>
      <xdr:col>5</xdr:col>
      <xdr:colOff>1652211</xdr:colOff>
      <xdr:row>83</xdr:row>
      <xdr:rowOff>417164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CxnSpPr/>
      </xdr:nvCxnSpPr>
      <xdr:spPr>
        <a:xfrm flipH="1" flipV="1">
          <a:off x="6422330" y="3464523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84</xdr:row>
      <xdr:rowOff>127000</xdr:rowOff>
    </xdr:from>
    <xdr:to>
      <xdr:col>5</xdr:col>
      <xdr:colOff>356235</xdr:colOff>
      <xdr:row>84</xdr:row>
      <xdr:rowOff>309880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CxnSpPr/>
      </xdr:nvCxnSpPr>
      <xdr:spPr>
        <a:xfrm flipH="1" flipV="1">
          <a:off x="5126355" y="3522472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84</xdr:row>
      <xdr:rowOff>152400</xdr:rowOff>
    </xdr:from>
    <xdr:to>
      <xdr:col>5</xdr:col>
      <xdr:colOff>1676400</xdr:colOff>
      <xdr:row>84</xdr:row>
      <xdr:rowOff>152400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CxnSpPr/>
      </xdr:nvCxnSpPr>
      <xdr:spPr>
        <a:xfrm>
          <a:off x="5132070" y="3525012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84</xdr:row>
      <xdr:rowOff>127000</xdr:rowOff>
    </xdr:from>
    <xdr:to>
      <xdr:col>5</xdr:col>
      <xdr:colOff>356810</xdr:colOff>
      <xdr:row>84</xdr:row>
      <xdr:rowOff>409912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CxnSpPr/>
      </xdr:nvCxnSpPr>
      <xdr:spPr>
        <a:xfrm flipH="1" flipV="1">
          <a:off x="5126929" y="3522472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84</xdr:row>
      <xdr:rowOff>134252</xdr:rowOff>
    </xdr:from>
    <xdr:to>
      <xdr:col>5</xdr:col>
      <xdr:colOff>1652211</xdr:colOff>
      <xdr:row>84</xdr:row>
      <xdr:rowOff>417164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CxnSpPr/>
      </xdr:nvCxnSpPr>
      <xdr:spPr>
        <a:xfrm flipH="1" flipV="1">
          <a:off x="6422330" y="3523197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85</xdr:row>
      <xdr:rowOff>123824</xdr:rowOff>
    </xdr:from>
    <xdr:to>
      <xdr:col>5</xdr:col>
      <xdr:colOff>1428750</xdr:colOff>
      <xdr:row>85</xdr:row>
      <xdr:rowOff>1219199</xdr:rowOff>
    </xdr:to>
    <xdr:sp macro="" textlink="">
      <xdr:nvSpPr>
        <xdr:cNvPr id="142" name="Rounded Rectangle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/>
      </xdr:nvSpPr>
      <xdr:spPr>
        <a:xfrm>
          <a:off x="5436870" y="35808284"/>
          <a:ext cx="762000" cy="104203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85</xdr:row>
      <xdr:rowOff>238127</xdr:rowOff>
    </xdr:from>
    <xdr:to>
      <xdr:col>5</xdr:col>
      <xdr:colOff>790575</xdr:colOff>
      <xdr:row>85</xdr:row>
      <xdr:rowOff>361950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CxnSpPr/>
      </xdr:nvCxnSpPr>
      <xdr:spPr>
        <a:xfrm flipH="1" flipV="1">
          <a:off x="5417821" y="35922587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85</xdr:row>
      <xdr:rowOff>133352</xdr:rowOff>
    </xdr:from>
    <xdr:to>
      <xdr:col>5</xdr:col>
      <xdr:colOff>885825</xdr:colOff>
      <xdr:row>85</xdr:row>
      <xdr:rowOff>257175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CxnSpPr/>
      </xdr:nvCxnSpPr>
      <xdr:spPr>
        <a:xfrm flipH="1" flipV="1">
          <a:off x="5513071" y="35817812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89</xdr:row>
      <xdr:rowOff>127000</xdr:rowOff>
    </xdr:from>
    <xdr:to>
      <xdr:col>5</xdr:col>
      <xdr:colOff>356235</xdr:colOff>
      <xdr:row>89</xdr:row>
      <xdr:rowOff>309880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CxnSpPr/>
      </xdr:nvCxnSpPr>
      <xdr:spPr>
        <a:xfrm flipH="1" flipV="1">
          <a:off x="5126355" y="3752596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89</xdr:row>
      <xdr:rowOff>400050</xdr:rowOff>
    </xdr:from>
    <xdr:to>
      <xdr:col>5</xdr:col>
      <xdr:colOff>1666875</xdr:colOff>
      <xdr:row>89</xdr:row>
      <xdr:rowOff>400050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CxnSpPr/>
      </xdr:nvCxnSpPr>
      <xdr:spPr>
        <a:xfrm>
          <a:off x="5122545" y="3779901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89</xdr:row>
      <xdr:rowOff>127000</xdr:rowOff>
    </xdr:from>
    <xdr:to>
      <xdr:col>5</xdr:col>
      <xdr:colOff>356810</xdr:colOff>
      <xdr:row>89</xdr:row>
      <xdr:rowOff>409912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CxnSpPr/>
      </xdr:nvCxnSpPr>
      <xdr:spPr>
        <a:xfrm flipH="1" flipV="1">
          <a:off x="5126929" y="3752596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89</xdr:row>
      <xdr:rowOff>134252</xdr:rowOff>
    </xdr:from>
    <xdr:to>
      <xdr:col>5</xdr:col>
      <xdr:colOff>1652211</xdr:colOff>
      <xdr:row>89</xdr:row>
      <xdr:rowOff>417164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CxnSpPr/>
      </xdr:nvCxnSpPr>
      <xdr:spPr>
        <a:xfrm flipH="1" flipV="1">
          <a:off x="6422330" y="3753321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90</xdr:row>
      <xdr:rowOff>127000</xdr:rowOff>
    </xdr:from>
    <xdr:to>
      <xdr:col>5</xdr:col>
      <xdr:colOff>356235</xdr:colOff>
      <xdr:row>90</xdr:row>
      <xdr:rowOff>309880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CxnSpPr/>
      </xdr:nvCxnSpPr>
      <xdr:spPr>
        <a:xfrm flipH="1" flipV="1">
          <a:off x="5126355" y="38112700"/>
          <a:ext cx="0" cy="18288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90</xdr:row>
      <xdr:rowOff>152400</xdr:rowOff>
    </xdr:from>
    <xdr:to>
      <xdr:col>5</xdr:col>
      <xdr:colOff>1676400</xdr:colOff>
      <xdr:row>90</xdr:row>
      <xdr:rowOff>152400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CxnSpPr/>
      </xdr:nvCxnSpPr>
      <xdr:spPr>
        <a:xfrm>
          <a:off x="5132070" y="3813810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90</xdr:row>
      <xdr:rowOff>127000</xdr:rowOff>
    </xdr:from>
    <xdr:to>
      <xdr:col>5</xdr:col>
      <xdr:colOff>356810</xdr:colOff>
      <xdr:row>90</xdr:row>
      <xdr:rowOff>409912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CxnSpPr/>
      </xdr:nvCxnSpPr>
      <xdr:spPr>
        <a:xfrm flipH="1" flipV="1">
          <a:off x="5126929" y="3811270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90</xdr:row>
      <xdr:rowOff>134252</xdr:rowOff>
    </xdr:from>
    <xdr:to>
      <xdr:col>5</xdr:col>
      <xdr:colOff>1652211</xdr:colOff>
      <xdr:row>90</xdr:row>
      <xdr:rowOff>417164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CxnSpPr/>
      </xdr:nvCxnSpPr>
      <xdr:spPr>
        <a:xfrm flipH="1" flipV="1">
          <a:off x="6422330" y="3811995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91</xdr:row>
      <xdr:rowOff>123824</xdr:rowOff>
    </xdr:from>
    <xdr:to>
      <xdr:col>5</xdr:col>
      <xdr:colOff>1428750</xdr:colOff>
      <xdr:row>91</xdr:row>
      <xdr:rowOff>1219199</xdr:rowOff>
    </xdr:to>
    <xdr:sp macro="" textlink="">
      <xdr:nvSpPr>
        <xdr:cNvPr id="153" name="Rounded Rectangle 15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5436870" y="38696264"/>
          <a:ext cx="762000" cy="104203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91</xdr:row>
      <xdr:rowOff>238127</xdr:rowOff>
    </xdr:from>
    <xdr:to>
      <xdr:col>5</xdr:col>
      <xdr:colOff>790575</xdr:colOff>
      <xdr:row>91</xdr:row>
      <xdr:rowOff>361950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CxnSpPr/>
      </xdr:nvCxnSpPr>
      <xdr:spPr>
        <a:xfrm flipH="1" flipV="1">
          <a:off x="5417821" y="38810567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91</xdr:row>
      <xdr:rowOff>133352</xdr:rowOff>
    </xdr:from>
    <xdr:to>
      <xdr:col>5</xdr:col>
      <xdr:colOff>885825</xdr:colOff>
      <xdr:row>91</xdr:row>
      <xdr:rowOff>257175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CxnSpPr/>
      </xdr:nvCxnSpPr>
      <xdr:spPr>
        <a:xfrm flipH="1" flipV="1">
          <a:off x="5513071" y="38705792"/>
          <a:ext cx="142874" cy="1238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356235</xdr:colOff>
      <xdr:row>4</xdr:row>
      <xdr:rowOff>127000</xdr:rowOff>
    </xdr:from>
    <xdr:to>
      <xdr:col>5</xdr:col>
      <xdr:colOff>356235</xdr:colOff>
      <xdr:row>4</xdr:row>
      <xdr:rowOff>309880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H="1" flipV="1">
          <a:off x="3480435" y="8585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</xdr:row>
      <xdr:rowOff>400050</xdr:rowOff>
    </xdr:from>
    <xdr:to>
      <xdr:col>5</xdr:col>
      <xdr:colOff>1666875</xdr:colOff>
      <xdr:row>4</xdr:row>
      <xdr:rowOff>400050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3476625" y="9105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</xdr:row>
      <xdr:rowOff>127000</xdr:rowOff>
    </xdr:from>
    <xdr:to>
      <xdr:col>5</xdr:col>
      <xdr:colOff>356810</xdr:colOff>
      <xdr:row>4</xdr:row>
      <xdr:rowOff>409912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 flipH="1" flipV="1">
          <a:off x="3481009" y="8585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</xdr:row>
      <xdr:rowOff>134252</xdr:rowOff>
    </xdr:from>
    <xdr:to>
      <xdr:col>5</xdr:col>
      <xdr:colOff>1652211</xdr:colOff>
      <xdr:row>4</xdr:row>
      <xdr:rowOff>417164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 flipH="1" flipV="1">
          <a:off x="3747710" y="8657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5</xdr:row>
      <xdr:rowOff>127000</xdr:rowOff>
    </xdr:from>
    <xdr:to>
      <xdr:col>5</xdr:col>
      <xdr:colOff>356235</xdr:colOff>
      <xdr:row>5</xdr:row>
      <xdr:rowOff>309880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 flipH="1" flipV="1">
          <a:off x="3480435" y="1041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5</xdr:row>
      <xdr:rowOff>152400</xdr:rowOff>
    </xdr:from>
    <xdr:to>
      <xdr:col>5</xdr:col>
      <xdr:colOff>1676400</xdr:colOff>
      <xdr:row>5</xdr:row>
      <xdr:rowOff>152400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486150" y="10668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</xdr:row>
      <xdr:rowOff>127000</xdr:rowOff>
    </xdr:from>
    <xdr:to>
      <xdr:col>5</xdr:col>
      <xdr:colOff>356810</xdr:colOff>
      <xdr:row>5</xdr:row>
      <xdr:rowOff>409912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 flipH="1" flipV="1">
          <a:off x="3481009" y="1041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</xdr:row>
      <xdr:rowOff>134252</xdr:rowOff>
    </xdr:from>
    <xdr:to>
      <xdr:col>5</xdr:col>
      <xdr:colOff>1652211</xdr:colOff>
      <xdr:row>5</xdr:row>
      <xdr:rowOff>417164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 flipH="1" flipV="1">
          <a:off x="3747710" y="1048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6</xdr:row>
      <xdr:rowOff>123824</xdr:rowOff>
    </xdr:from>
    <xdr:to>
      <xdr:col>5</xdr:col>
      <xdr:colOff>1428750</xdr:colOff>
      <xdr:row>6</xdr:row>
      <xdr:rowOff>1219199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3745230" y="12211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6</xdr:row>
      <xdr:rowOff>238127</xdr:rowOff>
    </xdr:from>
    <xdr:to>
      <xdr:col>5</xdr:col>
      <xdr:colOff>790575</xdr:colOff>
      <xdr:row>6</xdr:row>
      <xdr:rowOff>361950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 flipH="1" flipV="1">
          <a:off x="3749041" y="12820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6</xdr:row>
      <xdr:rowOff>133352</xdr:rowOff>
    </xdr:from>
    <xdr:to>
      <xdr:col>5</xdr:col>
      <xdr:colOff>885825</xdr:colOff>
      <xdr:row>6</xdr:row>
      <xdr:rowOff>257175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 flipH="1" flipV="1">
          <a:off x="3745231" y="12306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10</xdr:row>
      <xdr:rowOff>127000</xdr:rowOff>
    </xdr:from>
    <xdr:to>
      <xdr:col>5</xdr:col>
      <xdr:colOff>356235</xdr:colOff>
      <xdr:row>10</xdr:row>
      <xdr:rowOff>309880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 flipH="1" flipV="1">
          <a:off x="3480435" y="19558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10</xdr:row>
      <xdr:rowOff>400050</xdr:rowOff>
    </xdr:from>
    <xdr:to>
      <xdr:col>5</xdr:col>
      <xdr:colOff>1666875</xdr:colOff>
      <xdr:row>10</xdr:row>
      <xdr:rowOff>400050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3476625" y="20078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10</xdr:row>
      <xdr:rowOff>127000</xdr:rowOff>
    </xdr:from>
    <xdr:to>
      <xdr:col>5</xdr:col>
      <xdr:colOff>356810</xdr:colOff>
      <xdr:row>10</xdr:row>
      <xdr:rowOff>409912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 flipV="1">
          <a:off x="3481009" y="19558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10</xdr:row>
      <xdr:rowOff>134252</xdr:rowOff>
    </xdr:from>
    <xdr:to>
      <xdr:col>5</xdr:col>
      <xdr:colOff>1652211</xdr:colOff>
      <xdr:row>10</xdr:row>
      <xdr:rowOff>417164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 flipV="1">
          <a:off x="3747710" y="19630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</xdr:row>
      <xdr:rowOff>127000</xdr:rowOff>
    </xdr:from>
    <xdr:to>
      <xdr:col>5</xdr:col>
      <xdr:colOff>356235</xdr:colOff>
      <xdr:row>11</xdr:row>
      <xdr:rowOff>309880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 flipH="1" flipV="1">
          <a:off x="3480435" y="2138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</xdr:row>
      <xdr:rowOff>152400</xdr:rowOff>
    </xdr:from>
    <xdr:to>
      <xdr:col>5</xdr:col>
      <xdr:colOff>1676400</xdr:colOff>
      <xdr:row>11</xdr:row>
      <xdr:rowOff>152400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>
        <a:xfrm>
          <a:off x="3486150" y="21640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</xdr:row>
      <xdr:rowOff>127000</xdr:rowOff>
    </xdr:from>
    <xdr:to>
      <xdr:col>5</xdr:col>
      <xdr:colOff>356810</xdr:colOff>
      <xdr:row>11</xdr:row>
      <xdr:rowOff>409912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 flipH="1" flipV="1">
          <a:off x="3481009" y="2138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</xdr:row>
      <xdr:rowOff>134252</xdr:rowOff>
    </xdr:from>
    <xdr:to>
      <xdr:col>5</xdr:col>
      <xdr:colOff>1652211</xdr:colOff>
      <xdr:row>11</xdr:row>
      <xdr:rowOff>417164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 flipH="1" flipV="1">
          <a:off x="3747710" y="2145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12</xdr:row>
      <xdr:rowOff>123824</xdr:rowOff>
    </xdr:from>
    <xdr:to>
      <xdr:col>5</xdr:col>
      <xdr:colOff>1428750</xdr:colOff>
      <xdr:row>12</xdr:row>
      <xdr:rowOff>1219199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3745230" y="23183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12</xdr:row>
      <xdr:rowOff>238127</xdr:rowOff>
    </xdr:from>
    <xdr:to>
      <xdr:col>5</xdr:col>
      <xdr:colOff>790575</xdr:colOff>
      <xdr:row>12</xdr:row>
      <xdr:rowOff>361950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CxnSpPr/>
      </xdr:nvCxnSpPr>
      <xdr:spPr>
        <a:xfrm flipH="1" flipV="1">
          <a:off x="3749041" y="23793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12</xdr:row>
      <xdr:rowOff>133352</xdr:rowOff>
    </xdr:from>
    <xdr:to>
      <xdr:col>5</xdr:col>
      <xdr:colOff>885825</xdr:colOff>
      <xdr:row>12</xdr:row>
      <xdr:rowOff>257175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/>
      </xdr:nvCxnSpPr>
      <xdr:spPr>
        <a:xfrm flipH="1" flipV="1">
          <a:off x="3745231" y="23279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</xdr:row>
      <xdr:rowOff>127000</xdr:rowOff>
    </xdr:from>
    <xdr:to>
      <xdr:col>5</xdr:col>
      <xdr:colOff>356235</xdr:colOff>
      <xdr:row>16</xdr:row>
      <xdr:rowOff>309880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>
        <a:xfrm flipH="1" flipV="1">
          <a:off x="3480435" y="30530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</xdr:row>
      <xdr:rowOff>400050</xdr:rowOff>
    </xdr:from>
    <xdr:to>
      <xdr:col>5</xdr:col>
      <xdr:colOff>1666875</xdr:colOff>
      <xdr:row>16</xdr:row>
      <xdr:rowOff>400050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CxnSpPr/>
      </xdr:nvCxnSpPr>
      <xdr:spPr>
        <a:xfrm>
          <a:off x="3476625" y="31051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</xdr:row>
      <xdr:rowOff>127000</xdr:rowOff>
    </xdr:from>
    <xdr:to>
      <xdr:col>5</xdr:col>
      <xdr:colOff>356810</xdr:colOff>
      <xdr:row>16</xdr:row>
      <xdr:rowOff>409912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CxnSpPr/>
      </xdr:nvCxnSpPr>
      <xdr:spPr>
        <a:xfrm flipH="1" flipV="1">
          <a:off x="3481009" y="3053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</xdr:row>
      <xdr:rowOff>134252</xdr:rowOff>
    </xdr:from>
    <xdr:to>
      <xdr:col>5</xdr:col>
      <xdr:colOff>1652211</xdr:colOff>
      <xdr:row>16</xdr:row>
      <xdr:rowOff>417164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CxnSpPr/>
      </xdr:nvCxnSpPr>
      <xdr:spPr>
        <a:xfrm flipH="1" flipV="1">
          <a:off x="3747710" y="30603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</xdr:row>
      <xdr:rowOff>127000</xdr:rowOff>
    </xdr:from>
    <xdr:to>
      <xdr:col>5</xdr:col>
      <xdr:colOff>356235</xdr:colOff>
      <xdr:row>17</xdr:row>
      <xdr:rowOff>309880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CxnSpPr/>
      </xdr:nvCxnSpPr>
      <xdr:spPr>
        <a:xfrm flipH="1" flipV="1">
          <a:off x="3480435" y="3235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</xdr:row>
      <xdr:rowOff>152400</xdr:rowOff>
    </xdr:from>
    <xdr:to>
      <xdr:col>5</xdr:col>
      <xdr:colOff>1676400</xdr:colOff>
      <xdr:row>17</xdr:row>
      <xdr:rowOff>152400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CxnSpPr/>
      </xdr:nvCxnSpPr>
      <xdr:spPr>
        <a:xfrm>
          <a:off x="3486150" y="32613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</xdr:row>
      <xdr:rowOff>127000</xdr:rowOff>
    </xdr:from>
    <xdr:to>
      <xdr:col>5</xdr:col>
      <xdr:colOff>356810</xdr:colOff>
      <xdr:row>17</xdr:row>
      <xdr:rowOff>409912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CxnSpPr/>
      </xdr:nvCxnSpPr>
      <xdr:spPr>
        <a:xfrm flipH="1" flipV="1">
          <a:off x="3481009" y="3235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</xdr:row>
      <xdr:rowOff>134252</xdr:rowOff>
    </xdr:from>
    <xdr:to>
      <xdr:col>5</xdr:col>
      <xdr:colOff>1652211</xdr:colOff>
      <xdr:row>17</xdr:row>
      <xdr:rowOff>417164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CxnSpPr/>
      </xdr:nvCxnSpPr>
      <xdr:spPr>
        <a:xfrm flipH="1" flipV="1">
          <a:off x="3747710" y="3243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</xdr:row>
      <xdr:rowOff>123824</xdr:rowOff>
    </xdr:from>
    <xdr:to>
      <xdr:col>5</xdr:col>
      <xdr:colOff>1428750</xdr:colOff>
      <xdr:row>18</xdr:row>
      <xdr:rowOff>1219199</xdr:rowOff>
    </xdr:to>
    <xdr:sp macro="" textlink="">
      <xdr:nvSpPr>
        <xdr:cNvPr id="32" name="Rounded Rectangle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3745230" y="34156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</xdr:row>
      <xdr:rowOff>238127</xdr:rowOff>
    </xdr:from>
    <xdr:to>
      <xdr:col>5</xdr:col>
      <xdr:colOff>790575</xdr:colOff>
      <xdr:row>18</xdr:row>
      <xdr:rowOff>361950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CxnSpPr/>
      </xdr:nvCxnSpPr>
      <xdr:spPr>
        <a:xfrm flipH="1" flipV="1">
          <a:off x="3749041" y="34766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</xdr:row>
      <xdr:rowOff>133352</xdr:rowOff>
    </xdr:from>
    <xdr:to>
      <xdr:col>5</xdr:col>
      <xdr:colOff>885825</xdr:colOff>
      <xdr:row>18</xdr:row>
      <xdr:rowOff>257175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CxnSpPr/>
      </xdr:nvCxnSpPr>
      <xdr:spPr>
        <a:xfrm flipH="1" flipV="1">
          <a:off x="3745231" y="34251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22</xdr:row>
      <xdr:rowOff>127000</xdr:rowOff>
    </xdr:from>
    <xdr:to>
      <xdr:col>5</xdr:col>
      <xdr:colOff>356235</xdr:colOff>
      <xdr:row>22</xdr:row>
      <xdr:rowOff>309880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CxnSpPr/>
      </xdr:nvCxnSpPr>
      <xdr:spPr>
        <a:xfrm flipH="1" flipV="1">
          <a:off x="3480435" y="4150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22</xdr:row>
      <xdr:rowOff>400050</xdr:rowOff>
    </xdr:from>
    <xdr:to>
      <xdr:col>5</xdr:col>
      <xdr:colOff>1666875</xdr:colOff>
      <xdr:row>22</xdr:row>
      <xdr:rowOff>400050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/>
      </xdr:nvCxnSpPr>
      <xdr:spPr>
        <a:xfrm>
          <a:off x="3476625" y="4202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22</xdr:row>
      <xdr:rowOff>127000</xdr:rowOff>
    </xdr:from>
    <xdr:to>
      <xdr:col>5</xdr:col>
      <xdr:colOff>356810</xdr:colOff>
      <xdr:row>22</xdr:row>
      <xdr:rowOff>409912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CxnSpPr/>
      </xdr:nvCxnSpPr>
      <xdr:spPr>
        <a:xfrm flipH="1" flipV="1">
          <a:off x="3481009" y="4150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22</xdr:row>
      <xdr:rowOff>134252</xdr:rowOff>
    </xdr:from>
    <xdr:to>
      <xdr:col>5</xdr:col>
      <xdr:colOff>1652211</xdr:colOff>
      <xdr:row>22</xdr:row>
      <xdr:rowOff>417164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CxnSpPr/>
      </xdr:nvCxnSpPr>
      <xdr:spPr>
        <a:xfrm flipH="1" flipV="1">
          <a:off x="3747710" y="4157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</xdr:row>
      <xdr:rowOff>127000</xdr:rowOff>
    </xdr:from>
    <xdr:to>
      <xdr:col>5</xdr:col>
      <xdr:colOff>356235</xdr:colOff>
      <xdr:row>23</xdr:row>
      <xdr:rowOff>309880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CxnSpPr/>
      </xdr:nvCxnSpPr>
      <xdr:spPr>
        <a:xfrm flipH="1" flipV="1">
          <a:off x="3480435" y="4333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23</xdr:row>
      <xdr:rowOff>152400</xdr:rowOff>
    </xdr:from>
    <xdr:to>
      <xdr:col>5</xdr:col>
      <xdr:colOff>1676400</xdr:colOff>
      <xdr:row>23</xdr:row>
      <xdr:rowOff>152400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CxnSpPr/>
      </xdr:nvCxnSpPr>
      <xdr:spPr>
        <a:xfrm>
          <a:off x="3486150" y="4358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</xdr:row>
      <xdr:rowOff>127000</xdr:rowOff>
    </xdr:from>
    <xdr:to>
      <xdr:col>5</xdr:col>
      <xdr:colOff>356810</xdr:colOff>
      <xdr:row>23</xdr:row>
      <xdr:rowOff>409912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CxnSpPr/>
      </xdr:nvCxnSpPr>
      <xdr:spPr>
        <a:xfrm flipH="1" flipV="1">
          <a:off x="3481009" y="4333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</xdr:row>
      <xdr:rowOff>134252</xdr:rowOff>
    </xdr:from>
    <xdr:to>
      <xdr:col>5</xdr:col>
      <xdr:colOff>1652211</xdr:colOff>
      <xdr:row>23</xdr:row>
      <xdr:rowOff>417164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/>
      </xdr:nvCxnSpPr>
      <xdr:spPr>
        <a:xfrm flipH="1" flipV="1">
          <a:off x="3747710" y="4340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</xdr:row>
      <xdr:rowOff>123824</xdr:rowOff>
    </xdr:from>
    <xdr:to>
      <xdr:col>5</xdr:col>
      <xdr:colOff>1428750</xdr:colOff>
      <xdr:row>24</xdr:row>
      <xdr:rowOff>1219199</xdr:rowOff>
    </xdr:to>
    <xdr:sp macro="" textlink="">
      <xdr:nvSpPr>
        <xdr:cNvPr id="43" name="Rounded Rectangle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3745230" y="4512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</xdr:row>
      <xdr:rowOff>238127</xdr:rowOff>
    </xdr:from>
    <xdr:to>
      <xdr:col>5</xdr:col>
      <xdr:colOff>790575</xdr:colOff>
      <xdr:row>24</xdr:row>
      <xdr:rowOff>361950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CxnSpPr/>
      </xdr:nvCxnSpPr>
      <xdr:spPr>
        <a:xfrm flipH="1" flipV="1">
          <a:off x="3749041" y="4573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</xdr:row>
      <xdr:rowOff>133352</xdr:rowOff>
    </xdr:from>
    <xdr:to>
      <xdr:col>5</xdr:col>
      <xdr:colOff>885825</xdr:colOff>
      <xdr:row>24</xdr:row>
      <xdr:rowOff>257175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CxnSpPr/>
      </xdr:nvCxnSpPr>
      <xdr:spPr>
        <a:xfrm flipH="1" flipV="1">
          <a:off x="3745231" y="4522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28</xdr:row>
      <xdr:rowOff>127000</xdr:rowOff>
    </xdr:from>
    <xdr:to>
      <xdr:col>5</xdr:col>
      <xdr:colOff>356235</xdr:colOff>
      <xdr:row>28</xdr:row>
      <xdr:rowOff>309880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CxnSpPr/>
      </xdr:nvCxnSpPr>
      <xdr:spPr>
        <a:xfrm flipH="1" flipV="1">
          <a:off x="3480435" y="52476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28</xdr:row>
      <xdr:rowOff>400050</xdr:rowOff>
    </xdr:from>
    <xdr:to>
      <xdr:col>5</xdr:col>
      <xdr:colOff>1666875</xdr:colOff>
      <xdr:row>28</xdr:row>
      <xdr:rowOff>400050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CxnSpPr/>
      </xdr:nvCxnSpPr>
      <xdr:spPr>
        <a:xfrm>
          <a:off x="3476625" y="52997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28</xdr:row>
      <xdr:rowOff>127000</xdr:rowOff>
    </xdr:from>
    <xdr:to>
      <xdr:col>5</xdr:col>
      <xdr:colOff>356810</xdr:colOff>
      <xdr:row>28</xdr:row>
      <xdr:rowOff>409912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CxnSpPr/>
      </xdr:nvCxnSpPr>
      <xdr:spPr>
        <a:xfrm flipH="1" flipV="1">
          <a:off x="3481009" y="52476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28</xdr:row>
      <xdr:rowOff>134252</xdr:rowOff>
    </xdr:from>
    <xdr:to>
      <xdr:col>5</xdr:col>
      <xdr:colOff>1652211</xdr:colOff>
      <xdr:row>28</xdr:row>
      <xdr:rowOff>417164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CxnSpPr/>
      </xdr:nvCxnSpPr>
      <xdr:spPr>
        <a:xfrm flipH="1" flipV="1">
          <a:off x="3747710" y="52548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29</xdr:row>
      <xdr:rowOff>127000</xdr:rowOff>
    </xdr:from>
    <xdr:to>
      <xdr:col>5</xdr:col>
      <xdr:colOff>356235</xdr:colOff>
      <xdr:row>29</xdr:row>
      <xdr:rowOff>309880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/>
      </xdr:nvCxnSpPr>
      <xdr:spPr>
        <a:xfrm flipH="1" flipV="1">
          <a:off x="3480435" y="54305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29</xdr:row>
      <xdr:rowOff>152400</xdr:rowOff>
    </xdr:from>
    <xdr:to>
      <xdr:col>5</xdr:col>
      <xdr:colOff>1676400</xdr:colOff>
      <xdr:row>29</xdr:row>
      <xdr:rowOff>152400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CxnSpPr/>
      </xdr:nvCxnSpPr>
      <xdr:spPr>
        <a:xfrm>
          <a:off x="3486150" y="54559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29</xdr:row>
      <xdr:rowOff>127000</xdr:rowOff>
    </xdr:from>
    <xdr:to>
      <xdr:col>5</xdr:col>
      <xdr:colOff>356810</xdr:colOff>
      <xdr:row>29</xdr:row>
      <xdr:rowOff>409912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CxnSpPr/>
      </xdr:nvCxnSpPr>
      <xdr:spPr>
        <a:xfrm flipH="1" flipV="1">
          <a:off x="3481009" y="54305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29</xdr:row>
      <xdr:rowOff>134252</xdr:rowOff>
    </xdr:from>
    <xdr:to>
      <xdr:col>5</xdr:col>
      <xdr:colOff>1652211</xdr:colOff>
      <xdr:row>29</xdr:row>
      <xdr:rowOff>417164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CxnSpPr/>
      </xdr:nvCxnSpPr>
      <xdr:spPr>
        <a:xfrm flipH="1" flipV="1">
          <a:off x="3747710" y="54377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30</xdr:row>
      <xdr:rowOff>123824</xdr:rowOff>
    </xdr:from>
    <xdr:to>
      <xdr:col>5</xdr:col>
      <xdr:colOff>1428750</xdr:colOff>
      <xdr:row>30</xdr:row>
      <xdr:rowOff>1219199</xdr:rowOff>
    </xdr:to>
    <xdr:sp macro="" textlink="">
      <xdr:nvSpPr>
        <xdr:cNvPr id="54" name="Rounded Rectangle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/>
      </xdr:nvSpPr>
      <xdr:spPr>
        <a:xfrm>
          <a:off x="3745230" y="56102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30</xdr:row>
      <xdr:rowOff>238127</xdr:rowOff>
    </xdr:from>
    <xdr:to>
      <xdr:col>5</xdr:col>
      <xdr:colOff>790575</xdr:colOff>
      <xdr:row>30</xdr:row>
      <xdr:rowOff>361950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CxnSpPr/>
      </xdr:nvCxnSpPr>
      <xdr:spPr>
        <a:xfrm flipH="1" flipV="1">
          <a:off x="3749041" y="56711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30</xdr:row>
      <xdr:rowOff>133352</xdr:rowOff>
    </xdr:from>
    <xdr:to>
      <xdr:col>5</xdr:col>
      <xdr:colOff>885825</xdr:colOff>
      <xdr:row>30</xdr:row>
      <xdr:rowOff>257175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CxnSpPr/>
      </xdr:nvCxnSpPr>
      <xdr:spPr>
        <a:xfrm flipH="1" flipV="1">
          <a:off x="3745231" y="56197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34</xdr:row>
      <xdr:rowOff>127000</xdr:rowOff>
    </xdr:from>
    <xdr:to>
      <xdr:col>5</xdr:col>
      <xdr:colOff>356235</xdr:colOff>
      <xdr:row>34</xdr:row>
      <xdr:rowOff>309880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CxnSpPr/>
      </xdr:nvCxnSpPr>
      <xdr:spPr>
        <a:xfrm flipH="1" flipV="1">
          <a:off x="3480435" y="63449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34</xdr:row>
      <xdr:rowOff>400050</xdr:rowOff>
    </xdr:from>
    <xdr:to>
      <xdr:col>5</xdr:col>
      <xdr:colOff>1666875</xdr:colOff>
      <xdr:row>34</xdr:row>
      <xdr:rowOff>400050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CxnSpPr/>
      </xdr:nvCxnSpPr>
      <xdr:spPr>
        <a:xfrm>
          <a:off x="3476625" y="63969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34</xdr:row>
      <xdr:rowOff>127000</xdr:rowOff>
    </xdr:from>
    <xdr:to>
      <xdr:col>5</xdr:col>
      <xdr:colOff>356810</xdr:colOff>
      <xdr:row>34</xdr:row>
      <xdr:rowOff>409912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CxnSpPr/>
      </xdr:nvCxnSpPr>
      <xdr:spPr>
        <a:xfrm flipH="1" flipV="1">
          <a:off x="3481009" y="63449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34</xdr:row>
      <xdr:rowOff>134252</xdr:rowOff>
    </xdr:from>
    <xdr:to>
      <xdr:col>5</xdr:col>
      <xdr:colOff>1652211</xdr:colOff>
      <xdr:row>34</xdr:row>
      <xdr:rowOff>417164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CxnSpPr/>
      </xdr:nvCxnSpPr>
      <xdr:spPr>
        <a:xfrm flipH="1" flipV="1">
          <a:off x="3747710" y="63521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35</xdr:row>
      <xdr:rowOff>127000</xdr:rowOff>
    </xdr:from>
    <xdr:to>
      <xdr:col>5</xdr:col>
      <xdr:colOff>356235</xdr:colOff>
      <xdr:row>35</xdr:row>
      <xdr:rowOff>309880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CxnSpPr/>
      </xdr:nvCxnSpPr>
      <xdr:spPr>
        <a:xfrm flipH="1" flipV="1">
          <a:off x="3480435" y="65278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35</xdr:row>
      <xdr:rowOff>152400</xdr:rowOff>
    </xdr:from>
    <xdr:to>
      <xdr:col>5</xdr:col>
      <xdr:colOff>1676400</xdr:colOff>
      <xdr:row>35</xdr:row>
      <xdr:rowOff>152400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CxnSpPr/>
      </xdr:nvCxnSpPr>
      <xdr:spPr>
        <a:xfrm>
          <a:off x="3486150" y="65532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35</xdr:row>
      <xdr:rowOff>127000</xdr:rowOff>
    </xdr:from>
    <xdr:to>
      <xdr:col>5</xdr:col>
      <xdr:colOff>356810</xdr:colOff>
      <xdr:row>35</xdr:row>
      <xdr:rowOff>409912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CxnSpPr/>
      </xdr:nvCxnSpPr>
      <xdr:spPr>
        <a:xfrm flipH="1" flipV="1">
          <a:off x="3481009" y="65278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35</xdr:row>
      <xdr:rowOff>134252</xdr:rowOff>
    </xdr:from>
    <xdr:to>
      <xdr:col>5</xdr:col>
      <xdr:colOff>1652211</xdr:colOff>
      <xdr:row>35</xdr:row>
      <xdr:rowOff>417164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CxnSpPr/>
      </xdr:nvCxnSpPr>
      <xdr:spPr>
        <a:xfrm flipH="1" flipV="1">
          <a:off x="3747710" y="65350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37</xdr:row>
      <xdr:rowOff>123824</xdr:rowOff>
    </xdr:from>
    <xdr:to>
      <xdr:col>5</xdr:col>
      <xdr:colOff>1428750</xdr:colOff>
      <xdr:row>37</xdr:row>
      <xdr:rowOff>1219199</xdr:rowOff>
    </xdr:to>
    <xdr:sp macro="" textlink="">
      <xdr:nvSpPr>
        <xdr:cNvPr id="65" name="Rounded Rectangle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/>
      </xdr:nvSpPr>
      <xdr:spPr>
        <a:xfrm>
          <a:off x="3745230" y="68903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37</xdr:row>
      <xdr:rowOff>238127</xdr:rowOff>
    </xdr:from>
    <xdr:to>
      <xdr:col>5</xdr:col>
      <xdr:colOff>790575</xdr:colOff>
      <xdr:row>37</xdr:row>
      <xdr:rowOff>361950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CxnSpPr/>
      </xdr:nvCxnSpPr>
      <xdr:spPr>
        <a:xfrm flipH="1" flipV="1">
          <a:off x="3749041" y="69513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37</xdr:row>
      <xdr:rowOff>133352</xdr:rowOff>
    </xdr:from>
    <xdr:to>
      <xdr:col>5</xdr:col>
      <xdr:colOff>885825</xdr:colOff>
      <xdr:row>37</xdr:row>
      <xdr:rowOff>257175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CxnSpPr/>
      </xdr:nvCxnSpPr>
      <xdr:spPr>
        <a:xfrm flipH="1" flipV="1">
          <a:off x="3745231" y="68999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36</xdr:row>
      <xdr:rowOff>190500</xdr:rowOff>
    </xdr:from>
    <xdr:to>
      <xdr:col>5</xdr:col>
      <xdr:colOff>1628775</xdr:colOff>
      <xdr:row>36</xdr:row>
      <xdr:rowOff>190500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CxnSpPr/>
      </xdr:nvCxnSpPr>
      <xdr:spPr>
        <a:xfrm>
          <a:off x="3438525" y="676656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41</xdr:row>
      <xdr:rowOff>127000</xdr:rowOff>
    </xdr:from>
    <xdr:to>
      <xdr:col>5</xdr:col>
      <xdr:colOff>356235</xdr:colOff>
      <xdr:row>41</xdr:row>
      <xdr:rowOff>309880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CxnSpPr/>
      </xdr:nvCxnSpPr>
      <xdr:spPr>
        <a:xfrm flipH="1" flipV="1">
          <a:off x="3480435" y="76250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41</xdr:row>
      <xdr:rowOff>400050</xdr:rowOff>
    </xdr:from>
    <xdr:to>
      <xdr:col>5</xdr:col>
      <xdr:colOff>1666875</xdr:colOff>
      <xdr:row>41</xdr:row>
      <xdr:rowOff>400050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CxnSpPr/>
      </xdr:nvCxnSpPr>
      <xdr:spPr>
        <a:xfrm>
          <a:off x="3476625" y="76771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41</xdr:row>
      <xdr:rowOff>127000</xdr:rowOff>
    </xdr:from>
    <xdr:to>
      <xdr:col>5</xdr:col>
      <xdr:colOff>356810</xdr:colOff>
      <xdr:row>41</xdr:row>
      <xdr:rowOff>409912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CxnSpPr/>
      </xdr:nvCxnSpPr>
      <xdr:spPr>
        <a:xfrm flipH="1" flipV="1">
          <a:off x="3481009" y="7625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41</xdr:row>
      <xdr:rowOff>134252</xdr:rowOff>
    </xdr:from>
    <xdr:to>
      <xdr:col>5</xdr:col>
      <xdr:colOff>1652211</xdr:colOff>
      <xdr:row>41</xdr:row>
      <xdr:rowOff>417164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CxnSpPr/>
      </xdr:nvCxnSpPr>
      <xdr:spPr>
        <a:xfrm flipH="1" flipV="1">
          <a:off x="3747710" y="76323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42</xdr:row>
      <xdr:rowOff>127000</xdr:rowOff>
    </xdr:from>
    <xdr:to>
      <xdr:col>5</xdr:col>
      <xdr:colOff>356235</xdr:colOff>
      <xdr:row>42</xdr:row>
      <xdr:rowOff>309880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CxnSpPr/>
      </xdr:nvCxnSpPr>
      <xdr:spPr>
        <a:xfrm flipH="1" flipV="1">
          <a:off x="3480435" y="7807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42</xdr:row>
      <xdr:rowOff>152400</xdr:rowOff>
    </xdr:from>
    <xdr:to>
      <xdr:col>5</xdr:col>
      <xdr:colOff>1676400</xdr:colOff>
      <xdr:row>42</xdr:row>
      <xdr:rowOff>152400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CxnSpPr/>
      </xdr:nvCxnSpPr>
      <xdr:spPr>
        <a:xfrm>
          <a:off x="3486150" y="78333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43</xdr:row>
      <xdr:rowOff>174625</xdr:rowOff>
    </xdr:from>
    <xdr:to>
      <xdr:col>5</xdr:col>
      <xdr:colOff>327661</xdr:colOff>
      <xdr:row>43</xdr:row>
      <xdr:rowOff>457537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CxnSpPr/>
      </xdr:nvCxnSpPr>
      <xdr:spPr>
        <a:xfrm flipH="1" flipV="1">
          <a:off x="3451860" y="803846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42</xdr:row>
      <xdr:rowOff>134252</xdr:rowOff>
    </xdr:from>
    <xdr:to>
      <xdr:col>5</xdr:col>
      <xdr:colOff>1652211</xdr:colOff>
      <xdr:row>42</xdr:row>
      <xdr:rowOff>417164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CxnSpPr/>
      </xdr:nvCxnSpPr>
      <xdr:spPr>
        <a:xfrm flipH="1" flipV="1">
          <a:off x="3747710" y="7815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44</xdr:row>
      <xdr:rowOff>123824</xdr:rowOff>
    </xdr:from>
    <xdr:to>
      <xdr:col>5</xdr:col>
      <xdr:colOff>1428750</xdr:colOff>
      <xdr:row>44</xdr:row>
      <xdr:rowOff>1219199</xdr:rowOff>
    </xdr:to>
    <xdr:sp macro="" textlink="">
      <xdr:nvSpPr>
        <xdr:cNvPr id="77" name="Rounded Rectangle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/>
      </xdr:nvSpPr>
      <xdr:spPr>
        <a:xfrm>
          <a:off x="3745230" y="81705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44</xdr:row>
      <xdr:rowOff>238127</xdr:rowOff>
    </xdr:from>
    <xdr:to>
      <xdr:col>5</xdr:col>
      <xdr:colOff>790575</xdr:colOff>
      <xdr:row>44</xdr:row>
      <xdr:rowOff>361950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CxnSpPr/>
      </xdr:nvCxnSpPr>
      <xdr:spPr>
        <a:xfrm flipH="1" flipV="1">
          <a:off x="3749041" y="82315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44</xdr:row>
      <xdr:rowOff>133352</xdr:rowOff>
    </xdr:from>
    <xdr:to>
      <xdr:col>5</xdr:col>
      <xdr:colOff>885825</xdr:colOff>
      <xdr:row>44</xdr:row>
      <xdr:rowOff>257175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CxnSpPr/>
      </xdr:nvCxnSpPr>
      <xdr:spPr>
        <a:xfrm flipH="1" flipV="1">
          <a:off x="3745231" y="81800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43</xdr:row>
      <xdr:rowOff>200025</xdr:rowOff>
    </xdr:from>
    <xdr:to>
      <xdr:col>5</xdr:col>
      <xdr:colOff>1638300</xdr:colOff>
      <xdr:row>43</xdr:row>
      <xdr:rowOff>200025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CxnSpPr/>
      </xdr:nvCxnSpPr>
      <xdr:spPr>
        <a:xfrm>
          <a:off x="3448050" y="804862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48</xdr:row>
      <xdr:rowOff>127000</xdr:rowOff>
    </xdr:from>
    <xdr:to>
      <xdr:col>5</xdr:col>
      <xdr:colOff>356235</xdr:colOff>
      <xdr:row>48</xdr:row>
      <xdr:rowOff>309880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CxnSpPr/>
      </xdr:nvCxnSpPr>
      <xdr:spPr>
        <a:xfrm flipH="1" flipV="1">
          <a:off x="3480435" y="8905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48</xdr:row>
      <xdr:rowOff>400050</xdr:rowOff>
    </xdr:from>
    <xdr:to>
      <xdr:col>5</xdr:col>
      <xdr:colOff>1666875</xdr:colOff>
      <xdr:row>48</xdr:row>
      <xdr:rowOff>400050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CxnSpPr/>
      </xdr:nvCxnSpPr>
      <xdr:spPr>
        <a:xfrm>
          <a:off x="3476625" y="89573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48</xdr:row>
      <xdr:rowOff>127000</xdr:rowOff>
    </xdr:from>
    <xdr:to>
      <xdr:col>5</xdr:col>
      <xdr:colOff>356810</xdr:colOff>
      <xdr:row>48</xdr:row>
      <xdr:rowOff>409912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CxnSpPr/>
      </xdr:nvCxnSpPr>
      <xdr:spPr>
        <a:xfrm flipH="1" flipV="1">
          <a:off x="3481009" y="8905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48</xdr:row>
      <xdr:rowOff>134252</xdr:rowOff>
    </xdr:from>
    <xdr:to>
      <xdr:col>5</xdr:col>
      <xdr:colOff>1652211</xdr:colOff>
      <xdr:row>48</xdr:row>
      <xdr:rowOff>417164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CxnSpPr/>
      </xdr:nvCxnSpPr>
      <xdr:spPr>
        <a:xfrm flipH="1" flipV="1">
          <a:off x="3747710" y="8912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50</xdr:row>
      <xdr:rowOff>127000</xdr:rowOff>
    </xdr:from>
    <xdr:to>
      <xdr:col>5</xdr:col>
      <xdr:colOff>356235</xdr:colOff>
      <xdr:row>50</xdr:row>
      <xdr:rowOff>309880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CxnSpPr/>
      </xdr:nvCxnSpPr>
      <xdr:spPr>
        <a:xfrm flipH="1" flipV="1">
          <a:off x="3480435" y="9271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50</xdr:row>
      <xdr:rowOff>152400</xdr:rowOff>
    </xdr:from>
    <xdr:to>
      <xdr:col>5</xdr:col>
      <xdr:colOff>1676400</xdr:colOff>
      <xdr:row>50</xdr:row>
      <xdr:rowOff>152400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CxnSpPr/>
      </xdr:nvCxnSpPr>
      <xdr:spPr>
        <a:xfrm>
          <a:off x="3486150" y="9296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50</xdr:row>
      <xdr:rowOff>127000</xdr:rowOff>
    </xdr:from>
    <xdr:to>
      <xdr:col>5</xdr:col>
      <xdr:colOff>356810</xdr:colOff>
      <xdr:row>50</xdr:row>
      <xdr:rowOff>409912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CxnSpPr/>
      </xdr:nvCxnSpPr>
      <xdr:spPr>
        <a:xfrm flipH="1" flipV="1">
          <a:off x="3481009" y="9271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50</xdr:row>
      <xdr:rowOff>134252</xdr:rowOff>
    </xdr:from>
    <xdr:to>
      <xdr:col>5</xdr:col>
      <xdr:colOff>1652211</xdr:colOff>
      <xdr:row>50</xdr:row>
      <xdr:rowOff>417164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CxnSpPr/>
      </xdr:nvCxnSpPr>
      <xdr:spPr>
        <a:xfrm flipH="1" flipV="1">
          <a:off x="3747710" y="9278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51</xdr:row>
      <xdr:rowOff>123824</xdr:rowOff>
    </xdr:from>
    <xdr:to>
      <xdr:col>5</xdr:col>
      <xdr:colOff>1428750</xdr:colOff>
      <xdr:row>51</xdr:row>
      <xdr:rowOff>1219199</xdr:rowOff>
    </xdr:to>
    <xdr:sp macro="" textlink="">
      <xdr:nvSpPr>
        <xdr:cNvPr id="89" name="Rounded Rectangle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/>
      </xdr:nvSpPr>
      <xdr:spPr>
        <a:xfrm>
          <a:off x="3745230" y="9450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51</xdr:row>
      <xdr:rowOff>238127</xdr:rowOff>
    </xdr:from>
    <xdr:to>
      <xdr:col>5</xdr:col>
      <xdr:colOff>790575</xdr:colOff>
      <xdr:row>51</xdr:row>
      <xdr:rowOff>361950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CxnSpPr/>
      </xdr:nvCxnSpPr>
      <xdr:spPr>
        <a:xfrm flipH="1" flipV="1">
          <a:off x="3749041" y="9511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51</xdr:row>
      <xdr:rowOff>133352</xdr:rowOff>
    </xdr:from>
    <xdr:to>
      <xdr:col>5</xdr:col>
      <xdr:colOff>885825</xdr:colOff>
      <xdr:row>51</xdr:row>
      <xdr:rowOff>257175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CxnSpPr/>
      </xdr:nvCxnSpPr>
      <xdr:spPr>
        <a:xfrm flipH="1" flipV="1">
          <a:off x="3745231" y="9460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49</xdr:row>
      <xdr:rowOff>190500</xdr:rowOff>
    </xdr:from>
    <xdr:to>
      <xdr:col>5</xdr:col>
      <xdr:colOff>1628775</xdr:colOff>
      <xdr:row>49</xdr:row>
      <xdr:rowOff>190500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CxnSpPr/>
      </xdr:nvCxnSpPr>
      <xdr:spPr>
        <a:xfrm>
          <a:off x="3438525" y="914400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55</xdr:row>
      <xdr:rowOff>127000</xdr:rowOff>
    </xdr:from>
    <xdr:to>
      <xdr:col>5</xdr:col>
      <xdr:colOff>356235</xdr:colOff>
      <xdr:row>55</xdr:row>
      <xdr:rowOff>309880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CxnSpPr/>
      </xdr:nvCxnSpPr>
      <xdr:spPr>
        <a:xfrm flipH="1" flipV="1">
          <a:off x="3480435" y="10185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55</xdr:row>
      <xdr:rowOff>400050</xdr:rowOff>
    </xdr:from>
    <xdr:to>
      <xdr:col>5</xdr:col>
      <xdr:colOff>1666875</xdr:colOff>
      <xdr:row>55</xdr:row>
      <xdr:rowOff>400050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CxnSpPr/>
      </xdr:nvCxnSpPr>
      <xdr:spPr>
        <a:xfrm>
          <a:off x="3476625" y="10237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55</xdr:row>
      <xdr:rowOff>127000</xdr:rowOff>
    </xdr:from>
    <xdr:to>
      <xdr:col>5</xdr:col>
      <xdr:colOff>356810</xdr:colOff>
      <xdr:row>55</xdr:row>
      <xdr:rowOff>409912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CxnSpPr/>
      </xdr:nvCxnSpPr>
      <xdr:spPr>
        <a:xfrm flipH="1" flipV="1">
          <a:off x="3481009" y="10185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55</xdr:row>
      <xdr:rowOff>134252</xdr:rowOff>
    </xdr:from>
    <xdr:to>
      <xdr:col>5</xdr:col>
      <xdr:colOff>1652211</xdr:colOff>
      <xdr:row>55</xdr:row>
      <xdr:rowOff>417164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CxnSpPr/>
      </xdr:nvCxnSpPr>
      <xdr:spPr>
        <a:xfrm flipH="1" flipV="1">
          <a:off x="3747710" y="10192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56</xdr:row>
      <xdr:rowOff>127000</xdr:rowOff>
    </xdr:from>
    <xdr:to>
      <xdr:col>5</xdr:col>
      <xdr:colOff>356235</xdr:colOff>
      <xdr:row>56</xdr:row>
      <xdr:rowOff>309880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CxnSpPr/>
      </xdr:nvCxnSpPr>
      <xdr:spPr>
        <a:xfrm flipH="1" flipV="1">
          <a:off x="3480435" y="10368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56</xdr:row>
      <xdr:rowOff>152400</xdr:rowOff>
    </xdr:from>
    <xdr:to>
      <xdr:col>5</xdr:col>
      <xdr:colOff>1676400</xdr:colOff>
      <xdr:row>56</xdr:row>
      <xdr:rowOff>152400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CxnSpPr/>
      </xdr:nvCxnSpPr>
      <xdr:spPr>
        <a:xfrm>
          <a:off x="3486150" y="10393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56</xdr:row>
      <xdr:rowOff>127000</xdr:rowOff>
    </xdr:from>
    <xdr:to>
      <xdr:col>5</xdr:col>
      <xdr:colOff>356810</xdr:colOff>
      <xdr:row>56</xdr:row>
      <xdr:rowOff>409912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CxnSpPr/>
      </xdr:nvCxnSpPr>
      <xdr:spPr>
        <a:xfrm flipH="1" flipV="1">
          <a:off x="3481009" y="10368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56</xdr:row>
      <xdr:rowOff>134252</xdr:rowOff>
    </xdr:from>
    <xdr:to>
      <xdr:col>5</xdr:col>
      <xdr:colOff>1652211</xdr:colOff>
      <xdr:row>56</xdr:row>
      <xdr:rowOff>417164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CxnSpPr/>
      </xdr:nvCxnSpPr>
      <xdr:spPr>
        <a:xfrm flipH="1" flipV="1">
          <a:off x="3747710" y="10375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57</xdr:row>
      <xdr:rowOff>123824</xdr:rowOff>
    </xdr:from>
    <xdr:to>
      <xdr:col>5</xdr:col>
      <xdr:colOff>1428750</xdr:colOff>
      <xdr:row>57</xdr:row>
      <xdr:rowOff>1219199</xdr:rowOff>
    </xdr:to>
    <xdr:sp macro="" textlink="">
      <xdr:nvSpPr>
        <xdr:cNvPr id="101" name="Rounded Rectangle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/>
      </xdr:nvSpPr>
      <xdr:spPr>
        <a:xfrm>
          <a:off x="3745230" y="10547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57</xdr:row>
      <xdr:rowOff>238127</xdr:rowOff>
    </xdr:from>
    <xdr:to>
      <xdr:col>5</xdr:col>
      <xdr:colOff>790575</xdr:colOff>
      <xdr:row>57</xdr:row>
      <xdr:rowOff>361950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CxnSpPr/>
      </xdr:nvCxnSpPr>
      <xdr:spPr>
        <a:xfrm flipH="1" flipV="1">
          <a:off x="3749041" y="10608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57</xdr:row>
      <xdr:rowOff>133352</xdr:rowOff>
    </xdr:from>
    <xdr:to>
      <xdr:col>5</xdr:col>
      <xdr:colOff>885825</xdr:colOff>
      <xdr:row>57</xdr:row>
      <xdr:rowOff>257175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CxnSpPr/>
      </xdr:nvCxnSpPr>
      <xdr:spPr>
        <a:xfrm flipH="1" flipV="1">
          <a:off x="3745231" y="10557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61</xdr:row>
      <xdr:rowOff>127000</xdr:rowOff>
    </xdr:from>
    <xdr:to>
      <xdr:col>5</xdr:col>
      <xdr:colOff>356235</xdr:colOff>
      <xdr:row>61</xdr:row>
      <xdr:rowOff>309880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CxnSpPr/>
      </xdr:nvCxnSpPr>
      <xdr:spPr>
        <a:xfrm flipH="1" flipV="1">
          <a:off x="3480435" y="11282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61</xdr:row>
      <xdr:rowOff>400050</xdr:rowOff>
    </xdr:from>
    <xdr:to>
      <xdr:col>5</xdr:col>
      <xdr:colOff>1666875</xdr:colOff>
      <xdr:row>61</xdr:row>
      <xdr:rowOff>400050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CxnSpPr/>
      </xdr:nvCxnSpPr>
      <xdr:spPr>
        <a:xfrm>
          <a:off x="3476625" y="11334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61</xdr:row>
      <xdr:rowOff>127000</xdr:rowOff>
    </xdr:from>
    <xdr:to>
      <xdr:col>5</xdr:col>
      <xdr:colOff>356810</xdr:colOff>
      <xdr:row>61</xdr:row>
      <xdr:rowOff>409912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CxnSpPr/>
      </xdr:nvCxnSpPr>
      <xdr:spPr>
        <a:xfrm flipH="1" flipV="1">
          <a:off x="3481009" y="11282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61</xdr:row>
      <xdr:rowOff>134252</xdr:rowOff>
    </xdr:from>
    <xdr:to>
      <xdr:col>5</xdr:col>
      <xdr:colOff>1652211</xdr:colOff>
      <xdr:row>61</xdr:row>
      <xdr:rowOff>417164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CxnSpPr/>
      </xdr:nvCxnSpPr>
      <xdr:spPr>
        <a:xfrm flipH="1" flipV="1">
          <a:off x="3747710" y="11289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63</xdr:row>
      <xdr:rowOff>127000</xdr:rowOff>
    </xdr:from>
    <xdr:to>
      <xdr:col>5</xdr:col>
      <xdr:colOff>356235</xdr:colOff>
      <xdr:row>63</xdr:row>
      <xdr:rowOff>309880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CxnSpPr/>
      </xdr:nvCxnSpPr>
      <xdr:spPr>
        <a:xfrm flipH="1" flipV="1">
          <a:off x="3480435" y="11648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63</xdr:row>
      <xdr:rowOff>152400</xdr:rowOff>
    </xdr:from>
    <xdr:to>
      <xdr:col>5</xdr:col>
      <xdr:colOff>1676400</xdr:colOff>
      <xdr:row>63</xdr:row>
      <xdr:rowOff>152400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CxnSpPr/>
      </xdr:nvCxnSpPr>
      <xdr:spPr>
        <a:xfrm>
          <a:off x="3486150" y="11673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63</xdr:row>
      <xdr:rowOff>127000</xdr:rowOff>
    </xdr:from>
    <xdr:to>
      <xdr:col>5</xdr:col>
      <xdr:colOff>356810</xdr:colOff>
      <xdr:row>63</xdr:row>
      <xdr:rowOff>409912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CxnSpPr/>
      </xdr:nvCxnSpPr>
      <xdr:spPr>
        <a:xfrm flipH="1" flipV="1">
          <a:off x="3481009" y="11648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63</xdr:row>
      <xdr:rowOff>134252</xdr:rowOff>
    </xdr:from>
    <xdr:to>
      <xdr:col>5</xdr:col>
      <xdr:colOff>1652211</xdr:colOff>
      <xdr:row>63</xdr:row>
      <xdr:rowOff>417164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CxnSpPr/>
      </xdr:nvCxnSpPr>
      <xdr:spPr>
        <a:xfrm flipH="1" flipV="1">
          <a:off x="3747710" y="11655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64</xdr:row>
      <xdr:rowOff>123824</xdr:rowOff>
    </xdr:from>
    <xdr:to>
      <xdr:col>5</xdr:col>
      <xdr:colOff>1428750</xdr:colOff>
      <xdr:row>64</xdr:row>
      <xdr:rowOff>1219199</xdr:rowOff>
    </xdr:to>
    <xdr:sp macro="" textlink="">
      <xdr:nvSpPr>
        <xdr:cNvPr id="112" name="Rounded Rectangle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/>
      </xdr:nvSpPr>
      <xdr:spPr>
        <a:xfrm>
          <a:off x="3745230" y="11828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64</xdr:row>
      <xdr:rowOff>238127</xdr:rowOff>
    </xdr:from>
    <xdr:to>
      <xdr:col>5</xdr:col>
      <xdr:colOff>790575</xdr:colOff>
      <xdr:row>64</xdr:row>
      <xdr:rowOff>361950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CxnSpPr/>
      </xdr:nvCxnSpPr>
      <xdr:spPr>
        <a:xfrm flipH="1" flipV="1">
          <a:off x="3749041" y="11889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64</xdr:row>
      <xdr:rowOff>133352</xdr:rowOff>
    </xdr:from>
    <xdr:to>
      <xdr:col>5</xdr:col>
      <xdr:colOff>885825</xdr:colOff>
      <xdr:row>64</xdr:row>
      <xdr:rowOff>257175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CxnSpPr/>
      </xdr:nvCxnSpPr>
      <xdr:spPr>
        <a:xfrm flipH="1" flipV="1">
          <a:off x="3745231" y="11837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62</xdr:row>
      <xdr:rowOff>190500</xdr:rowOff>
    </xdr:from>
    <xdr:to>
      <xdr:col>5</xdr:col>
      <xdr:colOff>1628775</xdr:colOff>
      <xdr:row>62</xdr:row>
      <xdr:rowOff>190500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CxnSpPr/>
      </xdr:nvCxnSpPr>
      <xdr:spPr>
        <a:xfrm>
          <a:off x="3438525" y="1152144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68</xdr:row>
      <xdr:rowOff>127000</xdr:rowOff>
    </xdr:from>
    <xdr:to>
      <xdr:col>5</xdr:col>
      <xdr:colOff>356235</xdr:colOff>
      <xdr:row>68</xdr:row>
      <xdr:rowOff>309880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CxnSpPr/>
      </xdr:nvCxnSpPr>
      <xdr:spPr>
        <a:xfrm flipH="1" flipV="1">
          <a:off x="3480435" y="12562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68</xdr:row>
      <xdr:rowOff>400050</xdr:rowOff>
    </xdr:from>
    <xdr:to>
      <xdr:col>5</xdr:col>
      <xdr:colOff>1666875</xdr:colOff>
      <xdr:row>68</xdr:row>
      <xdr:rowOff>400050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CxnSpPr/>
      </xdr:nvCxnSpPr>
      <xdr:spPr>
        <a:xfrm>
          <a:off x="3476625" y="12614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68</xdr:row>
      <xdr:rowOff>127000</xdr:rowOff>
    </xdr:from>
    <xdr:to>
      <xdr:col>5</xdr:col>
      <xdr:colOff>356810</xdr:colOff>
      <xdr:row>68</xdr:row>
      <xdr:rowOff>409912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CxnSpPr/>
      </xdr:nvCxnSpPr>
      <xdr:spPr>
        <a:xfrm flipH="1" flipV="1">
          <a:off x="3481009" y="12562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68</xdr:row>
      <xdr:rowOff>134252</xdr:rowOff>
    </xdr:from>
    <xdr:to>
      <xdr:col>5</xdr:col>
      <xdr:colOff>1652211</xdr:colOff>
      <xdr:row>68</xdr:row>
      <xdr:rowOff>417164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CxnSpPr/>
      </xdr:nvCxnSpPr>
      <xdr:spPr>
        <a:xfrm flipH="1" flipV="1">
          <a:off x="3747710" y="12570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69</xdr:row>
      <xdr:rowOff>127000</xdr:rowOff>
    </xdr:from>
    <xdr:to>
      <xdr:col>5</xdr:col>
      <xdr:colOff>356235</xdr:colOff>
      <xdr:row>69</xdr:row>
      <xdr:rowOff>309880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CxnSpPr/>
      </xdr:nvCxnSpPr>
      <xdr:spPr>
        <a:xfrm flipH="1" flipV="1">
          <a:off x="3480435" y="12745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69</xdr:row>
      <xdr:rowOff>152400</xdr:rowOff>
    </xdr:from>
    <xdr:to>
      <xdr:col>5</xdr:col>
      <xdr:colOff>1676400</xdr:colOff>
      <xdr:row>69</xdr:row>
      <xdr:rowOff>152400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CxnSpPr/>
      </xdr:nvCxnSpPr>
      <xdr:spPr>
        <a:xfrm>
          <a:off x="3486150" y="12771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69</xdr:row>
      <xdr:rowOff>127000</xdr:rowOff>
    </xdr:from>
    <xdr:to>
      <xdr:col>5</xdr:col>
      <xdr:colOff>356810</xdr:colOff>
      <xdr:row>69</xdr:row>
      <xdr:rowOff>409912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CxnSpPr/>
      </xdr:nvCxnSpPr>
      <xdr:spPr>
        <a:xfrm flipH="1" flipV="1">
          <a:off x="3481009" y="12745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69</xdr:row>
      <xdr:rowOff>134252</xdr:rowOff>
    </xdr:from>
    <xdr:to>
      <xdr:col>5</xdr:col>
      <xdr:colOff>1652211</xdr:colOff>
      <xdr:row>69</xdr:row>
      <xdr:rowOff>417164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CxnSpPr/>
      </xdr:nvCxnSpPr>
      <xdr:spPr>
        <a:xfrm flipH="1" flipV="1">
          <a:off x="3747710" y="12752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70</xdr:row>
      <xdr:rowOff>123824</xdr:rowOff>
    </xdr:from>
    <xdr:to>
      <xdr:col>5</xdr:col>
      <xdr:colOff>1428750</xdr:colOff>
      <xdr:row>70</xdr:row>
      <xdr:rowOff>1219199</xdr:rowOff>
    </xdr:to>
    <xdr:sp macro="" textlink="">
      <xdr:nvSpPr>
        <xdr:cNvPr id="124" name="Rounded Rectangle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/>
      </xdr:nvSpPr>
      <xdr:spPr>
        <a:xfrm>
          <a:off x="3745230" y="12925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70</xdr:row>
      <xdr:rowOff>238127</xdr:rowOff>
    </xdr:from>
    <xdr:to>
      <xdr:col>5</xdr:col>
      <xdr:colOff>790575</xdr:colOff>
      <xdr:row>70</xdr:row>
      <xdr:rowOff>361950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CxnSpPr/>
      </xdr:nvCxnSpPr>
      <xdr:spPr>
        <a:xfrm flipH="1" flipV="1">
          <a:off x="3749041" y="12986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70</xdr:row>
      <xdr:rowOff>133352</xdr:rowOff>
    </xdr:from>
    <xdr:to>
      <xdr:col>5</xdr:col>
      <xdr:colOff>885825</xdr:colOff>
      <xdr:row>70</xdr:row>
      <xdr:rowOff>257175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CxnSpPr/>
      </xdr:nvCxnSpPr>
      <xdr:spPr>
        <a:xfrm flipH="1" flipV="1">
          <a:off x="3745231" y="12934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68</xdr:row>
      <xdr:rowOff>127000</xdr:rowOff>
    </xdr:from>
    <xdr:to>
      <xdr:col>5</xdr:col>
      <xdr:colOff>356235</xdr:colOff>
      <xdr:row>68</xdr:row>
      <xdr:rowOff>309880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CxnSpPr/>
      </xdr:nvCxnSpPr>
      <xdr:spPr>
        <a:xfrm flipH="1" flipV="1">
          <a:off x="3480435" y="12562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68</xdr:row>
      <xdr:rowOff>400050</xdr:rowOff>
    </xdr:from>
    <xdr:to>
      <xdr:col>5</xdr:col>
      <xdr:colOff>1666875</xdr:colOff>
      <xdr:row>68</xdr:row>
      <xdr:rowOff>400050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CxnSpPr/>
      </xdr:nvCxnSpPr>
      <xdr:spPr>
        <a:xfrm>
          <a:off x="3476625" y="12614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68</xdr:row>
      <xdr:rowOff>127000</xdr:rowOff>
    </xdr:from>
    <xdr:to>
      <xdr:col>5</xdr:col>
      <xdr:colOff>356810</xdr:colOff>
      <xdr:row>68</xdr:row>
      <xdr:rowOff>409912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CxnSpPr/>
      </xdr:nvCxnSpPr>
      <xdr:spPr>
        <a:xfrm flipH="1" flipV="1">
          <a:off x="3481009" y="12562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68</xdr:row>
      <xdr:rowOff>134252</xdr:rowOff>
    </xdr:from>
    <xdr:to>
      <xdr:col>5</xdr:col>
      <xdr:colOff>1652211</xdr:colOff>
      <xdr:row>68</xdr:row>
      <xdr:rowOff>417164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CxnSpPr/>
      </xdr:nvCxnSpPr>
      <xdr:spPr>
        <a:xfrm flipH="1" flipV="1">
          <a:off x="3747710" y="12570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69</xdr:row>
      <xdr:rowOff>127000</xdr:rowOff>
    </xdr:from>
    <xdr:to>
      <xdr:col>5</xdr:col>
      <xdr:colOff>356235</xdr:colOff>
      <xdr:row>69</xdr:row>
      <xdr:rowOff>309880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CxnSpPr/>
      </xdr:nvCxnSpPr>
      <xdr:spPr>
        <a:xfrm flipH="1" flipV="1">
          <a:off x="3480435" y="12745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69</xdr:row>
      <xdr:rowOff>152400</xdr:rowOff>
    </xdr:from>
    <xdr:to>
      <xdr:col>5</xdr:col>
      <xdr:colOff>1676400</xdr:colOff>
      <xdr:row>69</xdr:row>
      <xdr:rowOff>152400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CxnSpPr/>
      </xdr:nvCxnSpPr>
      <xdr:spPr>
        <a:xfrm>
          <a:off x="3486150" y="12771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69</xdr:row>
      <xdr:rowOff>127000</xdr:rowOff>
    </xdr:from>
    <xdr:to>
      <xdr:col>5</xdr:col>
      <xdr:colOff>356810</xdr:colOff>
      <xdr:row>69</xdr:row>
      <xdr:rowOff>409912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CxnSpPr/>
      </xdr:nvCxnSpPr>
      <xdr:spPr>
        <a:xfrm flipH="1" flipV="1">
          <a:off x="3481009" y="12745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69</xdr:row>
      <xdr:rowOff>134252</xdr:rowOff>
    </xdr:from>
    <xdr:to>
      <xdr:col>5</xdr:col>
      <xdr:colOff>1652211</xdr:colOff>
      <xdr:row>69</xdr:row>
      <xdr:rowOff>417164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CxnSpPr/>
      </xdr:nvCxnSpPr>
      <xdr:spPr>
        <a:xfrm flipH="1" flipV="1">
          <a:off x="3747710" y="12752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70</xdr:row>
      <xdr:rowOff>123824</xdr:rowOff>
    </xdr:from>
    <xdr:to>
      <xdr:col>5</xdr:col>
      <xdr:colOff>1428750</xdr:colOff>
      <xdr:row>70</xdr:row>
      <xdr:rowOff>1219199</xdr:rowOff>
    </xdr:to>
    <xdr:sp macro="" textlink="">
      <xdr:nvSpPr>
        <xdr:cNvPr id="135" name="Rounded Rectangle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/>
      </xdr:nvSpPr>
      <xdr:spPr>
        <a:xfrm>
          <a:off x="3745230" y="12925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70</xdr:row>
      <xdr:rowOff>238127</xdr:rowOff>
    </xdr:from>
    <xdr:to>
      <xdr:col>5</xdr:col>
      <xdr:colOff>790575</xdr:colOff>
      <xdr:row>70</xdr:row>
      <xdr:rowOff>361950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CxnSpPr/>
      </xdr:nvCxnSpPr>
      <xdr:spPr>
        <a:xfrm flipH="1" flipV="1">
          <a:off x="3749041" y="12986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70</xdr:row>
      <xdr:rowOff>133352</xdr:rowOff>
    </xdr:from>
    <xdr:to>
      <xdr:col>5</xdr:col>
      <xdr:colOff>885825</xdr:colOff>
      <xdr:row>70</xdr:row>
      <xdr:rowOff>257175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CxnSpPr/>
      </xdr:nvCxnSpPr>
      <xdr:spPr>
        <a:xfrm flipH="1" flipV="1">
          <a:off x="3745231" y="12934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74</xdr:row>
      <xdr:rowOff>127000</xdr:rowOff>
    </xdr:from>
    <xdr:to>
      <xdr:col>5</xdr:col>
      <xdr:colOff>356235</xdr:colOff>
      <xdr:row>74</xdr:row>
      <xdr:rowOff>309880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CxnSpPr/>
      </xdr:nvCxnSpPr>
      <xdr:spPr>
        <a:xfrm flipH="1" flipV="1">
          <a:off x="3480435" y="13660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74</xdr:row>
      <xdr:rowOff>400050</xdr:rowOff>
    </xdr:from>
    <xdr:to>
      <xdr:col>5</xdr:col>
      <xdr:colOff>1666875</xdr:colOff>
      <xdr:row>74</xdr:row>
      <xdr:rowOff>400050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CxnSpPr/>
      </xdr:nvCxnSpPr>
      <xdr:spPr>
        <a:xfrm>
          <a:off x="3476625" y="13712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74</xdr:row>
      <xdr:rowOff>127000</xdr:rowOff>
    </xdr:from>
    <xdr:to>
      <xdr:col>5</xdr:col>
      <xdr:colOff>356810</xdr:colOff>
      <xdr:row>74</xdr:row>
      <xdr:rowOff>409912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CxnSpPr/>
      </xdr:nvCxnSpPr>
      <xdr:spPr>
        <a:xfrm flipH="1" flipV="1">
          <a:off x="3481009" y="13660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74</xdr:row>
      <xdr:rowOff>134252</xdr:rowOff>
    </xdr:from>
    <xdr:to>
      <xdr:col>5</xdr:col>
      <xdr:colOff>1652211</xdr:colOff>
      <xdr:row>74</xdr:row>
      <xdr:rowOff>417164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CxnSpPr/>
      </xdr:nvCxnSpPr>
      <xdr:spPr>
        <a:xfrm flipH="1" flipV="1">
          <a:off x="3747710" y="13667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75</xdr:row>
      <xdr:rowOff>127000</xdr:rowOff>
    </xdr:from>
    <xdr:to>
      <xdr:col>5</xdr:col>
      <xdr:colOff>356235</xdr:colOff>
      <xdr:row>75</xdr:row>
      <xdr:rowOff>309880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CxnSpPr/>
      </xdr:nvCxnSpPr>
      <xdr:spPr>
        <a:xfrm flipH="1" flipV="1">
          <a:off x="3480435" y="1384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75</xdr:row>
      <xdr:rowOff>152400</xdr:rowOff>
    </xdr:from>
    <xdr:to>
      <xdr:col>5</xdr:col>
      <xdr:colOff>1676400</xdr:colOff>
      <xdr:row>75</xdr:row>
      <xdr:rowOff>152400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CxnSpPr/>
      </xdr:nvCxnSpPr>
      <xdr:spPr>
        <a:xfrm>
          <a:off x="3486150" y="13868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75</xdr:row>
      <xdr:rowOff>127000</xdr:rowOff>
    </xdr:from>
    <xdr:to>
      <xdr:col>5</xdr:col>
      <xdr:colOff>356810</xdr:colOff>
      <xdr:row>75</xdr:row>
      <xdr:rowOff>409912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CxnSpPr/>
      </xdr:nvCxnSpPr>
      <xdr:spPr>
        <a:xfrm flipH="1" flipV="1">
          <a:off x="3481009" y="1384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75</xdr:row>
      <xdr:rowOff>134252</xdr:rowOff>
    </xdr:from>
    <xdr:to>
      <xdr:col>5</xdr:col>
      <xdr:colOff>1652211</xdr:colOff>
      <xdr:row>75</xdr:row>
      <xdr:rowOff>417164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CxnSpPr/>
      </xdr:nvCxnSpPr>
      <xdr:spPr>
        <a:xfrm flipH="1" flipV="1">
          <a:off x="3747710" y="1385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76</xdr:row>
      <xdr:rowOff>123824</xdr:rowOff>
    </xdr:from>
    <xdr:to>
      <xdr:col>5</xdr:col>
      <xdr:colOff>1428750</xdr:colOff>
      <xdr:row>76</xdr:row>
      <xdr:rowOff>1219199</xdr:rowOff>
    </xdr:to>
    <xdr:sp macro="" textlink="">
      <xdr:nvSpPr>
        <xdr:cNvPr id="146" name="Rounded Rectangle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/>
      </xdr:nvSpPr>
      <xdr:spPr>
        <a:xfrm>
          <a:off x="3745230" y="14022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76</xdr:row>
      <xdr:rowOff>238127</xdr:rowOff>
    </xdr:from>
    <xdr:to>
      <xdr:col>5</xdr:col>
      <xdr:colOff>790575</xdr:colOff>
      <xdr:row>76</xdr:row>
      <xdr:rowOff>361950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CxnSpPr/>
      </xdr:nvCxnSpPr>
      <xdr:spPr>
        <a:xfrm flipH="1" flipV="1">
          <a:off x="3749041" y="14083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76</xdr:row>
      <xdr:rowOff>133352</xdr:rowOff>
    </xdr:from>
    <xdr:to>
      <xdr:col>5</xdr:col>
      <xdr:colOff>885825</xdr:colOff>
      <xdr:row>76</xdr:row>
      <xdr:rowOff>257175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CxnSpPr/>
      </xdr:nvCxnSpPr>
      <xdr:spPr>
        <a:xfrm flipH="1" flipV="1">
          <a:off x="3745231" y="14032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74</xdr:row>
      <xdr:rowOff>127000</xdr:rowOff>
    </xdr:from>
    <xdr:to>
      <xdr:col>5</xdr:col>
      <xdr:colOff>356235</xdr:colOff>
      <xdr:row>74</xdr:row>
      <xdr:rowOff>309880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CxnSpPr/>
      </xdr:nvCxnSpPr>
      <xdr:spPr>
        <a:xfrm flipH="1" flipV="1">
          <a:off x="3480435" y="13660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74</xdr:row>
      <xdr:rowOff>400050</xdr:rowOff>
    </xdr:from>
    <xdr:to>
      <xdr:col>5</xdr:col>
      <xdr:colOff>1666875</xdr:colOff>
      <xdr:row>74</xdr:row>
      <xdr:rowOff>400050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CxnSpPr/>
      </xdr:nvCxnSpPr>
      <xdr:spPr>
        <a:xfrm>
          <a:off x="3476625" y="13712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74</xdr:row>
      <xdr:rowOff>127000</xdr:rowOff>
    </xdr:from>
    <xdr:to>
      <xdr:col>5</xdr:col>
      <xdr:colOff>356810</xdr:colOff>
      <xdr:row>74</xdr:row>
      <xdr:rowOff>409912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CxnSpPr/>
      </xdr:nvCxnSpPr>
      <xdr:spPr>
        <a:xfrm flipH="1" flipV="1">
          <a:off x="3481009" y="13660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74</xdr:row>
      <xdr:rowOff>134252</xdr:rowOff>
    </xdr:from>
    <xdr:to>
      <xdr:col>5</xdr:col>
      <xdr:colOff>1652211</xdr:colOff>
      <xdr:row>74</xdr:row>
      <xdr:rowOff>417164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CxnSpPr/>
      </xdr:nvCxnSpPr>
      <xdr:spPr>
        <a:xfrm flipH="1" flipV="1">
          <a:off x="3747710" y="13667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75</xdr:row>
      <xdr:rowOff>127000</xdr:rowOff>
    </xdr:from>
    <xdr:to>
      <xdr:col>5</xdr:col>
      <xdr:colOff>356235</xdr:colOff>
      <xdr:row>75</xdr:row>
      <xdr:rowOff>309880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CxnSpPr/>
      </xdr:nvCxnSpPr>
      <xdr:spPr>
        <a:xfrm flipH="1" flipV="1">
          <a:off x="3480435" y="1384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75</xdr:row>
      <xdr:rowOff>152400</xdr:rowOff>
    </xdr:from>
    <xdr:to>
      <xdr:col>5</xdr:col>
      <xdr:colOff>1676400</xdr:colOff>
      <xdr:row>75</xdr:row>
      <xdr:rowOff>152400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CxnSpPr/>
      </xdr:nvCxnSpPr>
      <xdr:spPr>
        <a:xfrm>
          <a:off x="3486150" y="13868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75</xdr:row>
      <xdr:rowOff>127000</xdr:rowOff>
    </xdr:from>
    <xdr:to>
      <xdr:col>5</xdr:col>
      <xdr:colOff>356810</xdr:colOff>
      <xdr:row>75</xdr:row>
      <xdr:rowOff>409912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CxnSpPr/>
      </xdr:nvCxnSpPr>
      <xdr:spPr>
        <a:xfrm flipH="1" flipV="1">
          <a:off x="3481009" y="1384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75</xdr:row>
      <xdr:rowOff>134252</xdr:rowOff>
    </xdr:from>
    <xdr:to>
      <xdr:col>5</xdr:col>
      <xdr:colOff>1652211</xdr:colOff>
      <xdr:row>75</xdr:row>
      <xdr:rowOff>417164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CxnSpPr/>
      </xdr:nvCxnSpPr>
      <xdr:spPr>
        <a:xfrm flipH="1" flipV="1">
          <a:off x="3747710" y="1385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76</xdr:row>
      <xdr:rowOff>123824</xdr:rowOff>
    </xdr:from>
    <xdr:to>
      <xdr:col>5</xdr:col>
      <xdr:colOff>1428750</xdr:colOff>
      <xdr:row>76</xdr:row>
      <xdr:rowOff>1219199</xdr:rowOff>
    </xdr:to>
    <xdr:sp macro="" textlink="">
      <xdr:nvSpPr>
        <xdr:cNvPr id="157" name="Rounded Rectangle 156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/>
      </xdr:nvSpPr>
      <xdr:spPr>
        <a:xfrm>
          <a:off x="3745230" y="14022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76</xdr:row>
      <xdr:rowOff>238127</xdr:rowOff>
    </xdr:from>
    <xdr:to>
      <xdr:col>5</xdr:col>
      <xdr:colOff>790575</xdr:colOff>
      <xdr:row>76</xdr:row>
      <xdr:rowOff>361950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CxnSpPr/>
      </xdr:nvCxnSpPr>
      <xdr:spPr>
        <a:xfrm flipH="1" flipV="1">
          <a:off x="3749041" y="14083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76</xdr:row>
      <xdr:rowOff>133352</xdr:rowOff>
    </xdr:from>
    <xdr:to>
      <xdr:col>5</xdr:col>
      <xdr:colOff>885825</xdr:colOff>
      <xdr:row>76</xdr:row>
      <xdr:rowOff>257175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CxnSpPr/>
      </xdr:nvCxnSpPr>
      <xdr:spPr>
        <a:xfrm flipH="1" flipV="1">
          <a:off x="3745231" y="14032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74</xdr:row>
      <xdr:rowOff>127000</xdr:rowOff>
    </xdr:from>
    <xdr:to>
      <xdr:col>5</xdr:col>
      <xdr:colOff>356235</xdr:colOff>
      <xdr:row>74</xdr:row>
      <xdr:rowOff>309880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CxnSpPr/>
      </xdr:nvCxnSpPr>
      <xdr:spPr>
        <a:xfrm flipH="1" flipV="1">
          <a:off x="3480435" y="13660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74</xdr:row>
      <xdr:rowOff>400050</xdr:rowOff>
    </xdr:from>
    <xdr:to>
      <xdr:col>5</xdr:col>
      <xdr:colOff>1666875</xdr:colOff>
      <xdr:row>74</xdr:row>
      <xdr:rowOff>400050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CxnSpPr/>
      </xdr:nvCxnSpPr>
      <xdr:spPr>
        <a:xfrm>
          <a:off x="3476625" y="13712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74</xdr:row>
      <xdr:rowOff>127000</xdr:rowOff>
    </xdr:from>
    <xdr:to>
      <xdr:col>5</xdr:col>
      <xdr:colOff>356810</xdr:colOff>
      <xdr:row>74</xdr:row>
      <xdr:rowOff>409912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CxnSpPr/>
      </xdr:nvCxnSpPr>
      <xdr:spPr>
        <a:xfrm flipH="1" flipV="1">
          <a:off x="3481009" y="13660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74</xdr:row>
      <xdr:rowOff>134252</xdr:rowOff>
    </xdr:from>
    <xdr:to>
      <xdr:col>5</xdr:col>
      <xdr:colOff>1652211</xdr:colOff>
      <xdr:row>74</xdr:row>
      <xdr:rowOff>417164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CxnSpPr/>
      </xdr:nvCxnSpPr>
      <xdr:spPr>
        <a:xfrm flipH="1" flipV="1">
          <a:off x="3747710" y="13667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75</xdr:row>
      <xdr:rowOff>127000</xdr:rowOff>
    </xdr:from>
    <xdr:to>
      <xdr:col>5</xdr:col>
      <xdr:colOff>356235</xdr:colOff>
      <xdr:row>75</xdr:row>
      <xdr:rowOff>309880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CxnSpPr/>
      </xdr:nvCxnSpPr>
      <xdr:spPr>
        <a:xfrm flipH="1" flipV="1">
          <a:off x="3480435" y="1384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75</xdr:row>
      <xdr:rowOff>152400</xdr:rowOff>
    </xdr:from>
    <xdr:to>
      <xdr:col>5</xdr:col>
      <xdr:colOff>1676400</xdr:colOff>
      <xdr:row>75</xdr:row>
      <xdr:rowOff>152400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CxnSpPr/>
      </xdr:nvCxnSpPr>
      <xdr:spPr>
        <a:xfrm>
          <a:off x="3486150" y="13868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75</xdr:row>
      <xdr:rowOff>127000</xdr:rowOff>
    </xdr:from>
    <xdr:to>
      <xdr:col>5</xdr:col>
      <xdr:colOff>356810</xdr:colOff>
      <xdr:row>75</xdr:row>
      <xdr:rowOff>409912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CxnSpPr/>
      </xdr:nvCxnSpPr>
      <xdr:spPr>
        <a:xfrm flipH="1" flipV="1">
          <a:off x="3481009" y="1384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75</xdr:row>
      <xdr:rowOff>134252</xdr:rowOff>
    </xdr:from>
    <xdr:to>
      <xdr:col>5</xdr:col>
      <xdr:colOff>1652211</xdr:colOff>
      <xdr:row>75</xdr:row>
      <xdr:rowOff>417164</xdr:rowOff>
    </xdr:to>
    <xdr:cxnSp macro="">
      <xdr:nvCxnSpPr>
        <xdr:cNvPr id="167" name="Straight Connector 166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CxnSpPr/>
      </xdr:nvCxnSpPr>
      <xdr:spPr>
        <a:xfrm flipH="1" flipV="1">
          <a:off x="3747710" y="1385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76</xdr:row>
      <xdr:rowOff>123824</xdr:rowOff>
    </xdr:from>
    <xdr:to>
      <xdr:col>5</xdr:col>
      <xdr:colOff>1428750</xdr:colOff>
      <xdr:row>76</xdr:row>
      <xdr:rowOff>1219199</xdr:rowOff>
    </xdr:to>
    <xdr:sp macro="" textlink="">
      <xdr:nvSpPr>
        <xdr:cNvPr id="168" name="Rounded Rectangle 167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/>
      </xdr:nvSpPr>
      <xdr:spPr>
        <a:xfrm>
          <a:off x="3745230" y="14022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76</xdr:row>
      <xdr:rowOff>238127</xdr:rowOff>
    </xdr:from>
    <xdr:to>
      <xdr:col>5</xdr:col>
      <xdr:colOff>790575</xdr:colOff>
      <xdr:row>76</xdr:row>
      <xdr:rowOff>361950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CxnSpPr/>
      </xdr:nvCxnSpPr>
      <xdr:spPr>
        <a:xfrm flipH="1" flipV="1">
          <a:off x="3749041" y="14083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76</xdr:row>
      <xdr:rowOff>133352</xdr:rowOff>
    </xdr:from>
    <xdr:to>
      <xdr:col>5</xdr:col>
      <xdr:colOff>885825</xdr:colOff>
      <xdr:row>76</xdr:row>
      <xdr:rowOff>257175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CxnSpPr/>
      </xdr:nvCxnSpPr>
      <xdr:spPr>
        <a:xfrm flipH="1" flipV="1">
          <a:off x="3745231" y="14032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80</xdr:row>
      <xdr:rowOff>127000</xdr:rowOff>
    </xdr:from>
    <xdr:to>
      <xdr:col>5</xdr:col>
      <xdr:colOff>356235</xdr:colOff>
      <xdr:row>80</xdr:row>
      <xdr:rowOff>309880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CxnSpPr/>
      </xdr:nvCxnSpPr>
      <xdr:spPr>
        <a:xfrm flipH="1" flipV="1">
          <a:off x="3480435" y="14757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80</xdr:row>
      <xdr:rowOff>400050</xdr:rowOff>
    </xdr:from>
    <xdr:to>
      <xdr:col>5</xdr:col>
      <xdr:colOff>1666875</xdr:colOff>
      <xdr:row>80</xdr:row>
      <xdr:rowOff>400050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CxnSpPr/>
      </xdr:nvCxnSpPr>
      <xdr:spPr>
        <a:xfrm>
          <a:off x="3476625" y="14809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80</xdr:row>
      <xdr:rowOff>127000</xdr:rowOff>
    </xdr:from>
    <xdr:to>
      <xdr:col>5</xdr:col>
      <xdr:colOff>356810</xdr:colOff>
      <xdr:row>80</xdr:row>
      <xdr:rowOff>409912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CxnSpPr/>
      </xdr:nvCxnSpPr>
      <xdr:spPr>
        <a:xfrm flipH="1" flipV="1">
          <a:off x="3481009" y="14757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80</xdr:row>
      <xdr:rowOff>134252</xdr:rowOff>
    </xdr:from>
    <xdr:to>
      <xdr:col>5</xdr:col>
      <xdr:colOff>1652211</xdr:colOff>
      <xdr:row>80</xdr:row>
      <xdr:rowOff>417164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CxnSpPr/>
      </xdr:nvCxnSpPr>
      <xdr:spPr>
        <a:xfrm flipH="1" flipV="1">
          <a:off x="3747710" y="14764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81</xdr:row>
      <xdr:rowOff>127000</xdr:rowOff>
    </xdr:from>
    <xdr:to>
      <xdr:col>5</xdr:col>
      <xdr:colOff>356235</xdr:colOff>
      <xdr:row>81</xdr:row>
      <xdr:rowOff>309880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CxnSpPr/>
      </xdr:nvCxnSpPr>
      <xdr:spPr>
        <a:xfrm flipH="1" flipV="1">
          <a:off x="3480435" y="1494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81</xdr:row>
      <xdr:rowOff>152400</xdr:rowOff>
    </xdr:from>
    <xdr:to>
      <xdr:col>5</xdr:col>
      <xdr:colOff>1676400</xdr:colOff>
      <xdr:row>81</xdr:row>
      <xdr:rowOff>152400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CxnSpPr/>
      </xdr:nvCxnSpPr>
      <xdr:spPr>
        <a:xfrm>
          <a:off x="3486150" y="14965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81</xdr:row>
      <xdr:rowOff>127000</xdr:rowOff>
    </xdr:from>
    <xdr:to>
      <xdr:col>5</xdr:col>
      <xdr:colOff>356810</xdr:colOff>
      <xdr:row>81</xdr:row>
      <xdr:rowOff>409912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CxnSpPr/>
      </xdr:nvCxnSpPr>
      <xdr:spPr>
        <a:xfrm flipH="1" flipV="1">
          <a:off x="3481009" y="1494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81</xdr:row>
      <xdr:rowOff>134252</xdr:rowOff>
    </xdr:from>
    <xdr:to>
      <xdr:col>5</xdr:col>
      <xdr:colOff>1652211</xdr:colOff>
      <xdr:row>81</xdr:row>
      <xdr:rowOff>417164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CxnSpPr/>
      </xdr:nvCxnSpPr>
      <xdr:spPr>
        <a:xfrm flipH="1" flipV="1">
          <a:off x="3747710" y="1494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82</xdr:row>
      <xdr:rowOff>123824</xdr:rowOff>
    </xdr:from>
    <xdr:to>
      <xdr:col>5</xdr:col>
      <xdr:colOff>1428750</xdr:colOff>
      <xdr:row>82</xdr:row>
      <xdr:rowOff>1219199</xdr:rowOff>
    </xdr:to>
    <xdr:sp macro="" textlink="">
      <xdr:nvSpPr>
        <xdr:cNvPr id="179" name="Rounded Rectangle 178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/>
      </xdr:nvSpPr>
      <xdr:spPr>
        <a:xfrm>
          <a:off x="3745230" y="15119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82</xdr:row>
      <xdr:rowOff>238127</xdr:rowOff>
    </xdr:from>
    <xdr:to>
      <xdr:col>5</xdr:col>
      <xdr:colOff>790575</xdr:colOff>
      <xdr:row>82</xdr:row>
      <xdr:rowOff>361950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CxnSpPr/>
      </xdr:nvCxnSpPr>
      <xdr:spPr>
        <a:xfrm flipH="1" flipV="1">
          <a:off x="3749041" y="15180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82</xdr:row>
      <xdr:rowOff>133352</xdr:rowOff>
    </xdr:from>
    <xdr:to>
      <xdr:col>5</xdr:col>
      <xdr:colOff>885825</xdr:colOff>
      <xdr:row>82</xdr:row>
      <xdr:rowOff>257175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CxnSpPr/>
      </xdr:nvCxnSpPr>
      <xdr:spPr>
        <a:xfrm flipH="1" flipV="1">
          <a:off x="3745231" y="15129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80</xdr:row>
      <xdr:rowOff>127000</xdr:rowOff>
    </xdr:from>
    <xdr:to>
      <xdr:col>5</xdr:col>
      <xdr:colOff>356235</xdr:colOff>
      <xdr:row>80</xdr:row>
      <xdr:rowOff>309880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CxnSpPr/>
      </xdr:nvCxnSpPr>
      <xdr:spPr>
        <a:xfrm flipH="1" flipV="1">
          <a:off x="3480435" y="14757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80</xdr:row>
      <xdr:rowOff>400050</xdr:rowOff>
    </xdr:from>
    <xdr:to>
      <xdr:col>5</xdr:col>
      <xdr:colOff>1666875</xdr:colOff>
      <xdr:row>80</xdr:row>
      <xdr:rowOff>400050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CxnSpPr/>
      </xdr:nvCxnSpPr>
      <xdr:spPr>
        <a:xfrm>
          <a:off x="3476625" y="14809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80</xdr:row>
      <xdr:rowOff>127000</xdr:rowOff>
    </xdr:from>
    <xdr:to>
      <xdr:col>5</xdr:col>
      <xdr:colOff>356810</xdr:colOff>
      <xdr:row>80</xdr:row>
      <xdr:rowOff>409912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CxnSpPr/>
      </xdr:nvCxnSpPr>
      <xdr:spPr>
        <a:xfrm flipH="1" flipV="1">
          <a:off x="3481009" y="14757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80</xdr:row>
      <xdr:rowOff>134252</xdr:rowOff>
    </xdr:from>
    <xdr:to>
      <xdr:col>5</xdr:col>
      <xdr:colOff>1652211</xdr:colOff>
      <xdr:row>80</xdr:row>
      <xdr:rowOff>417164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CxnSpPr/>
      </xdr:nvCxnSpPr>
      <xdr:spPr>
        <a:xfrm flipH="1" flipV="1">
          <a:off x="3747710" y="14764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81</xdr:row>
      <xdr:rowOff>127000</xdr:rowOff>
    </xdr:from>
    <xdr:to>
      <xdr:col>5</xdr:col>
      <xdr:colOff>356235</xdr:colOff>
      <xdr:row>81</xdr:row>
      <xdr:rowOff>309880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CxnSpPr/>
      </xdr:nvCxnSpPr>
      <xdr:spPr>
        <a:xfrm flipH="1" flipV="1">
          <a:off x="3480435" y="1494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81</xdr:row>
      <xdr:rowOff>152400</xdr:rowOff>
    </xdr:from>
    <xdr:to>
      <xdr:col>5</xdr:col>
      <xdr:colOff>1676400</xdr:colOff>
      <xdr:row>81</xdr:row>
      <xdr:rowOff>152400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CxnSpPr/>
      </xdr:nvCxnSpPr>
      <xdr:spPr>
        <a:xfrm>
          <a:off x="3486150" y="14965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81</xdr:row>
      <xdr:rowOff>127000</xdr:rowOff>
    </xdr:from>
    <xdr:to>
      <xdr:col>5</xdr:col>
      <xdr:colOff>356810</xdr:colOff>
      <xdr:row>81</xdr:row>
      <xdr:rowOff>409912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CxnSpPr/>
      </xdr:nvCxnSpPr>
      <xdr:spPr>
        <a:xfrm flipH="1" flipV="1">
          <a:off x="3481009" y="1494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81</xdr:row>
      <xdr:rowOff>134252</xdr:rowOff>
    </xdr:from>
    <xdr:to>
      <xdr:col>5</xdr:col>
      <xdr:colOff>1652211</xdr:colOff>
      <xdr:row>81</xdr:row>
      <xdr:rowOff>417164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CxnSpPr/>
      </xdr:nvCxnSpPr>
      <xdr:spPr>
        <a:xfrm flipH="1" flipV="1">
          <a:off x="3747710" y="1494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82</xdr:row>
      <xdr:rowOff>123824</xdr:rowOff>
    </xdr:from>
    <xdr:to>
      <xdr:col>5</xdr:col>
      <xdr:colOff>1428750</xdr:colOff>
      <xdr:row>82</xdr:row>
      <xdr:rowOff>1219199</xdr:rowOff>
    </xdr:to>
    <xdr:sp macro="" textlink="">
      <xdr:nvSpPr>
        <xdr:cNvPr id="190" name="Rounded Rectangle 189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/>
      </xdr:nvSpPr>
      <xdr:spPr>
        <a:xfrm>
          <a:off x="3745230" y="15119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82</xdr:row>
      <xdr:rowOff>238127</xdr:rowOff>
    </xdr:from>
    <xdr:to>
      <xdr:col>5</xdr:col>
      <xdr:colOff>790575</xdr:colOff>
      <xdr:row>82</xdr:row>
      <xdr:rowOff>361950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CxnSpPr/>
      </xdr:nvCxnSpPr>
      <xdr:spPr>
        <a:xfrm flipH="1" flipV="1">
          <a:off x="3749041" y="15180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82</xdr:row>
      <xdr:rowOff>133352</xdr:rowOff>
    </xdr:from>
    <xdr:to>
      <xdr:col>5</xdr:col>
      <xdr:colOff>885825</xdr:colOff>
      <xdr:row>82</xdr:row>
      <xdr:rowOff>257175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CxnSpPr/>
      </xdr:nvCxnSpPr>
      <xdr:spPr>
        <a:xfrm flipH="1" flipV="1">
          <a:off x="3745231" y="15129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80</xdr:row>
      <xdr:rowOff>127000</xdr:rowOff>
    </xdr:from>
    <xdr:to>
      <xdr:col>5</xdr:col>
      <xdr:colOff>356235</xdr:colOff>
      <xdr:row>80</xdr:row>
      <xdr:rowOff>309880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CxnSpPr/>
      </xdr:nvCxnSpPr>
      <xdr:spPr>
        <a:xfrm flipH="1" flipV="1">
          <a:off x="3480435" y="14757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80</xdr:row>
      <xdr:rowOff>400050</xdr:rowOff>
    </xdr:from>
    <xdr:to>
      <xdr:col>5</xdr:col>
      <xdr:colOff>1666875</xdr:colOff>
      <xdr:row>80</xdr:row>
      <xdr:rowOff>400050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CxnSpPr/>
      </xdr:nvCxnSpPr>
      <xdr:spPr>
        <a:xfrm>
          <a:off x="3476625" y="14809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80</xdr:row>
      <xdr:rowOff>127000</xdr:rowOff>
    </xdr:from>
    <xdr:to>
      <xdr:col>5</xdr:col>
      <xdr:colOff>356810</xdr:colOff>
      <xdr:row>80</xdr:row>
      <xdr:rowOff>409912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CxnSpPr/>
      </xdr:nvCxnSpPr>
      <xdr:spPr>
        <a:xfrm flipH="1" flipV="1">
          <a:off x="3481009" y="14757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80</xdr:row>
      <xdr:rowOff>134252</xdr:rowOff>
    </xdr:from>
    <xdr:to>
      <xdr:col>5</xdr:col>
      <xdr:colOff>1652211</xdr:colOff>
      <xdr:row>80</xdr:row>
      <xdr:rowOff>417164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CxnSpPr/>
      </xdr:nvCxnSpPr>
      <xdr:spPr>
        <a:xfrm flipH="1" flipV="1">
          <a:off x="3747710" y="14764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81</xdr:row>
      <xdr:rowOff>127000</xdr:rowOff>
    </xdr:from>
    <xdr:to>
      <xdr:col>5</xdr:col>
      <xdr:colOff>356235</xdr:colOff>
      <xdr:row>81</xdr:row>
      <xdr:rowOff>309880</xdr:rowOff>
    </xdr:to>
    <xdr:cxnSp macro="">
      <xdr:nvCxnSpPr>
        <xdr:cNvPr id="197" name="Straight Connector 196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CxnSpPr/>
      </xdr:nvCxnSpPr>
      <xdr:spPr>
        <a:xfrm flipH="1" flipV="1">
          <a:off x="3480435" y="1494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81</xdr:row>
      <xdr:rowOff>152400</xdr:rowOff>
    </xdr:from>
    <xdr:to>
      <xdr:col>5</xdr:col>
      <xdr:colOff>1676400</xdr:colOff>
      <xdr:row>81</xdr:row>
      <xdr:rowOff>152400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CxnSpPr/>
      </xdr:nvCxnSpPr>
      <xdr:spPr>
        <a:xfrm>
          <a:off x="3486150" y="14965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81</xdr:row>
      <xdr:rowOff>127000</xdr:rowOff>
    </xdr:from>
    <xdr:to>
      <xdr:col>5</xdr:col>
      <xdr:colOff>356810</xdr:colOff>
      <xdr:row>81</xdr:row>
      <xdr:rowOff>409912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CxnSpPr/>
      </xdr:nvCxnSpPr>
      <xdr:spPr>
        <a:xfrm flipH="1" flipV="1">
          <a:off x="3481009" y="1494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81</xdr:row>
      <xdr:rowOff>134252</xdr:rowOff>
    </xdr:from>
    <xdr:to>
      <xdr:col>5</xdr:col>
      <xdr:colOff>1652211</xdr:colOff>
      <xdr:row>81</xdr:row>
      <xdr:rowOff>417164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CxnSpPr/>
      </xdr:nvCxnSpPr>
      <xdr:spPr>
        <a:xfrm flipH="1" flipV="1">
          <a:off x="3747710" y="1494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82</xdr:row>
      <xdr:rowOff>123824</xdr:rowOff>
    </xdr:from>
    <xdr:to>
      <xdr:col>5</xdr:col>
      <xdr:colOff>1428750</xdr:colOff>
      <xdr:row>82</xdr:row>
      <xdr:rowOff>1219199</xdr:rowOff>
    </xdr:to>
    <xdr:sp macro="" textlink="">
      <xdr:nvSpPr>
        <xdr:cNvPr id="201" name="Rounded Rectangle 200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/>
      </xdr:nvSpPr>
      <xdr:spPr>
        <a:xfrm>
          <a:off x="3745230" y="15119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82</xdr:row>
      <xdr:rowOff>238127</xdr:rowOff>
    </xdr:from>
    <xdr:to>
      <xdr:col>5</xdr:col>
      <xdr:colOff>790575</xdr:colOff>
      <xdr:row>82</xdr:row>
      <xdr:rowOff>361950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CxnSpPr/>
      </xdr:nvCxnSpPr>
      <xdr:spPr>
        <a:xfrm flipH="1" flipV="1">
          <a:off x="3749041" y="15180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82</xdr:row>
      <xdr:rowOff>133352</xdr:rowOff>
    </xdr:from>
    <xdr:to>
      <xdr:col>5</xdr:col>
      <xdr:colOff>885825</xdr:colOff>
      <xdr:row>82</xdr:row>
      <xdr:rowOff>257175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CxnSpPr/>
      </xdr:nvCxnSpPr>
      <xdr:spPr>
        <a:xfrm flipH="1" flipV="1">
          <a:off x="3745231" y="15129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80</xdr:row>
      <xdr:rowOff>127000</xdr:rowOff>
    </xdr:from>
    <xdr:to>
      <xdr:col>5</xdr:col>
      <xdr:colOff>356235</xdr:colOff>
      <xdr:row>80</xdr:row>
      <xdr:rowOff>309880</xdr:rowOff>
    </xdr:to>
    <xdr:cxnSp macro="">
      <xdr:nvCxnSpPr>
        <xdr:cNvPr id="204" name="Straight Connector 203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CxnSpPr/>
      </xdr:nvCxnSpPr>
      <xdr:spPr>
        <a:xfrm flipH="1" flipV="1">
          <a:off x="3480435" y="14757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80</xdr:row>
      <xdr:rowOff>400050</xdr:rowOff>
    </xdr:from>
    <xdr:to>
      <xdr:col>5</xdr:col>
      <xdr:colOff>1666875</xdr:colOff>
      <xdr:row>80</xdr:row>
      <xdr:rowOff>400050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CxnSpPr/>
      </xdr:nvCxnSpPr>
      <xdr:spPr>
        <a:xfrm>
          <a:off x="3476625" y="14809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80</xdr:row>
      <xdr:rowOff>127000</xdr:rowOff>
    </xdr:from>
    <xdr:to>
      <xdr:col>5</xdr:col>
      <xdr:colOff>356810</xdr:colOff>
      <xdr:row>80</xdr:row>
      <xdr:rowOff>409912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CxnSpPr/>
      </xdr:nvCxnSpPr>
      <xdr:spPr>
        <a:xfrm flipH="1" flipV="1">
          <a:off x="3481009" y="14757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80</xdr:row>
      <xdr:rowOff>134252</xdr:rowOff>
    </xdr:from>
    <xdr:to>
      <xdr:col>5</xdr:col>
      <xdr:colOff>1652211</xdr:colOff>
      <xdr:row>80</xdr:row>
      <xdr:rowOff>417164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CxnSpPr/>
      </xdr:nvCxnSpPr>
      <xdr:spPr>
        <a:xfrm flipH="1" flipV="1">
          <a:off x="3747710" y="14764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81</xdr:row>
      <xdr:rowOff>127000</xdr:rowOff>
    </xdr:from>
    <xdr:to>
      <xdr:col>5</xdr:col>
      <xdr:colOff>356235</xdr:colOff>
      <xdr:row>81</xdr:row>
      <xdr:rowOff>309880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CxnSpPr/>
      </xdr:nvCxnSpPr>
      <xdr:spPr>
        <a:xfrm flipH="1" flipV="1">
          <a:off x="3480435" y="1494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81</xdr:row>
      <xdr:rowOff>152400</xdr:rowOff>
    </xdr:from>
    <xdr:to>
      <xdr:col>5</xdr:col>
      <xdr:colOff>1676400</xdr:colOff>
      <xdr:row>81</xdr:row>
      <xdr:rowOff>152400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CxnSpPr/>
      </xdr:nvCxnSpPr>
      <xdr:spPr>
        <a:xfrm>
          <a:off x="3486150" y="14965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81</xdr:row>
      <xdr:rowOff>127000</xdr:rowOff>
    </xdr:from>
    <xdr:to>
      <xdr:col>5</xdr:col>
      <xdr:colOff>356810</xdr:colOff>
      <xdr:row>81</xdr:row>
      <xdr:rowOff>409912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CxnSpPr/>
      </xdr:nvCxnSpPr>
      <xdr:spPr>
        <a:xfrm flipH="1" flipV="1">
          <a:off x="3481009" y="1494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81</xdr:row>
      <xdr:rowOff>134252</xdr:rowOff>
    </xdr:from>
    <xdr:to>
      <xdr:col>5</xdr:col>
      <xdr:colOff>1652211</xdr:colOff>
      <xdr:row>81</xdr:row>
      <xdr:rowOff>417164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CxnSpPr/>
      </xdr:nvCxnSpPr>
      <xdr:spPr>
        <a:xfrm flipH="1" flipV="1">
          <a:off x="3747710" y="1494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82</xdr:row>
      <xdr:rowOff>123824</xdr:rowOff>
    </xdr:from>
    <xdr:to>
      <xdr:col>5</xdr:col>
      <xdr:colOff>1428750</xdr:colOff>
      <xdr:row>82</xdr:row>
      <xdr:rowOff>1219199</xdr:rowOff>
    </xdr:to>
    <xdr:sp macro="" textlink="">
      <xdr:nvSpPr>
        <xdr:cNvPr id="212" name="Rounded Rectangle 211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SpPr/>
      </xdr:nvSpPr>
      <xdr:spPr>
        <a:xfrm>
          <a:off x="3745230" y="15119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82</xdr:row>
      <xdr:rowOff>238127</xdr:rowOff>
    </xdr:from>
    <xdr:to>
      <xdr:col>5</xdr:col>
      <xdr:colOff>790575</xdr:colOff>
      <xdr:row>82</xdr:row>
      <xdr:rowOff>361950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CxnSpPr/>
      </xdr:nvCxnSpPr>
      <xdr:spPr>
        <a:xfrm flipH="1" flipV="1">
          <a:off x="3749041" y="15180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82</xdr:row>
      <xdr:rowOff>133352</xdr:rowOff>
    </xdr:from>
    <xdr:to>
      <xdr:col>5</xdr:col>
      <xdr:colOff>885825</xdr:colOff>
      <xdr:row>82</xdr:row>
      <xdr:rowOff>257175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CxnSpPr/>
      </xdr:nvCxnSpPr>
      <xdr:spPr>
        <a:xfrm flipH="1" flipV="1">
          <a:off x="3745231" y="15129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86</xdr:row>
      <xdr:rowOff>127000</xdr:rowOff>
    </xdr:from>
    <xdr:to>
      <xdr:col>5</xdr:col>
      <xdr:colOff>356235</xdr:colOff>
      <xdr:row>86</xdr:row>
      <xdr:rowOff>309880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CxnSpPr/>
      </xdr:nvCxnSpPr>
      <xdr:spPr>
        <a:xfrm flipH="1" flipV="1">
          <a:off x="3480435" y="15854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86</xdr:row>
      <xdr:rowOff>400050</xdr:rowOff>
    </xdr:from>
    <xdr:to>
      <xdr:col>5</xdr:col>
      <xdr:colOff>1666875</xdr:colOff>
      <xdr:row>86</xdr:row>
      <xdr:rowOff>400050</xdr:rowOff>
    </xdr:to>
    <xdr:cxnSp macro="">
      <xdr:nvCxnSpPr>
        <xdr:cNvPr id="216" name="Straight Connector 215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CxnSpPr/>
      </xdr:nvCxnSpPr>
      <xdr:spPr>
        <a:xfrm>
          <a:off x="3476625" y="15906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86</xdr:row>
      <xdr:rowOff>127000</xdr:rowOff>
    </xdr:from>
    <xdr:to>
      <xdr:col>5</xdr:col>
      <xdr:colOff>356810</xdr:colOff>
      <xdr:row>86</xdr:row>
      <xdr:rowOff>409912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CxnSpPr/>
      </xdr:nvCxnSpPr>
      <xdr:spPr>
        <a:xfrm flipH="1" flipV="1">
          <a:off x="3481009" y="15854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86</xdr:row>
      <xdr:rowOff>134252</xdr:rowOff>
    </xdr:from>
    <xdr:to>
      <xdr:col>5</xdr:col>
      <xdr:colOff>1652211</xdr:colOff>
      <xdr:row>86</xdr:row>
      <xdr:rowOff>417164</xdr:rowOff>
    </xdr:to>
    <xdr:cxnSp macro="">
      <xdr:nvCxnSpPr>
        <xdr:cNvPr id="218" name="Straight Connector 217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CxnSpPr/>
      </xdr:nvCxnSpPr>
      <xdr:spPr>
        <a:xfrm flipH="1" flipV="1">
          <a:off x="3747710" y="15861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87</xdr:row>
      <xdr:rowOff>127000</xdr:rowOff>
    </xdr:from>
    <xdr:to>
      <xdr:col>5</xdr:col>
      <xdr:colOff>356235</xdr:colOff>
      <xdr:row>87</xdr:row>
      <xdr:rowOff>309880</xdr:rowOff>
    </xdr:to>
    <xdr:cxnSp macro="">
      <xdr:nvCxnSpPr>
        <xdr:cNvPr id="219" name="Straight Connector 218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CxnSpPr/>
      </xdr:nvCxnSpPr>
      <xdr:spPr>
        <a:xfrm flipH="1" flipV="1">
          <a:off x="3480435" y="1603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87</xdr:row>
      <xdr:rowOff>152400</xdr:rowOff>
    </xdr:from>
    <xdr:to>
      <xdr:col>5</xdr:col>
      <xdr:colOff>1676400</xdr:colOff>
      <xdr:row>87</xdr:row>
      <xdr:rowOff>152400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CxnSpPr/>
      </xdr:nvCxnSpPr>
      <xdr:spPr>
        <a:xfrm>
          <a:off x="3486150" y="16062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87</xdr:row>
      <xdr:rowOff>127000</xdr:rowOff>
    </xdr:from>
    <xdr:to>
      <xdr:col>5</xdr:col>
      <xdr:colOff>356810</xdr:colOff>
      <xdr:row>87</xdr:row>
      <xdr:rowOff>409912</xdr:rowOff>
    </xdr:to>
    <xdr:cxnSp macro="">
      <xdr:nvCxnSpPr>
        <xdr:cNvPr id="221" name="Straight Connector 220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CxnSpPr/>
      </xdr:nvCxnSpPr>
      <xdr:spPr>
        <a:xfrm flipH="1" flipV="1">
          <a:off x="3481009" y="1603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87</xdr:row>
      <xdr:rowOff>134252</xdr:rowOff>
    </xdr:from>
    <xdr:to>
      <xdr:col>5</xdr:col>
      <xdr:colOff>1652211</xdr:colOff>
      <xdr:row>87</xdr:row>
      <xdr:rowOff>417164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CxnSpPr/>
      </xdr:nvCxnSpPr>
      <xdr:spPr>
        <a:xfrm flipH="1" flipV="1">
          <a:off x="3747710" y="1604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88</xdr:row>
      <xdr:rowOff>123824</xdr:rowOff>
    </xdr:from>
    <xdr:to>
      <xdr:col>5</xdr:col>
      <xdr:colOff>1428750</xdr:colOff>
      <xdr:row>88</xdr:row>
      <xdr:rowOff>1219199</xdr:rowOff>
    </xdr:to>
    <xdr:sp macro="" textlink="">
      <xdr:nvSpPr>
        <xdr:cNvPr id="223" name="Rounded Rectangle 222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SpPr/>
      </xdr:nvSpPr>
      <xdr:spPr>
        <a:xfrm>
          <a:off x="3745230" y="16217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88</xdr:row>
      <xdr:rowOff>238127</xdr:rowOff>
    </xdr:from>
    <xdr:to>
      <xdr:col>5</xdr:col>
      <xdr:colOff>790575</xdr:colOff>
      <xdr:row>88</xdr:row>
      <xdr:rowOff>361950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CxnSpPr/>
      </xdr:nvCxnSpPr>
      <xdr:spPr>
        <a:xfrm flipH="1" flipV="1">
          <a:off x="3749041" y="16278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88</xdr:row>
      <xdr:rowOff>133352</xdr:rowOff>
    </xdr:from>
    <xdr:to>
      <xdr:col>5</xdr:col>
      <xdr:colOff>885825</xdr:colOff>
      <xdr:row>88</xdr:row>
      <xdr:rowOff>257175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CxnSpPr/>
      </xdr:nvCxnSpPr>
      <xdr:spPr>
        <a:xfrm flipH="1" flipV="1">
          <a:off x="3745231" y="16226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86</xdr:row>
      <xdr:rowOff>127000</xdr:rowOff>
    </xdr:from>
    <xdr:to>
      <xdr:col>5</xdr:col>
      <xdr:colOff>356235</xdr:colOff>
      <xdr:row>86</xdr:row>
      <xdr:rowOff>309880</xdr:rowOff>
    </xdr:to>
    <xdr:cxnSp macro="">
      <xdr:nvCxnSpPr>
        <xdr:cNvPr id="226" name="Straight Connector 225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CxnSpPr/>
      </xdr:nvCxnSpPr>
      <xdr:spPr>
        <a:xfrm flipH="1" flipV="1">
          <a:off x="3480435" y="15854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86</xdr:row>
      <xdr:rowOff>400050</xdr:rowOff>
    </xdr:from>
    <xdr:to>
      <xdr:col>5</xdr:col>
      <xdr:colOff>1666875</xdr:colOff>
      <xdr:row>86</xdr:row>
      <xdr:rowOff>400050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CxnSpPr/>
      </xdr:nvCxnSpPr>
      <xdr:spPr>
        <a:xfrm>
          <a:off x="3476625" y="15906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86</xdr:row>
      <xdr:rowOff>127000</xdr:rowOff>
    </xdr:from>
    <xdr:to>
      <xdr:col>5</xdr:col>
      <xdr:colOff>356810</xdr:colOff>
      <xdr:row>86</xdr:row>
      <xdr:rowOff>409912</xdr:rowOff>
    </xdr:to>
    <xdr:cxnSp macro="">
      <xdr:nvCxnSpPr>
        <xdr:cNvPr id="228" name="Straight Connector 227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CxnSpPr/>
      </xdr:nvCxnSpPr>
      <xdr:spPr>
        <a:xfrm flipH="1" flipV="1">
          <a:off x="3481009" y="15854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86</xdr:row>
      <xdr:rowOff>134252</xdr:rowOff>
    </xdr:from>
    <xdr:to>
      <xdr:col>5</xdr:col>
      <xdr:colOff>1652211</xdr:colOff>
      <xdr:row>86</xdr:row>
      <xdr:rowOff>417164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CxnSpPr/>
      </xdr:nvCxnSpPr>
      <xdr:spPr>
        <a:xfrm flipH="1" flipV="1">
          <a:off x="3747710" y="15861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87</xdr:row>
      <xdr:rowOff>127000</xdr:rowOff>
    </xdr:from>
    <xdr:to>
      <xdr:col>5</xdr:col>
      <xdr:colOff>356235</xdr:colOff>
      <xdr:row>87</xdr:row>
      <xdr:rowOff>309880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CxnSpPr/>
      </xdr:nvCxnSpPr>
      <xdr:spPr>
        <a:xfrm flipH="1" flipV="1">
          <a:off x="3480435" y="1603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87</xdr:row>
      <xdr:rowOff>152400</xdr:rowOff>
    </xdr:from>
    <xdr:to>
      <xdr:col>5</xdr:col>
      <xdr:colOff>1676400</xdr:colOff>
      <xdr:row>87</xdr:row>
      <xdr:rowOff>152400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CxnSpPr/>
      </xdr:nvCxnSpPr>
      <xdr:spPr>
        <a:xfrm>
          <a:off x="3486150" y="16062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87</xdr:row>
      <xdr:rowOff>127000</xdr:rowOff>
    </xdr:from>
    <xdr:to>
      <xdr:col>5</xdr:col>
      <xdr:colOff>356810</xdr:colOff>
      <xdr:row>87</xdr:row>
      <xdr:rowOff>409912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CxnSpPr/>
      </xdr:nvCxnSpPr>
      <xdr:spPr>
        <a:xfrm flipH="1" flipV="1">
          <a:off x="3481009" y="1603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87</xdr:row>
      <xdr:rowOff>134252</xdr:rowOff>
    </xdr:from>
    <xdr:to>
      <xdr:col>5</xdr:col>
      <xdr:colOff>1652211</xdr:colOff>
      <xdr:row>87</xdr:row>
      <xdr:rowOff>417164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CxnSpPr/>
      </xdr:nvCxnSpPr>
      <xdr:spPr>
        <a:xfrm flipH="1" flipV="1">
          <a:off x="3747710" y="1604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88</xdr:row>
      <xdr:rowOff>123824</xdr:rowOff>
    </xdr:from>
    <xdr:to>
      <xdr:col>5</xdr:col>
      <xdr:colOff>1428750</xdr:colOff>
      <xdr:row>88</xdr:row>
      <xdr:rowOff>1219199</xdr:rowOff>
    </xdr:to>
    <xdr:sp macro="" textlink="">
      <xdr:nvSpPr>
        <xdr:cNvPr id="234" name="Rounded Rectangle 233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SpPr/>
      </xdr:nvSpPr>
      <xdr:spPr>
        <a:xfrm>
          <a:off x="3745230" y="16217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88</xdr:row>
      <xdr:rowOff>238127</xdr:rowOff>
    </xdr:from>
    <xdr:to>
      <xdr:col>5</xdr:col>
      <xdr:colOff>790575</xdr:colOff>
      <xdr:row>88</xdr:row>
      <xdr:rowOff>361950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CxnSpPr/>
      </xdr:nvCxnSpPr>
      <xdr:spPr>
        <a:xfrm flipH="1" flipV="1">
          <a:off x="3749041" y="16278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88</xdr:row>
      <xdr:rowOff>133352</xdr:rowOff>
    </xdr:from>
    <xdr:to>
      <xdr:col>5</xdr:col>
      <xdr:colOff>885825</xdr:colOff>
      <xdr:row>88</xdr:row>
      <xdr:rowOff>257175</xdr:rowOff>
    </xdr:to>
    <xdr:cxnSp macro="">
      <xdr:nvCxnSpPr>
        <xdr:cNvPr id="236" name="Straight Connector 235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CxnSpPr/>
      </xdr:nvCxnSpPr>
      <xdr:spPr>
        <a:xfrm flipH="1" flipV="1">
          <a:off x="3745231" y="16226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86</xdr:row>
      <xdr:rowOff>127000</xdr:rowOff>
    </xdr:from>
    <xdr:to>
      <xdr:col>5</xdr:col>
      <xdr:colOff>356235</xdr:colOff>
      <xdr:row>86</xdr:row>
      <xdr:rowOff>309880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CxnSpPr/>
      </xdr:nvCxnSpPr>
      <xdr:spPr>
        <a:xfrm flipH="1" flipV="1">
          <a:off x="3480435" y="15854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86</xdr:row>
      <xdr:rowOff>400050</xdr:rowOff>
    </xdr:from>
    <xdr:to>
      <xdr:col>5</xdr:col>
      <xdr:colOff>1666875</xdr:colOff>
      <xdr:row>86</xdr:row>
      <xdr:rowOff>400050</xdr:rowOff>
    </xdr:to>
    <xdr:cxnSp macro="">
      <xdr:nvCxnSpPr>
        <xdr:cNvPr id="238" name="Straight Connector 237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CxnSpPr/>
      </xdr:nvCxnSpPr>
      <xdr:spPr>
        <a:xfrm>
          <a:off x="3476625" y="15906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86</xdr:row>
      <xdr:rowOff>127000</xdr:rowOff>
    </xdr:from>
    <xdr:to>
      <xdr:col>5</xdr:col>
      <xdr:colOff>356810</xdr:colOff>
      <xdr:row>86</xdr:row>
      <xdr:rowOff>409912</xdr:rowOff>
    </xdr:to>
    <xdr:cxnSp macro="">
      <xdr:nvCxnSpPr>
        <xdr:cNvPr id="239" name="Straight Connector 238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CxnSpPr/>
      </xdr:nvCxnSpPr>
      <xdr:spPr>
        <a:xfrm flipH="1" flipV="1">
          <a:off x="3481009" y="15854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86</xdr:row>
      <xdr:rowOff>134252</xdr:rowOff>
    </xdr:from>
    <xdr:to>
      <xdr:col>5</xdr:col>
      <xdr:colOff>1652211</xdr:colOff>
      <xdr:row>86</xdr:row>
      <xdr:rowOff>417164</xdr:rowOff>
    </xdr:to>
    <xdr:cxnSp macro="">
      <xdr:nvCxnSpPr>
        <xdr:cNvPr id="240" name="Straight Connector 239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CxnSpPr/>
      </xdr:nvCxnSpPr>
      <xdr:spPr>
        <a:xfrm flipH="1" flipV="1">
          <a:off x="3747710" y="15861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87</xdr:row>
      <xdr:rowOff>127000</xdr:rowOff>
    </xdr:from>
    <xdr:to>
      <xdr:col>5</xdr:col>
      <xdr:colOff>356235</xdr:colOff>
      <xdr:row>87</xdr:row>
      <xdr:rowOff>309880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CxnSpPr/>
      </xdr:nvCxnSpPr>
      <xdr:spPr>
        <a:xfrm flipH="1" flipV="1">
          <a:off x="3480435" y="1603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87</xdr:row>
      <xdr:rowOff>152400</xdr:rowOff>
    </xdr:from>
    <xdr:to>
      <xdr:col>5</xdr:col>
      <xdr:colOff>1676400</xdr:colOff>
      <xdr:row>87</xdr:row>
      <xdr:rowOff>152400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CxnSpPr/>
      </xdr:nvCxnSpPr>
      <xdr:spPr>
        <a:xfrm>
          <a:off x="3486150" y="16062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87</xdr:row>
      <xdr:rowOff>127000</xdr:rowOff>
    </xdr:from>
    <xdr:to>
      <xdr:col>5</xdr:col>
      <xdr:colOff>356810</xdr:colOff>
      <xdr:row>87</xdr:row>
      <xdr:rowOff>409912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CxnSpPr/>
      </xdr:nvCxnSpPr>
      <xdr:spPr>
        <a:xfrm flipH="1" flipV="1">
          <a:off x="3481009" y="1603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87</xdr:row>
      <xdr:rowOff>134252</xdr:rowOff>
    </xdr:from>
    <xdr:to>
      <xdr:col>5</xdr:col>
      <xdr:colOff>1652211</xdr:colOff>
      <xdr:row>87</xdr:row>
      <xdr:rowOff>417164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CxnSpPr/>
      </xdr:nvCxnSpPr>
      <xdr:spPr>
        <a:xfrm flipH="1" flipV="1">
          <a:off x="3747710" y="1604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88</xdr:row>
      <xdr:rowOff>123824</xdr:rowOff>
    </xdr:from>
    <xdr:to>
      <xdr:col>5</xdr:col>
      <xdr:colOff>1428750</xdr:colOff>
      <xdr:row>88</xdr:row>
      <xdr:rowOff>1219199</xdr:rowOff>
    </xdr:to>
    <xdr:sp macro="" textlink="">
      <xdr:nvSpPr>
        <xdr:cNvPr id="245" name="Rounded Rectangle 244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SpPr/>
      </xdr:nvSpPr>
      <xdr:spPr>
        <a:xfrm>
          <a:off x="3745230" y="16217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88</xdr:row>
      <xdr:rowOff>238127</xdr:rowOff>
    </xdr:from>
    <xdr:to>
      <xdr:col>5</xdr:col>
      <xdr:colOff>790575</xdr:colOff>
      <xdr:row>88</xdr:row>
      <xdr:rowOff>361950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CxnSpPr/>
      </xdr:nvCxnSpPr>
      <xdr:spPr>
        <a:xfrm flipH="1" flipV="1">
          <a:off x="3749041" y="16278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88</xdr:row>
      <xdr:rowOff>133352</xdr:rowOff>
    </xdr:from>
    <xdr:to>
      <xdr:col>5</xdr:col>
      <xdr:colOff>885825</xdr:colOff>
      <xdr:row>88</xdr:row>
      <xdr:rowOff>257175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CxnSpPr/>
      </xdr:nvCxnSpPr>
      <xdr:spPr>
        <a:xfrm flipH="1" flipV="1">
          <a:off x="3745231" y="16226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86</xdr:row>
      <xdr:rowOff>127000</xdr:rowOff>
    </xdr:from>
    <xdr:to>
      <xdr:col>5</xdr:col>
      <xdr:colOff>356235</xdr:colOff>
      <xdr:row>86</xdr:row>
      <xdr:rowOff>309880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CxnSpPr/>
      </xdr:nvCxnSpPr>
      <xdr:spPr>
        <a:xfrm flipH="1" flipV="1">
          <a:off x="3480435" y="15854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86</xdr:row>
      <xdr:rowOff>400050</xdr:rowOff>
    </xdr:from>
    <xdr:to>
      <xdr:col>5</xdr:col>
      <xdr:colOff>1666875</xdr:colOff>
      <xdr:row>86</xdr:row>
      <xdr:rowOff>400050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CxnSpPr/>
      </xdr:nvCxnSpPr>
      <xdr:spPr>
        <a:xfrm>
          <a:off x="3476625" y="15906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86</xdr:row>
      <xdr:rowOff>127000</xdr:rowOff>
    </xdr:from>
    <xdr:to>
      <xdr:col>5</xdr:col>
      <xdr:colOff>356810</xdr:colOff>
      <xdr:row>86</xdr:row>
      <xdr:rowOff>409912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CxnSpPr/>
      </xdr:nvCxnSpPr>
      <xdr:spPr>
        <a:xfrm flipH="1" flipV="1">
          <a:off x="3481009" y="15854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86</xdr:row>
      <xdr:rowOff>134252</xdr:rowOff>
    </xdr:from>
    <xdr:to>
      <xdr:col>5</xdr:col>
      <xdr:colOff>1652211</xdr:colOff>
      <xdr:row>86</xdr:row>
      <xdr:rowOff>417164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CxnSpPr/>
      </xdr:nvCxnSpPr>
      <xdr:spPr>
        <a:xfrm flipH="1" flipV="1">
          <a:off x="3747710" y="15861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87</xdr:row>
      <xdr:rowOff>127000</xdr:rowOff>
    </xdr:from>
    <xdr:to>
      <xdr:col>5</xdr:col>
      <xdr:colOff>356235</xdr:colOff>
      <xdr:row>87</xdr:row>
      <xdr:rowOff>309880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CxnSpPr/>
      </xdr:nvCxnSpPr>
      <xdr:spPr>
        <a:xfrm flipH="1" flipV="1">
          <a:off x="3480435" y="1603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87</xdr:row>
      <xdr:rowOff>152400</xdr:rowOff>
    </xdr:from>
    <xdr:to>
      <xdr:col>5</xdr:col>
      <xdr:colOff>1676400</xdr:colOff>
      <xdr:row>87</xdr:row>
      <xdr:rowOff>152400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CxnSpPr/>
      </xdr:nvCxnSpPr>
      <xdr:spPr>
        <a:xfrm>
          <a:off x="3486150" y="16062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87</xdr:row>
      <xdr:rowOff>127000</xdr:rowOff>
    </xdr:from>
    <xdr:to>
      <xdr:col>5</xdr:col>
      <xdr:colOff>356810</xdr:colOff>
      <xdr:row>87</xdr:row>
      <xdr:rowOff>409912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CxnSpPr/>
      </xdr:nvCxnSpPr>
      <xdr:spPr>
        <a:xfrm flipH="1" flipV="1">
          <a:off x="3481009" y="1603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88</xdr:row>
      <xdr:rowOff>123824</xdr:rowOff>
    </xdr:from>
    <xdr:to>
      <xdr:col>5</xdr:col>
      <xdr:colOff>1428750</xdr:colOff>
      <xdr:row>88</xdr:row>
      <xdr:rowOff>1219199</xdr:rowOff>
    </xdr:to>
    <xdr:sp macro="" textlink="">
      <xdr:nvSpPr>
        <xdr:cNvPr id="255" name="Rounded Rectangle 254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SpPr/>
      </xdr:nvSpPr>
      <xdr:spPr>
        <a:xfrm>
          <a:off x="3745230" y="16217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88</xdr:row>
      <xdr:rowOff>238127</xdr:rowOff>
    </xdr:from>
    <xdr:to>
      <xdr:col>5</xdr:col>
      <xdr:colOff>790575</xdr:colOff>
      <xdr:row>88</xdr:row>
      <xdr:rowOff>361950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CxnSpPr/>
      </xdr:nvCxnSpPr>
      <xdr:spPr>
        <a:xfrm flipH="1" flipV="1">
          <a:off x="3749041" y="16278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88</xdr:row>
      <xdr:rowOff>133352</xdr:rowOff>
    </xdr:from>
    <xdr:to>
      <xdr:col>5</xdr:col>
      <xdr:colOff>885825</xdr:colOff>
      <xdr:row>88</xdr:row>
      <xdr:rowOff>257175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CxnSpPr/>
      </xdr:nvCxnSpPr>
      <xdr:spPr>
        <a:xfrm flipH="1" flipV="1">
          <a:off x="3745231" y="16226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93</xdr:row>
      <xdr:rowOff>127000</xdr:rowOff>
    </xdr:from>
    <xdr:to>
      <xdr:col>5</xdr:col>
      <xdr:colOff>356235</xdr:colOff>
      <xdr:row>93</xdr:row>
      <xdr:rowOff>309880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CxnSpPr/>
      </xdr:nvCxnSpPr>
      <xdr:spPr>
        <a:xfrm flipH="1" flipV="1">
          <a:off x="3480435" y="17134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93</xdr:row>
      <xdr:rowOff>400050</xdr:rowOff>
    </xdr:from>
    <xdr:to>
      <xdr:col>5</xdr:col>
      <xdr:colOff>1666875</xdr:colOff>
      <xdr:row>93</xdr:row>
      <xdr:rowOff>400050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CxnSpPr/>
      </xdr:nvCxnSpPr>
      <xdr:spPr>
        <a:xfrm>
          <a:off x="3476625" y="17186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93</xdr:row>
      <xdr:rowOff>127000</xdr:rowOff>
    </xdr:from>
    <xdr:to>
      <xdr:col>5</xdr:col>
      <xdr:colOff>356810</xdr:colOff>
      <xdr:row>93</xdr:row>
      <xdr:rowOff>409912</xdr:rowOff>
    </xdr:to>
    <xdr:cxnSp macro="">
      <xdr:nvCxnSpPr>
        <xdr:cNvPr id="260" name="Straight Connector 259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CxnSpPr/>
      </xdr:nvCxnSpPr>
      <xdr:spPr>
        <a:xfrm flipH="1" flipV="1">
          <a:off x="3481009" y="17134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1661160</xdr:colOff>
      <xdr:row>93</xdr:row>
      <xdr:rowOff>153035</xdr:rowOff>
    </xdr:from>
    <xdr:to>
      <xdr:col>5</xdr:col>
      <xdr:colOff>1661161</xdr:colOff>
      <xdr:row>93</xdr:row>
      <xdr:rowOff>435947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CxnSpPr/>
      </xdr:nvCxnSpPr>
      <xdr:spPr>
        <a:xfrm flipH="1" flipV="1">
          <a:off x="3749040" y="17160875"/>
          <a:ext cx="1" cy="3145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94</xdr:row>
      <xdr:rowOff>190500</xdr:rowOff>
    </xdr:from>
    <xdr:to>
      <xdr:col>5</xdr:col>
      <xdr:colOff>1628775</xdr:colOff>
      <xdr:row>94</xdr:row>
      <xdr:rowOff>190500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CxnSpPr/>
      </xdr:nvCxnSpPr>
      <xdr:spPr>
        <a:xfrm>
          <a:off x="3438525" y="1737360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97</xdr:row>
      <xdr:rowOff>123824</xdr:rowOff>
    </xdr:from>
    <xdr:to>
      <xdr:col>5</xdr:col>
      <xdr:colOff>1428750</xdr:colOff>
      <xdr:row>97</xdr:row>
      <xdr:rowOff>1219199</xdr:rowOff>
    </xdr:to>
    <xdr:sp macro="" textlink="">
      <xdr:nvSpPr>
        <xdr:cNvPr id="263" name="Rounded Rectangle 262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/>
      </xdr:nvSpPr>
      <xdr:spPr>
        <a:xfrm>
          <a:off x="3745230" y="178631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97</xdr:row>
      <xdr:rowOff>238127</xdr:rowOff>
    </xdr:from>
    <xdr:to>
      <xdr:col>5</xdr:col>
      <xdr:colOff>790575</xdr:colOff>
      <xdr:row>97</xdr:row>
      <xdr:rowOff>361950</xdr:rowOff>
    </xdr:to>
    <xdr:cxnSp macro="">
      <xdr:nvCxnSpPr>
        <xdr:cNvPr id="264" name="Straight Connector 263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CxnSpPr/>
      </xdr:nvCxnSpPr>
      <xdr:spPr>
        <a:xfrm flipH="1" flipV="1">
          <a:off x="3749041" y="179241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97</xdr:row>
      <xdr:rowOff>133352</xdr:rowOff>
    </xdr:from>
    <xdr:to>
      <xdr:col>5</xdr:col>
      <xdr:colOff>885825</xdr:colOff>
      <xdr:row>97</xdr:row>
      <xdr:rowOff>257175</xdr:rowOff>
    </xdr:to>
    <xdr:cxnSp macro="">
      <xdr:nvCxnSpPr>
        <xdr:cNvPr id="265" name="Straight Connector 264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CxnSpPr/>
      </xdr:nvCxnSpPr>
      <xdr:spPr>
        <a:xfrm flipH="1" flipV="1">
          <a:off x="3745231" y="178727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95</xdr:row>
      <xdr:rowOff>174625</xdr:rowOff>
    </xdr:from>
    <xdr:to>
      <xdr:col>5</xdr:col>
      <xdr:colOff>327661</xdr:colOff>
      <xdr:row>95</xdr:row>
      <xdr:rowOff>457537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CxnSpPr/>
      </xdr:nvCxnSpPr>
      <xdr:spPr>
        <a:xfrm flipH="1" flipV="1">
          <a:off x="3451860" y="1754822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95</xdr:row>
      <xdr:rowOff>200025</xdr:rowOff>
    </xdr:from>
    <xdr:to>
      <xdr:col>5</xdr:col>
      <xdr:colOff>1638300</xdr:colOff>
      <xdr:row>95</xdr:row>
      <xdr:rowOff>200025</xdr:rowOff>
    </xdr:to>
    <xdr:cxnSp macro="">
      <xdr:nvCxnSpPr>
        <xdr:cNvPr id="267" name="Straight Connector 266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CxnSpPr/>
      </xdr:nvCxnSpPr>
      <xdr:spPr>
        <a:xfrm>
          <a:off x="3448050" y="1755838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96</xdr:row>
      <xdr:rowOff>174625</xdr:rowOff>
    </xdr:from>
    <xdr:to>
      <xdr:col>5</xdr:col>
      <xdr:colOff>327661</xdr:colOff>
      <xdr:row>96</xdr:row>
      <xdr:rowOff>457537</xdr:rowOff>
    </xdr:to>
    <xdr:cxnSp macro="">
      <xdr:nvCxnSpPr>
        <xdr:cNvPr id="268" name="Straight Connector 267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CxnSpPr/>
      </xdr:nvCxnSpPr>
      <xdr:spPr>
        <a:xfrm flipH="1" flipV="1">
          <a:off x="3451860" y="1773110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96</xdr:row>
      <xdr:rowOff>200025</xdr:rowOff>
    </xdr:from>
    <xdr:to>
      <xdr:col>5</xdr:col>
      <xdr:colOff>1638300</xdr:colOff>
      <xdr:row>96</xdr:row>
      <xdr:rowOff>200025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CxnSpPr/>
      </xdr:nvCxnSpPr>
      <xdr:spPr>
        <a:xfrm>
          <a:off x="3448050" y="1774126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1623060</xdr:colOff>
      <xdr:row>95</xdr:row>
      <xdr:rowOff>182245</xdr:rowOff>
    </xdr:from>
    <xdr:to>
      <xdr:col>5</xdr:col>
      <xdr:colOff>1623061</xdr:colOff>
      <xdr:row>95</xdr:row>
      <xdr:rowOff>465157</xdr:rowOff>
    </xdr:to>
    <xdr:cxnSp macro="">
      <xdr:nvCxnSpPr>
        <xdr:cNvPr id="270" name="Straight Connector 269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CxnSpPr/>
      </xdr:nvCxnSpPr>
      <xdr:spPr>
        <a:xfrm flipH="1" flipV="1">
          <a:off x="3749040" y="17555845"/>
          <a:ext cx="1" cy="97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100</xdr:row>
      <xdr:rowOff>127000</xdr:rowOff>
    </xdr:from>
    <xdr:to>
      <xdr:col>5</xdr:col>
      <xdr:colOff>356235</xdr:colOff>
      <xdr:row>100</xdr:row>
      <xdr:rowOff>309880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CxnSpPr/>
      </xdr:nvCxnSpPr>
      <xdr:spPr>
        <a:xfrm flipH="1" flipV="1">
          <a:off x="3480435" y="18415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100</xdr:row>
      <xdr:rowOff>400050</xdr:rowOff>
    </xdr:from>
    <xdr:to>
      <xdr:col>5</xdr:col>
      <xdr:colOff>1666875</xdr:colOff>
      <xdr:row>100</xdr:row>
      <xdr:rowOff>400050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CxnSpPr/>
      </xdr:nvCxnSpPr>
      <xdr:spPr>
        <a:xfrm>
          <a:off x="3476625" y="18467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100</xdr:row>
      <xdr:rowOff>127000</xdr:rowOff>
    </xdr:from>
    <xdr:to>
      <xdr:col>5</xdr:col>
      <xdr:colOff>356810</xdr:colOff>
      <xdr:row>100</xdr:row>
      <xdr:rowOff>409912</xdr:rowOff>
    </xdr:to>
    <xdr:cxnSp macro="">
      <xdr:nvCxnSpPr>
        <xdr:cNvPr id="273" name="Straight Connector 272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CxnSpPr/>
      </xdr:nvCxnSpPr>
      <xdr:spPr>
        <a:xfrm flipH="1" flipV="1">
          <a:off x="3481009" y="18415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1661160</xdr:colOff>
      <xdr:row>100</xdr:row>
      <xdr:rowOff>153035</xdr:rowOff>
    </xdr:from>
    <xdr:to>
      <xdr:col>5</xdr:col>
      <xdr:colOff>1661161</xdr:colOff>
      <xdr:row>100</xdr:row>
      <xdr:rowOff>435947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CxnSpPr/>
      </xdr:nvCxnSpPr>
      <xdr:spPr>
        <a:xfrm flipH="1" flipV="1">
          <a:off x="3749040" y="18441035"/>
          <a:ext cx="1" cy="3145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101</xdr:row>
      <xdr:rowOff>190500</xdr:rowOff>
    </xdr:from>
    <xdr:to>
      <xdr:col>5</xdr:col>
      <xdr:colOff>1628775</xdr:colOff>
      <xdr:row>101</xdr:row>
      <xdr:rowOff>190500</xdr:rowOff>
    </xdr:to>
    <xdr:cxnSp macro="">
      <xdr:nvCxnSpPr>
        <xdr:cNvPr id="275" name="Straight Connector 274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CxnSpPr/>
      </xdr:nvCxnSpPr>
      <xdr:spPr>
        <a:xfrm>
          <a:off x="3438525" y="1865376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104</xdr:row>
      <xdr:rowOff>123824</xdr:rowOff>
    </xdr:from>
    <xdr:to>
      <xdr:col>5</xdr:col>
      <xdr:colOff>1428750</xdr:colOff>
      <xdr:row>104</xdr:row>
      <xdr:rowOff>1219199</xdr:rowOff>
    </xdr:to>
    <xdr:sp macro="" textlink="">
      <xdr:nvSpPr>
        <xdr:cNvPr id="276" name="Rounded Rectangle 275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/>
      </xdr:nvSpPr>
      <xdr:spPr>
        <a:xfrm>
          <a:off x="3745230" y="191433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104</xdr:row>
      <xdr:rowOff>238127</xdr:rowOff>
    </xdr:from>
    <xdr:to>
      <xdr:col>5</xdr:col>
      <xdr:colOff>790575</xdr:colOff>
      <xdr:row>104</xdr:row>
      <xdr:rowOff>361950</xdr:rowOff>
    </xdr:to>
    <xdr:cxnSp macro="">
      <xdr:nvCxnSpPr>
        <xdr:cNvPr id="277" name="Straight Connector 276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CxnSpPr/>
      </xdr:nvCxnSpPr>
      <xdr:spPr>
        <a:xfrm flipH="1" flipV="1">
          <a:off x="3749041" y="192043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104</xdr:row>
      <xdr:rowOff>133352</xdr:rowOff>
    </xdr:from>
    <xdr:to>
      <xdr:col>5</xdr:col>
      <xdr:colOff>885825</xdr:colOff>
      <xdr:row>104</xdr:row>
      <xdr:rowOff>257175</xdr:rowOff>
    </xdr:to>
    <xdr:cxnSp macro="">
      <xdr:nvCxnSpPr>
        <xdr:cNvPr id="278" name="Straight Connector 277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CxnSpPr/>
      </xdr:nvCxnSpPr>
      <xdr:spPr>
        <a:xfrm flipH="1" flipV="1">
          <a:off x="3745231" y="191528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102</xdr:row>
      <xdr:rowOff>174625</xdr:rowOff>
    </xdr:from>
    <xdr:to>
      <xdr:col>5</xdr:col>
      <xdr:colOff>327661</xdr:colOff>
      <xdr:row>102</xdr:row>
      <xdr:rowOff>457537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CxnSpPr/>
      </xdr:nvCxnSpPr>
      <xdr:spPr>
        <a:xfrm flipH="1" flipV="1">
          <a:off x="3451860" y="1882838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102</xdr:row>
      <xdr:rowOff>200025</xdr:rowOff>
    </xdr:from>
    <xdr:to>
      <xdr:col>5</xdr:col>
      <xdr:colOff>1638300</xdr:colOff>
      <xdr:row>102</xdr:row>
      <xdr:rowOff>200025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CxnSpPr/>
      </xdr:nvCxnSpPr>
      <xdr:spPr>
        <a:xfrm>
          <a:off x="3448050" y="1883854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103</xdr:row>
      <xdr:rowOff>174625</xdr:rowOff>
    </xdr:from>
    <xdr:to>
      <xdr:col>5</xdr:col>
      <xdr:colOff>327661</xdr:colOff>
      <xdr:row>103</xdr:row>
      <xdr:rowOff>457537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CxnSpPr/>
      </xdr:nvCxnSpPr>
      <xdr:spPr>
        <a:xfrm flipH="1" flipV="1">
          <a:off x="3451860" y="1901126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103</xdr:row>
      <xdr:rowOff>200025</xdr:rowOff>
    </xdr:from>
    <xdr:to>
      <xdr:col>5</xdr:col>
      <xdr:colOff>1638300</xdr:colOff>
      <xdr:row>103</xdr:row>
      <xdr:rowOff>200025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CxnSpPr/>
      </xdr:nvCxnSpPr>
      <xdr:spPr>
        <a:xfrm>
          <a:off x="3448050" y="1902142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1623060</xdr:colOff>
      <xdr:row>102</xdr:row>
      <xdr:rowOff>182245</xdr:rowOff>
    </xdr:from>
    <xdr:to>
      <xdr:col>5</xdr:col>
      <xdr:colOff>1623061</xdr:colOff>
      <xdr:row>102</xdr:row>
      <xdr:rowOff>465157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CxnSpPr/>
      </xdr:nvCxnSpPr>
      <xdr:spPr>
        <a:xfrm flipH="1" flipV="1">
          <a:off x="3749040" y="18836005"/>
          <a:ext cx="1" cy="97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109</xdr:row>
      <xdr:rowOff>127000</xdr:rowOff>
    </xdr:from>
    <xdr:to>
      <xdr:col>5</xdr:col>
      <xdr:colOff>356235</xdr:colOff>
      <xdr:row>109</xdr:row>
      <xdr:rowOff>309880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CxnSpPr/>
      </xdr:nvCxnSpPr>
      <xdr:spPr>
        <a:xfrm flipH="1" flipV="1">
          <a:off x="3480435" y="200609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109</xdr:row>
      <xdr:rowOff>400050</xdr:rowOff>
    </xdr:from>
    <xdr:to>
      <xdr:col>5</xdr:col>
      <xdr:colOff>1666875</xdr:colOff>
      <xdr:row>109</xdr:row>
      <xdr:rowOff>400050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CxnSpPr/>
      </xdr:nvCxnSpPr>
      <xdr:spPr>
        <a:xfrm>
          <a:off x="3476625" y="201129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109</xdr:row>
      <xdr:rowOff>127000</xdr:rowOff>
    </xdr:from>
    <xdr:to>
      <xdr:col>5</xdr:col>
      <xdr:colOff>356810</xdr:colOff>
      <xdr:row>109</xdr:row>
      <xdr:rowOff>409912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CxnSpPr/>
      </xdr:nvCxnSpPr>
      <xdr:spPr>
        <a:xfrm flipH="1" flipV="1">
          <a:off x="3481009" y="200609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1661160</xdr:colOff>
      <xdr:row>109</xdr:row>
      <xdr:rowOff>153035</xdr:rowOff>
    </xdr:from>
    <xdr:to>
      <xdr:col>5</xdr:col>
      <xdr:colOff>1661161</xdr:colOff>
      <xdr:row>109</xdr:row>
      <xdr:rowOff>435947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CxnSpPr/>
      </xdr:nvCxnSpPr>
      <xdr:spPr>
        <a:xfrm flipH="1" flipV="1">
          <a:off x="3749040" y="20086955"/>
          <a:ext cx="1" cy="3145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110</xdr:row>
      <xdr:rowOff>190500</xdr:rowOff>
    </xdr:from>
    <xdr:to>
      <xdr:col>5</xdr:col>
      <xdr:colOff>1628775</xdr:colOff>
      <xdr:row>110</xdr:row>
      <xdr:rowOff>190500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CxnSpPr/>
      </xdr:nvCxnSpPr>
      <xdr:spPr>
        <a:xfrm>
          <a:off x="3438525" y="2029968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113</xdr:row>
      <xdr:rowOff>123824</xdr:rowOff>
    </xdr:from>
    <xdr:to>
      <xdr:col>5</xdr:col>
      <xdr:colOff>1428750</xdr:colOff>
      <xdr:row>113</xdr:row>
      <xdr:rowOff>1219199</xdr:rowOff>
    </xdr:to>
    <xdr:sp macro="" textlink="">
      <xdr:nvSpPr>
        <xdr:cNvPr id="289" name="Rounded Rectangle 288"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/>
      </xdr:nvSpPr>
      <xdr:spPr>
        <a:xfrm>
          <a:off x="3745230" y="20789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113</xdr:row>
      <xdr:rowOff>238127</xdr:rowOff>
    </xdr:from>
    <xdr:to>
      <xdr:col>5</xdr:col>
      <xdr:colOff>790575</xdr:colOff>
      <xdr:row>113</xdr:row>
      <xdr:rowOff>361950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CxnSpPr/>
      </xdr:nvCxnSpPr>
      <xdr:spPr>
        <a:xfrm flipH="1" flipV="1">
          <a:off x="3749041" y="20850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113</xdr:row>
      <xdr:rowOff>133352</xdr:rowOff>
    </xdr:from>
    <xdr:to>
      <xdr:col>5</xdr:col>
      <xdr:colOff>885825</xdr:colOff>
      <xdr:row>113</xdr:row>
      <xdr:rowOff>257175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CxnSpPr/>
      </xdr:nvCxnSpPr>
      <xdr:spPr>
        <a:xfrm flipH="1" flipV="1">
          <a:off x="3745231" y="20798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111</xdr:row>
      <xdr:rowOff>174625</xdr:rowOff>
    </xdr:from>
    <xdr:to>
      <xdr:col>5</xdr:col>
      <xdr:colOff>327661</xdr:colOff>
      <xdr:row>111</xdr:row>
      <xdr:rowOff>457537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CxnSpPr/>
      </xdr:nvCxnSpPr>
      <xdr:spPr>
        <a:xfrm flipH="1" flipV="1">
          <a:off x="3451860" y="2047430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111</xdr:row>
      <xdr:rowOff>200025</xdr:rowOff>
    </xdr:from>
    <xdr:to>
      <xdr:col>5</xdr:col>
      <xdr:colOff>1638300</xdr:colOff>
      <xdr:row>111</xdr:row>
      <xdr:rowOff>200025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CxnSpPr/>
      </xdr:nvCxnSpPr>
      <xdr:spPr>
        <a:xfrm>
          <a:off x="3448050" y="2048446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112</xdr:row>
      <xdr:rowOff>174625</xdr:rowOff>
    </xdr:from>
    <xdr:to>
      <xdr:col>5</xdr:col>
      <xdr:colOff>327661</xdr:colOff>
      <xdr:row>112</xdr:row>
      <xdr:rowOff>457537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CxnSpPr/>
      </xdr:nvCxnSpPr>
      <xdr:spPr>
        <a:xfrm flipH="1" flipV="1">
          <a:off x="3451860" y="2065718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112</xdr:row>
      <xdr:rowOff>200025</xdr:rowOff>
    </xdr:from>
    <xdr:to>
      <xdr:col>5</xdr:col>
      <xdr:colOff>1638300</xdr:colOff>
      <xdr:row>112</xdr:row>
      <xdr:rowOff>200025</xdr:rowOff>
    </xdr:to>
    <xdr:cxnSp macro="">
      <xdr:nvCxnSpPr>
        <xdr:cNvPr id="295" name="Straight Connector 294"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CxnSpPr/>
      </xdr:nvCxnSpPr>
      <xdr:spPr>
        <a:xfrm>
          <a:off x="3448050" y="2066734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1623060</xdr:colOff>
      <xdr:row>111</xdr:row>
      <xdr:rowOff>182245</xdr:rowOff>
    </xdr:from>
    <xdr:to>
      <xdr:col>5</xdr:col>
      <xdr:colOff>1623061</xdr:colOff>
      <xdr:row>111</xdr:row>
      <xdr:rowOff>465157</xdr:rowOff>
    </xdr:to>
    <xdr:cxnSp macro="">
      <xdr:nvCxnSpPr>
        <xdr:cNvPr id="296" name="Straight Connector 295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CxnSpPr/>
      </xdr:nvCxnSpPr>
      <xdr:spPr>
        <a:xfrm flipH="1" flipV="1">
          <a:off x="3749040" y="20481925"/>
          <a:ext cx="1" cy="97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117</xdr:row>
      <xdr:rowOff>127000</xdr:rowOff>
    </xdr:from>
    <xdr:to>
      <xdr:col>5</xdr:col>
      <xdr:colOff>356235</xdr:colOff>
      <xdr:row>117</xdr:row>
      <xdr:rowOff>309880</xdr:rowOff>
    </xdr:to>
    <xdr:cxnSp macro="">
      <xdr:nvCxnSpPr>
        <xdr:cNvPr id="297" name="Straight Connector 296"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CxnSpPr/>
      </xdr:nvCxnSpPr>
      <xdr:spPr>
        <a:xfrm flipH="1" flipV="1">
          <a:off x="3480435" y="2152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117</xdr:row>
      <xdr:rowOff>400050</xdr:rowOff>
    </xdr:from>
    <xdr:to>
      <xdr:col>5</xdr:col>
      <xdr:colOff>1666875</xdr:colOff>
      <xdr:row>117</xdr:row>
      <xdr:rowOff>400050</xdr:rowOff>
    </xdr:to>
    <xdr:cxnSp macro="">
      <xdr:nvCxnSpPr>
        <xdr:cNvPr id="298" name="Straight Connector 297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CxnSpPr/>
      </xdr:nvCxnSpPr>
      <xdr:spPr>
        <a:xfrm>
          <a:off x="3476625" y="215760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117</xdr:row>
      <xdr:rowOff>127000</xdr:rowOff>
    </xdr:from>
    <xdr:to>
      <xdr:col>5</xdr:col>
      <xdr:colOff>356810</xdr:colOff>
      <xdr:row>117</xdr:row>
      <xdr:rowOff>409912</xdr:rowOff>
    </xdr:to>
    <xdr:cxnSp macro="">
      <xdr:nvCxnSpPr>
        <xdr:cNvPr id="299" name="Straight Connector 298"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CxnSpPr/>
      </xdr:nvCxnSpPr>
      <xdr:spPr>
        <a:xfrm flipH="1" flipV="1">
          <a:off x="3481009" y="2152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117</xdr:row>
      <xdr:rowOff>134252</xdr:rowOff>
    </xdr:from>
    <xdr:to>
      <xdr:col>5</xdr:col>
      <xdr:colOff>1652211</xdr:colOff>
      <xdr:row>117</xdr:row>
      <xdr:rowOff>417164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CxnSpPr/>
      </xdr:nvCxnSpPr>
      <xdr:spPr>
        <a:xfrm flipH="1" flipV="1">
          <a:off x="3747710" y="2153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118</xdr:row>
      <xdr:rowOff>127000</xdr:rowOff>
    </xdr:from>
    <xdr:to>
      <xdr:col>5</xdr:col>
      <xdr:colOff>356235</xdr:colOff>
      <xdr:row>118</xdr:row>
      <xdr:rowOff>309880</xdr:rowOff>
    </xdr:to>
    <xdr:cxnSp macro="">
      <xdr:nvCxnSpPr>
        <xdr:cNvPr id="301" name="Straight Connector 300"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CxnSpPr/>
      </xdr:nvCxnSpPr>
      <xdr:spPr>
        <a:xfrm flipH="1" flipV="1">
          <a:off x="3480435" y="21706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118</xdr:row>
      <xdr:rowOff>152400</xdr:rowOff>
    </xdr:from>
    <xdr:to>
      <xdr:col>5</xdr:col>
      <xdr:colOff>1676400</xdr:colOff>
      <xdr:row>118</xdr:row>
      <xdr:rowOff>152400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CxnSpPr/>
      </xdr:nvCxnSpPr>
      <xdr:spPr>
        <a:xfrm>
          <a:off x="3486150" y="217322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118</xdr:row>
      <xdr:rowOff>127000</xdr:rowOff>
    </xdr:from>
    <xdr:to>
      <xdr:col>5</xdr:col>
      <xdr:colOff>356810</xdr:colOff>
      <xdr:row>118</xdr:row>
      <xdr:rowOff>409912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CxnSpPr/>
      </xdr:nvCxnSpPr>
      <xdr:spPr>
        <a:xfrm flipH="1" flipV="1">
          <a:off x="3481009" y="21706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118</xdr:row>
      <xdr:rowOff>134252</xdr:rowOff>
    </xdr:from>
    <xdr:to>
      <xdr:col>5</xdr:col>
      <xdr:colOff>1652211</xdr:colOff>
      <xdr:row>118</xdr:row>
      <xdr:rowOff>417164</xdr:rowOff>
    </xdr:to>
    <xdr:cxnSp macro="">
      <xdr:nvCxnSpPr>
        <xdr:cNvPr id="304" name="Straight Connector 303"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CxnSpPr/>
      </xdr:nvCxnSpPr>
      <xdr:spPr>
        <a:xfrm flipH="1" flipV="1">
          <a:off x="3747710" y="21714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119</xdr:row>
      <xdr:rowOff>123824</xdr:rowOff>
    </xdr:from>
    <xdr:to>
      <xdr:col>5</xdr:col>
      <xdr:colOff>1428750</xdr:colOff>
      <xdr:row>119</xdr:row>
      <xdr:rowOff>1219199</xdr:rowOff>
    </xdr:to>
    <xdr:sp macro="" textlink="">
      <xdr:nvSpPr>
        <xdr:cNvPr id="305" name="Rounded Rectangle 304"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SpPr/>
      </xdr:nvSpPr>
      <xdr:spPr>
        <a:xfrm>
          <a:off x="3745230" y="218865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119</xdr:row>
      <xdr:rowOff>238127</xdr:rowOff>
    </xdr:from>
    <xdr:to>
      <xdr:col>5</xdr:col>
      <xdr:colOff>790575</xdr:colOff>
      <xdr:row>119</xdr:row>
      <xdr:rowOff>361950</xdr:rowOff>
    </xdr:to>
    <xdr:cxnSp macro="">
      <xdr:nvCxnSpPr>
        <xdr:cNvPr id="306" name="Straight Connector 305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CxnSpPr/>
      </xdr:nvCxnSpPr>
      <xdr:spPr>
        <a:xfrm flipH="1" flipV="1">
          <a:off x="3749041" y="219475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119</xdr:row>
      <xdr:rowOff>133352</xdr:rowOff>
    </xdr:from>
    <xdr:to>
      <xdr:col>5</xdr:col>
      <xdr:colOff>885825</xdr:colOff>
      <xdr:row>119</xdr:row>
      <xdr:rowOff>257175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CxnSpPr/>
      </xdr:nvCxnSpPr>
      <xdr:spPr>
        <a:xfrm flipH="1" flipV="1">
          <a:off x="3745231" y="218960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117</xdr:row>
      <xdr:rowOff>127000</xdr:rowOff>
    </xdr:from>
    <xdr:to>
      <xdr:col>5</xdr:col>
      <xdr:colOff>356235</xdr:colOff>
      <xdr:row>117</xdr:row>
      <xdr:rowOff>309880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CxnSpPr/>
      </xdr:nvCxnSpPr>
      <xdr:spPr>
        <a:xfrm flipH="1" flipV="1">
          <a:off x="3480435" y="2152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117</xdr:row>
      <xdr:rowOff>400050</xdr:rowOff>
    </xdr:from>
    <xdr:to>
      <xdr:col>5</xdr:col>
      <xdr:colOff>1666875</xdr:colOff>
      <xdr:row>117</xdr:row>
      <xdr:rowOff>400050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CxnSpPr/>
      </xdr:nvCxnSpPr>
      <xdr:spPr>
        <a:xfrm>
          <a:off x="3476625" y="215760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117</xdr:row>
      <xdr:rowOff>127000</xdr:rowOff>
    </xdr:from>
    <xdr:to>
      <xdr:col>5</xdr:col>
      <xdr:colOff>356810</xdr:colOff>
      <xdr:row>117</xdr:row>
      <xdr:rowOff>409912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CxnSpPr/>
      </xdr:nvCxnSpPr>
      <xdr:spPr>
        <a:xfrm flipH="1" flipV="1">
          <a:off x="3481009" y="2152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117</xdr:row>
      <xdr:rowOff>134252</xdr:rowOff>
    </xdr:from>
    <xdr:to>
      <xdr:col>5</xdr:col>
      <xdr:colOff>1652211</xdr:colOff>
      <xdr:row>117</xdr:row>
      <xdr:rowOff>417164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CxnSpPr/>
      </xdr:nvCxnSpPr>
      <xdr:spPr>
        <a:xfrm flipH="1" flipV="1">
          <a:off x="3747710" y="2153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118</xdr:row>
      <xdr:rowOff>127000</xdr:rowOff>
    </xdr:from>
    <xdr:to>
      <xdr:col>5</xdr:col>
      <xdr:colOff>356235</xdr:colOff>
      <xdr:row>118</xdr:row>
      <xdr:rowOff>309880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CxnSpPr/>
      </xdr:nvCxnSpPr>
      <xdr:spPr>
        <a:xfrm flipH="1" flipV="1">
          <a:off x="3480435" y="21706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118</xdr:row>
      <xdr:rowOff>152400</xdr:rowOff>
    </xdr:from>
    <xdr:to>
      <xdr:col>5</xdr:col>
      <xdr:colOff>1676400</xdr:colOff>
      <xdr:row>118</xdr:row>
      <xdr:rowOff>152400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CxnSpPr/>
      </xdr:nvCxnSpPr>
      <xdr:spPr>
        <a:xfrm>
          <a:off x="3486150" y="217322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118</xdr:row>
      <xdr:rowOff>127000</xdr:rowOff>
    </xdr:from>
    <xdr:to>
      <xdr:col>5</xdr:col>
      <xdr:colOff>356810</xdr:colOff>
      <xdr:row>118</xdr:row>
      <xdr:rowOff>409912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CxnSpPr/>
      </xdr:nvCxnSpPr>
      <xdr:spPr>
        <a:xfrm flipH="1" flipV="1">
          <a:off x="3481009" y="21706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118</xdr:row>
      <xdr:rowOff>134252</xdr:rowOff>
    </xdr:from>
    <xdr:to>
      <xdr:col>5</xdr:col>
      <xdr:colOff>1652211</xdr:colOff>
      <xdr:row>118</xdr:row>
      <xdr:rowOff>417164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CxnSpPr/>
      </xdr:nvCxnSpPr>
      <xdr:spPr>
        <a:xfrm flipH="1" flipV="1">
          <a:off x="3747710" y="21714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119</xdr:row>
      <xdr:rowOff>123824</xdr:rowOff>
    </xdr:from>
    <xdr:to>
      <xdr:col>5</xdr:col>
      <xdr:colOff>1428750</xdr:colOff>
      <xdr:row>119</xdr:row>
      <xdr:rowOff>1219199</xdr:rowOff>
    </xdr:to>
    <xdr:sp macro="" textlink="">
      <xdr:nvSpPr>
        <xdr:cNvPr id="316" name="Rounded Rectangle 315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SpPr/>
      </xdr:nvSpPr>
      <xdr:spPr>
        <a:xfrm>
          <a:off x="3745230" y="218865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119</xdr:row>
      <xdr:rowOff>238127</xdr:rowOff>
    </xdr:from>
    <xdr:to>
      <xdr:col>5</xdr:col>
      <xdr:colOff>790575</xdr:colOff>
      <xdr:row>119</xdr:row>
      <xdr:rowOff>361950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CxnSpPr/>
      </xdr:nvCxnSpPr>
      <xdr:spPr>
        <a:xfrm flipH="1" flipV="1">
          <a:off x="3749041" y="219475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119</xdr:row>
      <xdr:rowOff>133352</xdr:rowOff>
    </xdr:from>
    <xdr:to>
      <xdr:col>5</xdr:col>
      <xdr:colOff>885825</xdr:colOff>
      <xdr:row>119</xdr:row>
      <xdr:rowOff>257175</xdr:rowOff>
    </xdr:to>
    <xdr:cxnSp macro="">
      <xdr:nvCxnSpPr>
        <xdr:cNvPr id="318" name="Straight Connector 317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CxnSpPr/>
      </xdr:nvCxnSpPr>
      <xdr:spPr>
        <a:xfrm flipH="1" flipV="1">
          <a:off x="3745231" y="218960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117</xdr:row>
      <xdr:rowOff>127000</xdr:rowOff>
    </xdr:from>
    <xdr:to>
      <xdr:col>5</xdr:col>
      <xdr:colOff>356235</xdr:colOff>
      <xdr:row>117</xdr:row>
      <xdr:rowOff>309880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CxnSpPr/>
      </xdr:nvCxnSpPr>
      <xdr:spPr>
        <a:xfrm flipH="1" flipV="1">
          <a:off x="3480435" y="2152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117</xdr:row>
      <xdr:rowOff>400050</xdr:rowOff>
    </xdr:from>
    <xdr:to>
      <xdr:col>5</xdr:col>
      <xdr:colOff>1666875</xdr:colOff>
      <xdr:row>117</xdr:row>
      <xdr:rowOff>400050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CxnSpPr/>
      </xdr:nvCxnSpPr>
      <xdr:spPr>
        <a:xfrm>
          <a:off x="3476625" y="215760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117</xdr:row>
      <xdr:rowOff>127000</xdr:rowOff>
    </xdr:from>
    <xdr:to>
      <xdr:col>5</xdr:col>
      <xdr:colOff>356810</xdr:colOff>
      <xdr:row>117</xdr:row>
      <xdr:rowOff>409912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CxnSpPr/>
      </xdr:nvCxnSpPr>
      <xdr:spPr>
        <a:xfrm flipH="1" flipV="1">
          <a:off x="3481009" y="2152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117</xdr:row>
      <xdr:rowOff>134252</xdr:rowOff>
    </xdr:from>
    <xdr:to>
      <xdr:col>5</xdr:col>
      <xdr:colOff>1652211</xdr:colOff>
      <xdr:row>117</xdr:row>
      <xdr:rowOff>417164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CxnSpPr/>
      </xdr:nvCxnSpPr>
      <xdr:spPr>
        <a:xfrm flipH="1" flipV="1">
          <a:off x="3747710" y="2153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118</xdr:row>
      <xdr:rowOff>127000</xdr:rowOff>
    </xdr:from>
    <xdr:to>
      <xdr:col>5</xdr:col>
      <xdr:colOff>356235</xdr:colOff>
      <xdr:row>118</xdr:row>
      <xdr:rowOff>309880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CxnSpPr/>
      </xdr:nvCxnSpPr>
      <xdr:spPr>
        <a:xfrm flipH="1" flipV="1">
          <a:off x="3480435" y="21706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118</xdr:row>
      <xdr:rowOff>152400</xdr:rowOff>
    </xdr:from>
    <xdr:to>
      <xdr:col>5</xdr:col>
      <xdr:colOff>1676400</xdr:colOff>
      <xdr:row>118</xdr:row>
      <xdr:rowOff>152400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CxnSpPr/>
      </xdr:nvCxnSpPr>
      <xdr:spPr>
        <a:xfrm>
          <a:off x="3486150" y="217322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118</xdr:row>
      <xdr:rowOff>127000</xdr:rowOff>
    </xdr:from>
    <xdr:to>
      <xdr:col>5</xdr:col>
      <xdr:colOff>356810</xdr:colOff>
      <xdr:row>118</xdr:row>
      <xdr:rowOff>409912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CxnSpPr/>
      </xdr:nvCxnSpPr>
      <xdr:spPr>
        <a:xfrm flipH="1" flipV="1">
          <a:off x="3481009" y="21706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118</xdr:row>
      <xdr:rowOff>134252</xdr:rowOff>
    </xdr:from>
    <xdr:to>
      <xdr:col>5</xdr:col>
      <xdr:colOff>1652211</xdr:colOff>
      <xdr:row>118</xdr:row>
      <xdr:rowOff>417164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CxnSpPr/>
      </xdr:nvCxnSpPr>
      <xdr:spPr>
        <a:xfrm flipH="1" flipV="1">
          <a:off x="3747710" y="21714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119</xdr:row>
      <xdr:rowOff>123824</xdr:rowOff>
    </xdr:from>
    <xdr:to>
      <xdr:col>5</xdr:col>
      <xdr:colOff>1428750</xdr:colOff>
      <xdr:row>119</xdr:row>
      <xdr:rowOff>1219199</xdr:rowOff>
    </xdr:to>
    <xdr:sp macro="" textlink="">
      <xdr:nvSpPr>
        <xdr:cNvPr id="327" name="Rounded Rectangle 326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SpPr/>
      </xdr:nvSpPr>
      <xdr:spPr>
        <a:xfrm>
          <a:off x="3745230" y="218865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119</xdr:row>
      <xdr:rowOff>238127</xdr:rowOff>
    </xdr:from>
    <xdr:to>
      <xdr:col>5</xdr:col>
      <xdr:colOff>790575</xdr:colOff>
      <xdr:row>119</xdr:row>
      <xdr:rowOff>361950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CxnSpPr/>
      </xdr:nvCxnSpPr>
      <xdr:spPr>
        <a:xfrm flipH="1" flipV="1">
          <a:off x="3749041" y="219475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119</xdr:row>
      <xdr:rowOff>133352</xdr:rowOff>
    </xdr:from>
    <xdr:to>
      <xdr:col>5</xdr:col>
      <xdr:colOff>885825</xdr:colOff>
      <xdr:row>119</xdr:row>
      <xdr:rowOff>257175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CxnSpPr/>
      </xdr:nvCxnSpPr>
      <xdr:spPr>
        <a:xfrm flipH="1" flipV="1">
          <a:off x="3745231" y="218960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117</xdr:row>
      <xdr:rowOff>127000</xdr:rowOff>
    </xdr:from>
    <xdr:to>
      <xdr:col>5</xdr:col>
      <xdr:colOff>356235</xdr:colOff>
      <xdr:row>117</xdr:row>
      <xdr:rowOff>309880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CxnSpPr/>
      </xdr:nvCxnSpPr>
      <xdr:spPr>
        <a:xfrm flipH="1" flipV="1">
          <a:off x="3480435" y="2152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117</xdr:row>
      <xdr:rowOff>400050</xdr:rowOff>
    </xdr:from>
    <xdr:to>
      <xdr:col>5</xdr:col>
      <xdr:colOff>1666875</xdr:colOff>
      <xdr:row>117</xdr:row>
      <xdr:rowOff>400050</xdr:rowOff>
    </xdr:to>
    <xdr:cxnSp macro="">
      <xdr:nvCxnSpPr>
        <xdr:cNvPr id="331" name="Straight Connector 330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CxnSpPr/>
      </xdr:nvCxnSpPr>
      <xdr:spPr>
        <a:xfrm>
          <a:off x="3476625" y="215760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117</xdr:row>
      <xdr:rowOff>127000</xdr:rowOff>
    </xdr:from>
    <xdr:to>
      <xdr:col>5</xdr:col>
      <xdr:colOff>356810</xdr:colOff>
      <xdr:row>117</xdr:row>
      <xdr:rowOff>409912</xdr:rowOff>
    </xdr:to>
    <xdr:cxnSp macro="">
      <xdr:nvCxnSpPr>
        <xdr:cNvPr id="332" name="Straight Connector 331"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CxnSpPr/>
      </xdr:nvCxnSpPr>
      <xdr:spPr>
        <a:xfrm flipH="1" flipV="1">
          <a:off x="3481009" y="2152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117</xdr:row>
      <xdr:rowOff>134252</xdr:rowOff>
    </xdr:from>
    <xdr:to>
      <xdr:col>5</xdr:col>
      <xdr:colOff>1652211</xdr:colOff>
      <xdr:row>117</xdr:row>
      <xdr:rowOff>417164</xdr:rowOff>
    </xdr:to>
    <xdr:cxnSp macro="">
      <xdr:nvCxnSpPr>
        <xdr:cNvPr id="333" name="Straight Connector 332"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CxnSpPr/>
      </xdr:nvCxnSpPr>
      <xdr:spPr>
        <a:xfrm flipH="1" flipV="1">
          <a:off x="3747710" y="2153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118</xdr:row>
      <xdr:rowOff>127000</xdr:rowOff>
    </xdr:from>
    <xdr:to>
      <xdr:col>5</xdr:col>
      <xdr:colOff>356235</xdr:colOff>
      <xdr:row>118</xdr:row>
      <xdr:rowOff>309880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CxnSpPr/>
      </xdr:nvCxnSpPr>
      <xdr:spPr>
        <a:xfrm flipH="1" flipV="1">
          <a:off x="3480435" y="21706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118</xdr:row>
      <xdr:rowOff>152400</xdr:rowOff>
    </xdr:from>
    <xdr:to>
      <xdr:col>5</xdr:col>
      <xdr:colOff>1676400</xdr:colOff>
      <xdr:row>118</xdr:row>
      <xdr:rowOff>152400</xdr:rowOff>
    </xdr:to>
    <xdr:cxnSp macro="">
      <xdr:nvCxnSpPr>
        <xdr:cNvPr id="335" name="Straight Connector 334"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CxnSpPr/>
      </xdr:nvCxnSpPr>
      <xdr:spPr>
        <a:xfrm>
          <a:off x="3486150" y="217322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118</xdr:row>
      <xdr:rowOff>127000</xdr:rowOff>
    </xdr:from>
    <xdr:to>
      <xdr:col>5</xdr:col>
      <xdr:colOff>356810</xdr:colOff>
      <xdr:row>118</xdr:row>
      <xdr:rowOff>409912</xdr:rowOff>
    </xdr:to>
    <xdr:cxnSp macro="">
      <xdr:nvCxnSpPr>
        <xdr:cNvPr id="336" name="Straight Connector 335"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CxnSpPr/>
      </xdr:nvCxnSpPr>
      <xdr:spPr>
        <a:xfrm flipH="1" flipV="1">
          <a:off x="3481009" y="21706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119</xdr:row>
      <xdr:rowOff>123824</xdr:rowOff>
    </xdr:from>
    <xdr:to>
      <xdr:col>5</xdr:col>
      <xdr:colOff>1428750</xdr:colOff>
      <xdr:row>119</xdr:row>
      <xdr:rowOff>1219199</xdr:rowOff>
    </xdr:to>
    <xdr:sp macro="" textlink="">
      <xdr:nvSpPr>
        <xdr:cNvPr id="337" name="Rounded Rectangle 336"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SpPr/>
      </xdr:nvSpPr>
      <xdr:spPr>
        <a:xfrm>
          <a:off x="3745230" y="218865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119</xdr:row>
      <xdr:rowOff>238127</xdr:rowOff>
    </xdr:from>
    <xdr:to>
      <xdr:col>5</xdr:col>
      <xdr:colOff>790575</xdr:colOff>
      <xdr:row>119</xdr:row>
      <xdr:rowOff>361950</xdr:rowOff>
    </xdr:to>
    <xdr:cxnSp macro="">
      <xdr:nvCxnSpPr>
        <xdr:cNvPr id="338" name="Straight Connector 337"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CxnSpPr/>
      </xdr:nvCxnSpPr>
      <xdr:spPr>
        <a:xfrm flipH="1" flipV="1">
          <a:off x="3749041" y="219475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119</xdr:row>
      <xdr:rowOff>133352</xdr:rowOff>
    </xdr:from>
    <xdr:to>
      <xdr:col>5</xdr:col>
      <xdr:colOff>885825</xdr:colOff>
      <xdr:row>119</xdr:row>
      <xdr:rowOff>257175</xdr:rowOff>
    </xdr:to>
    <xdr:cxnSp macro="">
      <xdr:nvCxnSpPr>
        <xdr:cNvPr id="339" name="Straight Connector 338"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CxnSpPr/>
      </xdr:nvCxnSpPr>
      <xdr:spPr>
        <a:xfrm flipH="1" flipV="1">
          <a:off x="3745231" y="218960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122</xdr:row>
      <xdr:rowOff>127000</xdr:rowOff>
    </xdr:from>
    <xdr:to>
      <xdr:col>5</xdr:col>
      <xdr:colOff>356235</xdr:colOff>
      <xdr:row>122</xdr:row>
      <xdr:rowOff>309880</xdr:rowOff>
    </xdr:to>
    <xdr:cxnSp macro="">
      <xdr:nvCxnSpPr>
        <xdr:cNvPr id="340" name="Straight Connector 339"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CxnSpPr/>
      </xdr:nvCxnSpPr>
      <xdr:spPr>
        <a:xfrm flipH="1" flipV="1">
          <a:off x="3480435" y="2243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122</xdr:row>
      <xdr:rowOff>400050</xdr:rowOff>
    </xdr:from>
    <xdr:to>
      <xdr:col>5</xdr:col>
      <xdr:colOff>1666875</xdr:colOff>
      <xdr:row>122</xdr:row>
      <xdr:rowOff>400050</xdr:rowOff>
    </xdr:to>
    <xdr:cxnSp macro="">
      <xdr:nvCxnSpPr>
        <xdr:cNvPr id="341" name="Straight Connector 340"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CxnSpPr/>
      </xdr:nvCxnSpPr>
      <xdr:spPr>
        <a:xfrm>
          <a:off x="3476625" y="2249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122</xdr:row>
      <xdr:rowOff>127000</xdr:rowOff>
    </xdr:from>
    <xdr:to>
      <xdr:col>5</xdr:col>
      <xdr:colOff>356810</xdr:colOff>
      <xdr:row>122</xdr:row>
      <xdr:rowOff>409912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CxnSpPr/>
      </xdr:nvCxnSpPr>
      <xdr:spPr>
        <a:xfrm flipH="1" flipV="1">
          <a:off x="3481009" y="2243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122</xdr:row>
      <xdr:rowOff>134252</xdr:rowOff>
    </xdr:from>
    <xdr:to>
      <xdr:col>5</xdr:col>
      <xdr:colOff>1652211</xdr:colOff>
      <xdr:row>122</xdr:row>
      <xdr:rowOff>417164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CxnSpPr/>
      </xdr:nvCxnSpPr>
      <xdr:spPr>
        <a:xfrm flipH="1" flipV="1">
          <a:off x="3747710" y="2244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123</xdr:row>
      <xdr:rowOff>127000</xdr:rowOff>
    </xdr:from>
    <xdr:to>
      <xdr:col>5</xdr:col>
      <xdr:colOff>356235</xdr:colOff>
      <xdr:row>123</xdr:row>
      <xdr:rowOff>309880</xdr:rowOff>
    </xdr:to>
    <xdr:cxnSp macro="">
      <xdr:nvCxnSpPr>
        <xdr:cNvPr id="344" name="Straight Connector 343"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CxnSpPr/>
      </xdr:nvCxnSpPr>
      <xdr:spPr>
        <a:xfrm flipH="1" flipV="1">
          <a:off x="3480435" y="2262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123</xdr:row>
      <xdr:rowOff>152400</xdr:rowOff>
    </xdr:from>
    <xdr:to>
      <xdr:col>5</xdr:col>
      <xdr:colOff>1676400</xdr:colOff>
      <xdr:row>123</xdr:row>
      <xdr:rowOff>152400</xdr:rowOff>
    </xdr:to>
    <xdr:cxnSp macro="">
      <xdr:nvCxnSpPr>
        <xdr:cNvPr id="345" name="Straight Connector 344"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CxnSpPr/>
      </xdr:nvCxnSpPr>
      <xdr:spPr>
        <a:xfrm>
          <a:off x="3486150" y="2264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123</xdr:row>
      <xdr:rowOff>127000</xdr:rowOff>
    </xdr:from>
    <xdr:to>
      <xdr:col>5</xdr:col>
      <xdr:colOff>356810</xdr:colOff>
      <xdr:row>123</xdr:row>
      <xdr:rowOff>409912</xdr:rowOff>
    </xdr:to>
    <xdr:cxnSp macro="">
      <xdr:nvCxnSpPr>
        <xdr:cNvPr id="346" name="Straight Connector 345"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CxnSpPr/>
      </xdr:nvCxnSpPr>
      <xdr:spPr>
        <a:xfrm flipH="1" flipV="1">
          <a:off x="3481009" y="2262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123</xdr:row>
      <xdr:rowOff>134252</xdr:rowOff>
    </xdr:from>
    <xdr:to>
      <xdr:col>5</xdr:col>
      <xdr:colOff>1652211</xdr:colOff>
      <xdr:row>123</xdr:row>
      <xdr:rowOff>417164</xdr:rowOff>
    </xdr:to>
    <xdr:cxnSp macro="">
      <xdr:nvCxnSpPr>
        <xdr:cNvPr id="347" name="Straight Connector 346"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CxnSpPr/>
      </xdr:nvCxnSpPr>
      <xdr:spPr>
        <a:xfrm flipH="1" flipV="1">
          <a:off x="3747710" y="22628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124</xdr:row>
      <xdr:rowOff>123824</xdr:rowOff>
    </xdr:from>
    <xdr:to>
      <xdr:col>5</xdr:col>
      <xdr:colOff>1428750</xdr:colOff>
      <xdr:row>124</xdr:row>
      <xdr:rowOff>1219199</xdr:rowOff>
    </xdr:to>
    <xdr:sp macro="" textlink="">
      <xdr:nvSpPr>
        <xdr:cNvPr id="348" name="Rounded Rectangle 347"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SpPr/>
      </xdr:nvSpPr>
      <xdr:spPr>
        <a:xfrm>
          <a:off x="3745230" y="2280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124</xdr:row>
      <xdr:rowOff>238127</xdr:rowOff>
    </xdr:from>
    <xdr:to>
      <xdr:col>5</xdr:col>
      <xdr:colOff>790575</xdr:colOff>
      <xdr:row>124</xdr:row>
      <xdr:rowOff>361950</xdr:rowOff>
    </xdr:to>
    <xdr:cxnSp macro="">
      <xdr:nvCxnSpPr>
        <xdr:cNvPr id="349" name="Straight Connector 348"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CxnSpPr/>
      </xdr:nvCxnSpPr>
      <xdr:spPr>
        <a:xfrm flipH="1" flipV="1">
          <a:off x="3749041" y="2286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124</xdr:row>
      <xdr:rowOff>133352</xdr:rowOff>
    </xdr:from>
    <xdr:to>
      <xdr:col>5</xdr:col>
      <xdr:colOff>885825</xdr:colOff>
      <xdr:row>124</xdr:row>
      <xdr:rowOff>257175</xdr:rowOff>
    </xdr:to>
    <xdr:cxnSp macro="">
      <xdr:nvCxnSpPr>
        <xdr:cNvPr id="350" name="Straight Connector 349"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CxnSpPr/>
      </xdr:nvCxnSpPr>
      <xdr:spPr>
        <a:xfrm flipH="1" flipV="1">
          <a:off x="3745231" y="2281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122</xdr:row>
      <xdr:rowOff>127000</xdr:rowOff>
    </xdr:from>
    <xdr:to>
      <xdr:col>5</xdr:col>
      <xdr:colOff>356235</xdr:colOff>
      <xdr:row>122</xdr:row>
      <xdr:rowOff>309880</xdr:rowOff>
    </xdr:to>
    <xdr:cxnSp macro="">
      <xdr:nvCxnSpPr>
        <xdr:cNvPr id="351" name="Straight Connector 350"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CxnSpPr/>
      </xdr:nvCxnSpPr>
      <xdr:spPr>
        <a:xfrm flipH="1" flipV="1">
          <a:off x="3480435" y="2243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122</xdr:row>
      <xdr:rowOff>400050</xdr:rowOff>
    </xdr:from>
    <xdr:to>
      <xdr:col>5</xdr:col>
      <xdr:colOff>1666875</xdr:colOff>
      <xdr:row>122</xdr:row>
      <xdr:rowOff>400050</xdr:rowOff>
    </xdr:to>
    <xdr:cxnSp macro="">
      <xdr:nvCxnSpPr>
        <xdr:cNvPr id="352" name="Straight Connector 351"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CxnSpPr/>
      </xdr:nvCxnSpPr>
      <xdr:spPr>
        <a:xfrm>
          <a:off x="3476625" y="2249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122</xdr:row>
      <xdr:rowOff>127000</xdr:rowOff>
    </xdr:from>
    <xdr:to>
      <xdr:col>5</xdr:col>
      <xdr:colOff>356810</xdr:colOff>
      <xdr:row>122</xdr:row>
      <xdr:rowOff>409912</xdr:rowOff>
    </xdr:to>
    <xdr:cxnSp macro="">
      <xdr:nvCxnSpPr>
        <xdr:cNvPr id="353" name="Straight Connector 352"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CxnSpPr/>
      </xdr:nvCxnSpPr>
      <xdr:spPr>
        <a:xfrm flipH="1" flipV="1">
          <a:off x="3481009" y="2243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122</xdr:row>
      <xdr:rowOff>134252</xdr:rowOff>
    </xdr:from>
    <xdr:to>
      <xdr:col>5</xdr:col>
      <xdr:colOff>1652211</xdr:colOff>
      <xdr:row>122</xdr:row>
      <xdr:rowOff>417164</xdr:rowOff>
    </xdr:to>
    <xdr:cxnSp macro="">
      <xdr:nvCxnSpPr>
        <xdr:cNvPr id="354" name="Straight Connector 353"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CxnSpPr/>
      </xdr:nvCxnSpPr>
      <xdr:spPr>
        <a:xfrm flipH="1" flipV="1">
          <a:off x="3747710" y="2244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123</xdr:row>
      <xdr:rowOff>127000</xdr:rowOff>
    </xdr:from>
    <xdr:to>
      <xdr:col>5</xdr:col>
      <xdr:colOff>356235</xdr:colOff>
      <xdr:row>123</xdr:row>
      <xdr:rowOff>309880</xdr:rowOff>
    </xdr:to>
    <xdr:cxnSp macro="">
      <xdr:nvCxnSpPr>
        <xdr:cNvPr id="355" name="Straight Connector 354"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CxnSpPr/>
      </xdr:nvCxnSpPr>
      <xdr:spPr>
        <a:xfrm flipH="1" flipV="1">
          <a:off x="3480435" y="2262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123</xdr:row>
      <xdr:rowOff>152400</xdr:rowOff>
    </xdr:from>
    <xdr:to>
      <xdr:col>5</xdr:col>
      <xdr:colOff>1676400</xdr:colOff>
      <xdr:row>123</xdr:row>
      <xdr:rowOff>152400</xdr:rowOff>
    </xdr:to>
    <xdr:cxnSp macro="">
      <xdr:nvCxnSpPr>
        <xdr:cNvPr id="356" name="Straight Connector 355"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CxnSpPr/>
      </xdr:nvCxnSpPr>
      <xdr:spPr>
        <a:xfrm>
          <a:off x="3486150" y="2264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123</xdr:row>
      <xdr:rowOff>127000</xdr:rowOff>
    </xdr:from>
    <xdr:to>
      <xdr:col>5</xdr:col>
      <xdr:colOff>356810</xdr:colOff>
      <xdr:row>123</xdr:row>
      <xdr:rowOff>409912</xdr:rowOff>
    </xdr:to>
    <xdr:cxnSp macro="">
      <xdr:nvCxnSpPr>
        <xdr:cNvPr id="357" name="Straight Connector 356"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CxnSpPr/>
      </xdr:nvCxnSpPr>
      <xdr:spPr>
        <a:xfrm flipH="1" flipV="1">
          <a:off x="3481009" y="2262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123</xdr:row>
      <xdr:rowOff>134252</xdr:rowOff>
    </xdr:from>
    <xdr:to>
      <xdr:col>5</xdr:col>
      <xdr:colOff>1652211</xdr:colOff>
      <xdr:row>123</xdr:row>
      <xdr:rowOff>417164</xdr:rowOff>
    </xdr:to>
    <xdr:cxnSp macro="">
      <xdr:nvCxnSpPr>
        <xdr:cNvPr id="358" name="Straight Connector 357"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CxnSpPr/>
      </xdr:nvCxnSpPr>
      <xdr:spPr>
        <a:xfrm flipH="1" flipV="1">
          <a:off x="3747710" y="22628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124</xdr:row>
      <xdr:rowOff>123824</xdr:rowOff>
    </xdr:from>
    <xdr:to>
      <xdr:col>5</xdr:col>
      <xdr:colOff>1428750</xdr:colOff>
      <xdr:row>124</xdr:row>
      <xdr:rowOff>1219199</xdr:rowOff>
    </xdr:to>
    <xdr:sp macro="" textlink="">
      <xdr:nvSpPr>
        <xdr:cNvPr id="359" name="Rounded Rectangle 358"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/>
      </xdr:nvSpPr>
      <xdr:spPr>
        <a:xfrm>
          <a:off x="3745230" y="2280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124</xdr:row>
      <xdr:rowOff>238127</xdr:rowOff>
    </xdr:from>
    <xdr:to>
      <xdr:col>5</xdr:col>
      <xdr:colOff>790575</xdr:colOff>
      <xdr:row>124</xdr:row>
      <xdr:rowOff>361950</xdr:rowOff>
    </xdr:to>
    <xdr:cxnSp macro="">
      <xdr:nvCxnSpPr>
        <xdr:cNvPr id="360" name="Straight Connector 359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CxnSpPr/>
      </xdr:nvCxnSpPr>
      <xdr:spPr>
        <a:xfrm flipH="1" flipV="1">
          <a:off x="3749041" y="2286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124</xdr:row>
      <xdr:rowOff>133352</xdr:rowOff>
    </xdr:from>
    <xdr:to>
      <xdr:col>5</xdr:col>
      <xdr:colOff>885825</xdr:colOff>
      <xdr:row>124</xdr:row>
      <xdr:rowOff>257175</xdr:rowOff>
    </xdr:to>
    <xdr:cxnSp macro="">
      <xdr:nvCxnSpPr>
        <xdr:cNvPr id="361" name="Straight Connector 360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CxnSpPr/>
      </xdr:nvCxnSpPr>
      <xdr:spPr>
        <a:xfrm flipH="1" flipV="1">
          <a:off x="3745231" y="2281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122</xdr:row>
      <xdr:rowOff>127000</xdr:rowOff>
    </xdr:from>
    <xdr:to>
      <xdr:col>5</xdr:col>
      <xdr:colOff>356235</xdr:colOff>
      <xdr:row>122</xdr:row>
      <xdr:rowOff>309880</xdr:rowOff>
    </xdr:to>
    <xdr:cxnSp macro="">
      <xdr:nvCxnSpPr>
        <xdr:cNvPr id="362" name="Straight Connector 361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CxnSpPr/>
      </xdr:nvCxnSpPr>
      <xdr:spPr>
        <a:xfrm flipH="1" flipV="1">
          <a:off x="3480435" y="2243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122</xdr:row>
      <xdr:rowOff>400050</xdr:rowOff>
    </xdr:from>
    <xdr:to>
      <xdr:col>5</xdr:col>
      <xdr:colOff>1666875</xdr:colOff>
      <xdr:row>122</xdr:row>
      <xdr:rowOff>400050</xdr:rowOff>
    </xdr:to>
    <xdr:cxnSp macro="">
      <xdr:nvCxnSpPr>
        <xdr:cNvPr id="363" name="Straight Connector 362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CxnSpPr/>
      </xdr:nvCxnSpPr>
      <xdr:spPr>
        <a:xfrm>
          <a:off x="3476625" y="2249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122</xdr:row>
      <xdr:rowOff>127000</xdr:rowOff>
    </xdr:from>
    <xdr:to>
      <xdr:col>5</xdr:col>
      <xdr:colOff>356810</xdr:colOff>
      <xdr:row>122</xdr:row>
      <xdr:rowOff>409912</xdr:rowOff>
    </xdr:to>
    <xdr:cxnSp macro="">
      <xdr:nvCxnSpPr>
        <xdr:cNvPr id="364" name="Straight Connector 363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CxnSpPr/>
      </xdr:nvCxnSpPr>
      <xdr:spPr>
        <a:xfrm flipH="1" flipV="1">
          <a:off x="3481009" y="2243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122</xdr:row>
      <xdr:rowOff>134252</xdr:rowOff>
    </xdr:from>
    <xdr:to>
      <xdr:col>5</xdr:col>
      <xdr:colOff>1652211</xdr:colOff>
      <xdr:row>122</xdr:row>
      <xdr:rowOff>417164</xdr:rowOff>
    </xdr:to>
    <xdr:cxnSp macro="">
      <xdr:nvCxnSpPr>
        <xdr:cNvPr id="365" name="Straight Connector 364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CxnSpPr/>
      </xdr:nvCxnSpPr>
      <xdr:spPr>
        <a:xfrm flipH="1" flipV="1">
          <a:off x="3747710" y="2244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123</xdr:row>
      <xdr:rowOff>127000</xdr:rowOff>
    </xdr:from>
    <xdr:to>
      <xdr:col>5</xdr:col>
      <xdr:colOff>356235</xdr:colOff>
      <xdr:row>123</xdr:row>
      <xdr:rowOff>309880</xdr:rowOff>
    </xdr:to>
    <xdr:cxnSp macro="">
      <xdr:nvCxnSpPr>
        <xdr:cNvPr id="366" name="Straight Connector 365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CxnSpPr/>
      </xdr:nvCxnSpPr>
      <xdr:spPr>
        <a:xfrm flipH="1" flipV="1">
          <a:off x="3480435" y="2262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123</xdr:row>
      <xdr:rowOff>152400</xdr:rowOff>
    </xdr:from>
    <xdr:to>
      <xdr:col>5</xdr:col>
      <xdr:colOff>1676400</xdr:colOff>
      <xdr:row>123</xdr:row>
      <xdr:rowOff>152400</xdr:rowOff>
    </xdr:to>
    <xdr:cxnSp macro="">
      <xdr:nvCxnSpPr>
        <xdr:cNvPr id="367" name="Straight Connector 366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CxnSpPr/>
      </xdr:nvCxnSpPr>
      <xdr:spPr>
        <a:xfrm>
          <a:off x="3486150" y="2264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123</xdr:row>
      <xdr:rowOff>127000</xdr:rowOff>
    </xdr:from>
    <xdr:to>
      <xdr:col>5</xdr:col>
      <xdr:colOff>356810</xdr:colOff>
      <xdr:row>123</xdr:row>
      <xdr:rowOff>409912</xdr:rowOff>
    </xdr:to>
    <xdr:cxnSp macro="">
      <xdr:nvCxnSpPr>
        <xdr:cNvPr id="368" name="Straight Connector 367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CxnSpPr/>
      </xdr:nvCxnSpPr>
      <xdr:spPr>
        <a:xfrm flipH="1" flipV="1">
          <a:off x="3481009" y="2262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123</xdr:row>
      <xdr:rowOff>134252</xdr:rowOff>
    </xdr:from>
    <xdr:to>
      <xdr:col>5</xdr:col>
      <xdr:colOff>1652211</xdr:colOff>
      <xdr:row>123</xdr:row>
      <xdr:rowOff>417164</xdr:rowOff>
    </xdr:to>
    <xdr:cxnSp macro="">
      <xdr:nvCxnSpPr>
        <xdr:cNvPr id="369" name="Straight Connector 368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CxnSpPr/>
      </xdr:nvCxnSpPr>
      <xdr:spPr>
        <a:xfrm flipH="1" flipV="1">
          <a:off x="3747710" y="22628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124</xdr:row>
      <xdr:rowOff>123824</xdr:rowOff>
    </xdr:from>
    <xdr:to>
      <xdr:col>5</xdr:col>
      <xdr:colOff>1428750</xdr:colOff>
      <xdr:row>124</xdr:row>
      <xdr:rowOff>1219199</xdr:rowOff>
    </xdr:to>
    <xdr:sp macro="" textlink="">
      <xdr:nvSpPr>
        <xdr:cNvPr id="370" name="Rounded Rectangle 369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/>
      </xdr:nvSpPr>
      <xdr:spPr>
        <a:xfrm>
          <a:off x="3745230" y="2280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124</xdr:row>
      <xdr:rowOff>238127</xdr:rowOff>
    </xdr:from>
    <xdr:to>
      <xdr:col>5</xdr:col>
      <xdr:colOff>790575</xdr:colOff>
      <xdr:row>124</xdr:row>
      <xdr:rowOff>361950</xdr:rowOff>
    </xdr:to>
    <xdr:cxnSp macro="">
      <xdr:nvCxnSpPr>
        <xdr:cNvPr id="371" name="Straight Connector 370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CxnSpPr/>
      </xdr:nvCxnSpPr>
      <xdr:spPr>
        <a:xfrm flipH="1" flipV="1">
          <a:off x="3749041" y="2286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124</xdr:row>
      <xdr:rowOff>133352</xdr:rowOff>
    </xdr:from>
    <xdr:to>
      <xdr:col>5</xdr:col>
      <xdr:colOff>885825</xdr:colOff>
      <xdr:row>124</xdr:row>
      <xdr:rowOff>257175</xdr:rowOff>
    </xdr:to>
    <xdr:cxnSp macro="">
      <xdr:nvCxnSpPr>
        <xdr:cNvPr id="372" name="Straight Connector 371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CxnSpPr/>
      </xdr:nvCxnSpPr>
      <xdr:spPr>
        <a:xfrm flipH="1" flipV="1">
          <a:off x="3745231" y="2281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122</xdr:row>
      <xdr:rowOff>127000</xdr:rowOff>
    </xdr:from>
    <xdr:to>
      <xdr:col>5</xdr:col>
      <xdr:colOff>356235</xdr:colOff>
      <xdr:row>122</xdr:row>
      <xdr:rowOff>309880</xdr:rowOff>
    </xdr:to>
    <xdr:cxnSp macro="">
      <xdr:nvCxnSpPr>
        <xdr:cNvPr id="373" name="Straight Connector 372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CxnSpPr/>
      </xdr:nvCxnSpPr>
      <xdr:spPr>
        <a:xfrm flipH="1" flipV="1">
          <a:off x="3480435" y="2243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122</xdr:row>
      <xdr:rowOff>400050</xdr:rowOff>
    </xdr:from>
    <xdr:to>
      <xdr:col>5</xdr:col>
      <xdr:colOff>1666875</xdr:colOff>
      <xdr:row>122</xdr:row>
      <xdr:rowOff>400050</xdr:rowOff>
    </xdr:to>
    <xdr:cxnSp macro="">
      <xdr:nvCxnSpPr>
        <xdr:cNvPr id="374" name="Straight Connector 373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CxnSpPr/>
      </xdr:nvCxnSpPr>
      <xdr:spPr>
        <a:xfrm>
          <a:off x="3476625" y="2249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122</xdr:row>
      <xdr:rowOff>127000</xdr:rowOff>
    </xdr:from>
    <xdr:to>
      <xdr:col>5</xdr:col>
      <xdr:colOff>356810</xdr:colOff>
      <xdr:row>122</xdr:row>
      <xdr:rowOff>409912</xdr:rowOff>
    </xdr:to>
    <xdr:cxnSp macro="">
      <xdr:nvCxnSpPr>
        <xdr:cNvPr id="375" name="Straight Connector 374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CxnSpPr/>
      </xdr:nvCxnSpPr>
      <xdr:spPr>
        <a:xfrm flipH="1" flipV="1">
          <a:off x="3481009" y="2243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122</xdr:row>
      <xdr:rowOff>134252</xdr:rowOff>
    </xdr:from>
    <xdr:to>
      <xdr:col>5</xdr:col>
      <xdr:colOff>1652211</xdr:colOff>
      <xdr:row>122</xdr:row>
      <xdr:rowOff>417164</xdr:rowOff>
    </xdr:to>
    <xdr:cxnSp macro="">
      <xdr:nvCxnSpPr>
        <xdr:cNvPr id="376" name="Straight Connector 375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CxnSpPr/>
      </xdr:nvCxnSpPr>
      <xdr:spPr>
        <a:xfrm flipH="1" flipV="1">
          <a:off x="3747710" y="2244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123</xdr:row>
      <xdr:rowOff>127000</xdr:rowOff>
    </xdr:from>
    <xdr:to>
      <xdr:col>5</xdr:col>
      <xdr:colOff>356235</xdr:colOff>
      <xdr:row>123</xdr:row>
      <xdr:rowOff>309880</xdr:rowOff>
    </xdr:to>
    <xdr:cxnSp macro="">
      <xdr:nvCxnSpPr>
        <xdr:cNvPr id="377" name="Straight Connector 376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CxnSpPr/>
      </xdr:nvCxnSpPr>
      <xdr:spPr>
        <a:xfrm flipH="1" flipV="1">
          <a:off x="3480435" y="2262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123</xdr:row>
      <xdr:rowOff>152400</xdr:rowOff>
    </xdr:from>
    <xdr:to>
      <xdr:col>5</xdr:col>
      <xdr:colOff>1676400</xdr:colOff>
      <xdr:row>123</xdr:row>
      <xdr:rowOff>152400</xdr:rowOff>
    </xdr:to>
    <xdr:cxnSp macro="">
      <xdr:nvCxnSpPr>
        <xdr:cNvPr id="378" name="Straight Connector 377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CxnSpPr/>
      </xdr:nvCxnSpPr>
      <xdr:spPr>
        <a:xfrm>
          <a:off x="3486150" y="2264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123</xdr:row>
      <xdr:rowOff>127000</xdr:rowOff>
    </xdr:from>
    <xdr:to>
      <xdr:col>5</xdr:col>
      <xdr:colOff>356810</xdr:colOff>
      <xdr:row>123</xdr:row>
      <xdr:rowOff>409912</xdr:rowOff>
    </xdr:to>
    <xdr:cxnSp macro="">
      <xdr:nvCxnSpPr>
        <xdr:cNvPr id="379" name="Straight Connector 378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CxnSpPr/>
      </xdr:nvCxnSpPr>
      <xdr:spPr>
        <a:xfrm flipH="1" flipV="1">
          <a:off x="3481009" y="2262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124</xdr:row>
      <xdr:rowOff>123824</xdr:rowOff>
    </xdr:from>
    <xdr:to>
      <xdr:col>5</xdr:col>
      <xdr:colOff>1428750</xdr:colOff>
      <xdr:row>124</xdr:row>
      <xdr:rowOff>1219199</xdr:rowOff>
    </xdr:to>
    <xdr:sp macro="" textlink="">
      <xdr:nvSpPr>
        <xdr:cNvPr id="380" name="Rounded Rectangle 379">
          <a:extLst>
            <a:ext uri="{FF2B5EF4-FFF2-40B4-BE49-F238E27FC236}">
              <a16:creationId xmlns:a16="http://schemas.microsoft.com/office/drawing/2014/main" id="{00000000-0008-0000-0600-00007C010000}"/>
            </a:ext>
          </a:extLst>
        </xdr:cNvPr>
        <xdr:cNvSpPr/>
      </xdr:nvSpPr>
      <xdr:spPr>
        <a:xfrm>
          <a:off x="3745230" y="2280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124</xdr:row>
      <xdr:rowOff>238127</xdr:rowOff>
    </xdr:from>
    <xdr:to>
      <xdr:col>5</xdr:col>
      <xdr:colOff>790575</xdr:colOff>
      <xdr:row>124</xdr:row>
      <xdr:rowOff>361950</xdr:rowOff>
    </xdr:to>
    <xdr:cxnSp macro="">
      <xdr:nvCxnSpPr>
        <xdr:cNvPr id="381" name="Straight Connector 380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CxnSpPr/>
      </xdr:nvCxnSpPr>
      <xdr:spPr>
        <a:xfrm flipH="1" flipV="1">
          <a:off x="3749041" y="2286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124</xdr:row>
      <xdr:rowOff>133352</xdr:rowOff>
    </xdr:from>
    <xdr:to>
      <xdr:col>5</xdr:col>
      <xdr:colOff>885825</xdr:colOff>
      <xdr:row>124</xdr:row>
      <xdr:rowOff>257175</xdr:rowOff>
    </xdr:to>
    <xdr:cxnSp macro="">
      <xdr:nvCxnSpPr>
        <xdr:cNvPr id="382" name="Straight Connector 381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CxnSpPr/>
      </xdr:nvCxnSpPr>
      <xdr:spPr>
        <a:xfrm flipH="1" flipV="1">
          <a:off x="3745231" y="2281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130</xdr:row>
      <xdr:rowOff>127000</xdr:rowOff>
    </xdr:from>
    <xdr:to>
      <xdr:col>5</xdr:col>
      <xdr:colOff>356235</xdr:colOff>
      <xdr:row>130</xdr:row>
      <xdr:rowOff>309880</xdr:rowOff>
    </xdr:to>
    <xdr:cxnSp macro="">
      <xdr:nvCxnSpPr>
        <xdr:cNvPr id="383" name="Straight Connector 382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CxnSpPr/>
      </xdr:nvCxnSpPr>
      <xdr:spPr>
        <a:xfrm flipH="1" flipV="1">
          <a:off x="3480435" y="23901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130</xdr:row>
      <xdr:rowOff>400050</xdr:rowOff>
    </xdr:from>
    <xdr:to>
      <xdr:col>5</xdr:col>
      <xdr:colOff>1666875</xdr:colOff>
      <xdr:row>130</xdr:row>
      <xdr:rowOff>400050</xdr:rowOff>
    </xdr:to>
    <xdr:cxnSp macro="">
      <xdr:nvCxnSpPr>
        <xdr:cNvPr id="384" name="Straight Connector 383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CxnSpPr/>
      </xdr:nvCxnSpPr>
      <xdr:spPr>
        <a:xfrm>
          <a:off x="3476625" y="23953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130</xdr:row>
      <xdr:rowOff>127000</xdr:rowOff>
    </xdr:from>
    <xdr:to>
      <xdr:col>5</xdr:col>
      <xdr:colOff>356810</xdr:colOff>
      <xdr:row>130</xdr:row>
      <xdr:rowOff>409912</xdr:rowOff>
    </xdr:to>
    <xdr:cxnSp macro="">
      <xdr:nvCxnSpPr>
        <xdr:cNvPr id="385" name="Straight Connector 384"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CxnSpPr/>
      </xdr:nvCxnSpPr>
      <xdr:spPr>
        <a:xfrm flipH="1" flipV="1">
          <a:off x="3481009" y="23901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130</xdr:row>
      <xdr:rowOff>134252</xdr:rowOff>
    </xdr:from>
    <xdr:to>
      <xdr:col>5</xdr:col>
      <xdr:colOff>1652211</xdr:colOff>
      <xdr:row>130</xdr:row>
      <xdr:rowOff>417164</xdr:rowOff>
    </xdr:to>
    <xdr:cxnSp macro="">
      <xdr:nvCxnSpPr>
        <xdr:cNvPr id="386" name="Straight Connector 385"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CxnSpPr/>
      </xdr:nvCxnSpPr>
      <xdr:spPr>
        <a:xfrm flipH="1" flipV="1">
          <a:off x="3747710" y="23908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131</xdr:row>
      <xdr:rowOff>127000</xdr:rowOff>
    </xdr:from>
    <xdr:to>
      <xdr:col>5</xdr:col>
      <xdr:colOff>356235</xdr:colOff>
      <xdr:row>131</xdr:row>
      <xdr:rowOff>309880</xdr:rowOff>
    </xdr:to>
    <xdr:cxnSp macro="">
      <xdr:nvCxnSpPr>
        <xdr:cNvPr id="387" name="Straight Connector 386"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CxnSpPr/>
      </xdr:nvCxnSpPr>
      <xdr:spPr>
        <a:xfrm flipH="1" flipV="1">
          <a:off x="3480435" y="24084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131</xdr:row>
      <xdr:rowOff>152400</xdr:rowOff>
    </xdr:from>
    <xdr:to>
      <xdr:col>5</xdr:col>
      <xdr:colOff>1676400</xdr:colOff>
      <xdr:row>131</xdr:row>
      <xdr:rowOff>152400</xdr:rowOff>
    </xdr:to>
    <xdr:cxnSp macro="">
      <xdr:nvCxnSpPr>
        <xdr:cNvPr id="388" name="Straight Connector 387"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CxnSpPr/>
      </xdr:nvCxnSpPr>
      <xdr:spPr>
        <a:xfrm>
          <a:off x="3486150" y="24109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131</xdr:row>
      <xdr:rowOff>127000</xdr:rowOff>
    </xdr:from>
    <xdr:to>
      <xdr:col>5</xdr:col>
      <xdr:colOff>356810</xdr:colOff>
      <xdr:row>131</xdr:row>
      <xdr:rowOff>409912</xdr:rowOff>
    </xdr:to>
    <xdr:cxnSp macro="">
      <xdr:nvCxnSpPr>
        <xdr:cNvPr id="389" name="Straight Connector 388"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CxnSpPr/>
      </xdr:nvCxnSpPr>
      <xdr:spPr>
        <a:xfrm flipH="1" flipV="1">
          <a:off x="3481009" y="24084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131</xdr:row>
      <xdr:rowOff>134252</xdr:rowOff>
    </xdr:from>
    <xdr:to>
      <xdr:col>5</xdr:col>
      <xdr:colOff>1652211</xdr:colOff>
      <xdr:row>131</xdr:row>
      <xdr:rowOff>417164</xdr:rowOff>
    </xdr:to>
    <xdr:cxnSp macro="">
      <xdr:nvCxnSpPr>
        <xdr:cNvPr id="390" name="Straight Connector 389"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CxnSpPr/>
      </xdr:nvCxnSpPr>
      <xdr:spPr>
        <a:xfrm flipH="1" flipV="1">
          <a:off x="3747710" y="24091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132</xdr:row>
      <xdr:rowOff>123824</xdr:rowOff>
    </xdr:from>
    <xdr:to>
      <xdr:col>5</xdr:col>
      <xdr:colOff>1428750</xdr:colOff>
      <xdr:row>132</xdr:row>
      <xdr:rowOff>1219199</xdr:rowOff>
    </xdr:to>
    <xdr:sp macro="" textlink="">
      <xdr:nvSpPr>
        <xdr:cNvPr id="391" name="Rounded Rectangle 390"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SpPr/>
      </xdr:nvSpPr>
      <xdr:spPr>
        <a:xfrm>
          <a:off x="3745230" y="24263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132</xdr:row>
      <xdr:rowOff>238127</xdr:rowOff>
    </xdr:from>
    <xdr:to>
      <xdr:col>5</xdr:col>
      <xdr:colOff>790575</xdr:colOff>
      <xdr:row>132</xdr:row>
      <xdr:rowOff>361950</xdr:rowOff>
    </xdr:to>
    <xdr:cxnSp macro="">
      <xdr:nvCxnSpPr>
        <xdr:cNvPr id="392" name="Straight Connector 391"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CxnSpPr/>
      </xdr:nvCxnSpPr>
      <xdr:spPr>
        <a:xfrm flipH="1" flipV="1">
          <a:off x="3749041" y="24324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132</xdr:row>
      <xdr:rowOff>133352</xdr:rowOff>
    </xdr:from>
    <xdr:to>
      <xdr:col>5</xdr:col>
      <xdr:colOff>885825</xdr:colOff>
      <xdr:row>132</xdr:row>
      <xdr:rowOff>257175</xdr:rowOff>
    </xdr:to>
    <xdr:cxnSp macro="">
      <xdr:nvCxnSpPr>
        <xdr:cNvPr id="393" name="Straight Connector 392"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CxnSpPr/>
      </xdr:nvCxnSpPr>
      <xdr:spPr>
        <a:xfrm flipH="1" flipV="1">
          <a:off x="3745231" y="24273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130</xdr:row>
      <xdr:rowOff>127000</xdr:rowOff>
    </xdr:from>
    <xdr:to>
      <xdr:col>5</xdr:col>
      <xdr:colOff>356235</xdr:colOff>
      <xdr:row>130</xdr:row>
      <xdr:rowOff>309880</xdr:rowOff>
    </xdr:to>
    <xdr:cxnSp macro="">
      <xdr:nvCxnSpPr>
        <xdr:cNvPr id="394" name="Straight Connector 393"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CxnSpPr/>
      </xdr:nvCxnSpPr>
      <xdr:spPr>
        <a:xfrm flipH="1" flipV="1">
          <a:off x="3480435" y="23901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130</xdr:row>
      <xdr:rowOff>400050</xdr:rowOff>
    </xdr:from>
    <xdr:to>
      <xdr:col>5</xdr:col>
      <xdr:colOff>1666875</xdr:colOff>
      <xdr:row>130</xdr:row>
      <xdr:rowOff>400050</xdr:rowOff>
    </xdr:to>
    <xdr:cxnSp macro="">
      <xdr:nvCxnSpPr>
        <xdr:cNvPr id="395" name="Straight Connector 394"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CxnSpPr/>
      </xdr:nvCxnSpPr>
      <xdr:spPr>
        <a:xfrm>
          <a:off x="3476625" y="23953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130</xdr:row>
      <xdr:rowOff>127000</xdr:rowOff>
    </xdr:from>
    <xdr:to>
      <xdr:col>5</xdr:col>
      <xdr:colOff>356810</xdr:colOff>
      <xdr:row>130</xdr:row>
      <xdr:rowOff>409912</xdr:rowOff>
    </xdr:to>
    <xdr:cxnSp macro="">
      <xdr:nvCxnSpPr>
        <xdr:cNvPr id="396" name="Straight Connector 395"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CxnSpPr/>
      </xdr:nvCxnSpPr>
      <xdr:spPr>
        <a:xfrm flipH="1" flipV="1">
          <a:off x="3481009" y="23901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130</xdr:row>
      <xdr:rowOff>134252</xdr:rowOff>
    </xdr:from>
    <xdr:to>
      <xdr:col>5</xdr:col>
      <xdr:colOff>1652211</xdr:colOff>
      <xdr:row>130</xdr:row>
      <xdr:rowOff>417164</xdr:rowOff>
    </xdr:to>
    <xdr:cxnSp macro="">
      <xdr:nvCxnSpPr>
        <xdr:cNvPr id="397" name="Straight Connector 396"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CxnSpPr/>
      </xdr:nvCxnSpPr>
      <xdr:spPr>
        <a:xfrm flipH="1" flipV="1">
          <a:off x="3747710" y="23908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131</xdr:row>
      <xdr:rowOff>127000</xdr:rowOff>
    </xdr:from>
    <xdr:to>
      <xdr:col>5</xdr:col>
      <xdr:colOff>356235</xdr:colOff>
      <xdr:row>131</xdr:row>
      <xdr:rowOff>309880</xdr:rowOff>
    </xdr:to>
    <xdr:cxnSp macro="">
      <xdr:nvCxnSpPr>
        <xdr:cNvPr id="398" name="Straight Connector 397"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CxnSpPr/>
      </xdr:nvCxnSpPr>
      <xdr:spPr>
        <a:xfrm flipH="1" flipV="1">
          <a:off x="3480435" y="24084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131</xdr:row>
      <xdr:rowOff>152400</xdr:rowOff>
    </xdr:from>
    <xdr:to>
      <xdr:col>5</xdr:col>
      <xdr:colOff>1676400</xdr:colOff>
      <xdr:row>131</xdr:row>
      <xdr:rowOff>152400</xdr:rowOff>
    </xdr:to>
    <xdr:cxnSp macro="">
      <xdr:nvCxnSpPr>
        <xdr:cNvPr id="399" name="Straight Connector 398"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CxnSpPr/>
      </xdr:nvCxnSpPr>
      <xdr:spPr>
        <a:xfrm>
          <a:off x="3486150" y="24109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131</xdr:row>
      <xdr:rowOff>127000</xdr:rowOff>
    </xdr:from>
    <xdr:to>
      <xdr:col>5</xdr:col>
      <xdr:colOff>356810</xdr:colOff>
      <xdr:row>131</xdr:row>
      <xdr:rowOff>409912</xdr:rowOff>
    </xdr:to>
    <xdr:cxnSp macro="">
      <xdr:nvCxnSpPr>
        <xdr:cNvPr id="400" name="Straight Connector 399"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CxnSpPr/>
      </xdr:nvCxnSpPr>
      <xdr:spPr>
        <a:xfrm flipH="1" flipV="1">
          <a:off x="3481009" y="24084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131</xdr:row>
      <xdr:rowOff>134252</xdr:rowOff>
    </xdr:from>
    <xdr:to>
      <xdr:col>5</xdr:col>
      <xdr:colOff>1652211</xdr:colOff>
      <xdr:row>131</xdr:row>
      <xdr:rowOff>417164</xdr:rowOff>
    </xdr:to>
    <xdr:cxnSp macro="">
      <xdr:nvCxnSpPr>
        <xdr:cNvPr id="401" name="Straight Connector 400"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CxnSpPr/>
      </xdr:nvCxnSpPr>
      <xdr:spPr>
        <a:xfrm flipH="1" flipV="1">
          <a:off x="3747710" y="24091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132</xdr:row>
      <xdr:rowOff>123824</xdr:rowOff>
    </xdr:from>
    <xdr:to>
      <xdr:col>5</xdr:col>
      <xdr:colOff>1428750</xdr:colOff>
      <xdr:row>132</xdr:row>
      <xdr:rowOff>1219199</xdr:rowOff>
    </xdr:to>
    <xdr:sp macro="" textlink="">
      <xdr:nvSpPr>
        <xdr:cNvPr id="402" name="Rounded Rectangle 401">
          <a:extLst>
            <a:ext uri="{FF2B5EF4-FFF2-40B4-BE49-F238E27FC236}">
              <a16:creationId xmlns:a16="http://schemas.microsoft.com/office/drawing/2014/main" id="{00000000-0008-0000-0600-000092010000}"/>
            </a:ext>
          </a:extLst>
        </xdr:cNvPr>
        <xdr:cNvSpPr/>
      </xdr:nvSpPr>
      <xdr:spPr>
        <a:xfrm>
          <a:off x="3745230" y="24263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132</xdr:row>
      <xdr:rowOff>238127</xdr:rowOff>
    </xdr:from>
    <xdr:to>
      <xdr:col>5</xdr:col>
      <xdr:colOff>790575</xdr:colOff>
      <xdr:row>132</xdr:row>
      <xdr:rowOff>361950</xdr:rowOff>
    </xdr:to>
    <xdr:cxnSp macro="">
      <xdr:nvCxnSpPr>
        <xdr:cNvPr id="403" name="Straight Connector 402">
          <a:extLst>
            <a:ext uri="{FF2B5EF4-FFF2-40B4-BE49-F238E27FC236}">
              <a16:creationId xmlns:a16="http://schemas.microsoft.com/office/drawing/2014/main" id="{00000000-0008-0000-0600-000093010000}"/>
            </a:ext>
          </a:extLst>
        </xdr:cNvPr>
        <xdr:cNvCxnSpPr/>
      </xdr:nvCxnSpPr>
      <xdr:spPr>
        <a:xfrm flipH="1" flipV="1">
          <a:off x="3749041" y="24324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132</xdr:row>
      <xdr:rowOff>133352</xdr:rowOff>
    </xdr:from>
    <xdr:to>
      <xdr:col>5</xdr:col>
      <xdr:colOff>885825</xdr:colOff>
      <xdr:row>132</xdr:row>
      <xdr:rowOff>257175</xdr:rowOff>
    </xdr:to>
    <xdr:cxnSp macro="">
      <xdr:nvCxnSpPr>
        <xdr:cNvPr id="404" name="Straight Connector 403">
          <a:extLst>
            <a:ext uri="{FF2B5EF4-FFF2-40B4-BE49-F238E27FC236}">
              <a16:creationId xmlns:a16="http://schemas.microsoft.com/office/drawing/2014/main" id="{00000000-0008-0000-0600-000094010000}"/>
            </a:ext>
          </a:extLst>
        </xdr:cNvPr>
        <xdr:cNvCxnSpPr/>
      </xdr:nvCxnSpPr>
      <xdr:spPr>
        <a:xfrm flipH="1" flipV="1">
          <a:off x="3745231" y="24273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130</xdr:row>
      <xdr:rowOff>127000</xdr:rowOff>
    </xdr:from>
    <xdr:to>
      <xdr:col>5</xdr:col>
      <xdr:colOff>356235</xdr:colOff>
      <xdr:row>130</xdr:row>
      <xdr:rowOff>309880</xdr:rowOff>
    </xdr:to>
    <xdr:cxnSp macro="">
      <xdr:nvCxnSpPr>
        <xdr:cNvPr id="405" name="Straight Connector 404"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CxnSpPr/>
      </xdr:nvCxnSpPr>
      <xdr:spPr>
        <a:xfrm flipH="1" flipV="1">
          <a:off x="3480435" y="23901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130</xdr:row>
      <xdr:rowOff>400050</xdr:rowOff>
    </xdr:from>
    <xdr:to>
      <xdr:col>5</xdr:col>
      <xdr:colOff>1666875</xdr:colOff>
      <xdr:row>130</xdr:row>
      <xdr:rowOff>400050</xdr:rowOff>
    </xdr:to>
    <xdr:cxnSp macro="">
      <xdr:nvCxnSpPr>
        <xdr:cNvPr id="406" name="Straight Connector 405"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CxnSpPr/>
      </xdr:nvCxnSpPr>
      <xdr:spPr>
        <a:xfrm>
          <a:off x="3476625" y="23953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130</xdr:row>
      <xdr:rowOff>127000</xdr:rowOff>
    </xdr:from>
    <xdr:to>
      <xdr:col>5</xdr:col>
      <xdr:colOff>356810</xdr:colOff>
      <xdr:row>130</xdr:row>
      <xdr:rowOff>409912</xdr:rowOff>
    </xdr:to>
    <xdr:cxnSp macro="">
      <xdr:nvCxnSpPr>
        <xdr:cNvPr id="407" name="Straight Connector 406"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CxnSpPr/>
      </xdr:nvCxnSpPr>
      <xdr:spPr>
        <a:xfrm flipH="1" flipV="1">
          <a:off x="3481009" y="23901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130</xdr:row>
      <xdr:rowOff>134252</xdr:rowOff>
    </xdr:from>
    <xdr:to>
      <xdr:col>5</xdr:col>
      <xdr:colOff>1652211</xdr:colOff>
      <xdr:row>130</xdr:row>
      <xdr:rowOff>417164</xdr:rowOff>
    </xdr:to>
    <xdr:cxnSp macro="">
      <xdr:nvCxnSpPr>
        <xdr:cNvPr id="408" name="Straight Connector 407"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CxnSpPr/>
      </xdr:nvCxnSpPr>
      <xdr:spPr>
        <a:xfrm flipH="1" flipV="1">
          <a:off x="3747710" y="23908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131</xdr:row>
      <xdr:rowOff>127000</xdr:rowOff>
    </xdr:from>
    <xdr:to>
      <xdr:col>5</xdr:col>
      <xdr:colOff>356235</xdr:colOff>
      <xdr:row>131</xdr:row>
      <xdr:rowOff>309880</xdr:rowOff>
    </xdr:to>
    <xdr:cxnSp macro="">
      <xdr:nvCxnSpPr>
        <xdr:cNvPr id="409" name="Straight Connector 408"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CxnSpPr/>
      </xdr:nvCxnSpPr>
      <xdr:spPr>
        <a:xfrm flipH="1" flipV="1">
          <a:off x="3480435" y="24084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131</xdr:row>
      <xdr:rowOff>152400</xdr:rowOff>
    </xdr:from>
    <xdr:to>
      <xdr:col>5</xdr:col>
      <xdr:colOff>1676400</xdr:colOff>
      <xdr:row>131</xdr:row>
      <xdr:rowOff>152400</xdr:rowOff>
    </xdr:to>
    <xdr:cxnSp macro="">
      <xdr:nvCxnSpPr>
        <xdr:cNvPr id="410" name="Straight Connector 409"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CxnSpPr/>
      </xdr:nvCxnSpPr>
      <xdr:spPr>
        <a:xfrm>
          <a:off x="3486150" y="24109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131</xdr:row>
      <xdr:rowOff>127000</xdr:rowOff>
    </xdr:from>
    <xdr:to>
      <xdr:col>5</xdr:col>
      <xdr:colOff>356810</xdr:colOff>
      <xdr:row>131</xdr:row>
      <xdr:rowOff>409912</xdr:rowOff>
    </xdr:to>
    <xdr:cxnSp macro="">
      <xdr:nvCxnSpPr>
        <xdr:cNvPr id="411" name="Straight Connector 410"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CxnSpPr/>
      </xdr:nvCxnSpPr>
      <xdr:spPr>
        <a:xfrm flipH="1" flipV="1">
          <a:off x="3481009" y="24084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131</xdr:row>
      <xdr:rowOff>134252</xdr:rowOff>
    </xdr:from>
    <xdr:to>
      <xdr:col>5</xdr:col>
      <xdr:colOff>1652211</xdr:colOff>
      <xdr:row>131</xdr:row>
      <xdr:rowOff>417164</xdr:rowOff>
    </xdr:to>
    <xdr:cxnSp macro="">
      <xdr:nvCxnSpPr>
        <xdr:cNvPr id="412" name="Straight Connector 411"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CxnSpPr/>
      </xdr:nvCxnSpPr>
      <xdr:spPr>
        <a:xfrm flipH="1" flipV="1">
          <a:off x="3747710" y="24091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132</xdr:row>
      <xdr:rowOff>123824</xdr:rowOff>
    </xdr:from>
    <xdr:to>
      <xdr:col>5</xdr:col>
      <xdr:colOff>1428750</xdr:colOff>
      <xdr:row>132</xdr:row>
      <xdr:rowOff>1219199</xdr:rowOff>
    </xdr:to>
    <xdr:sp macro="" textlink="">
      <xdr:nvSpPr>
        <xdr:cNvPr id="413" name="Rounded Rectangle 412"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SpPr/>
      </xdr:nvSpPr>
      <xdr:spPr>
        <a:xfrm>
          <a:off x="3745230" y="24263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132</xdr:row>
      <xdr:rowOff>238127</xdr:rowOff>
    </xdr:from>
    <xdr:to>
      <xdr:col>5</xdr:col>
      <xdr:colOff>790575</xdr:colOff>
      <xdr:row>132</xdr:row>
      <xdr:rowOff>361950</xdr:rowOff>
    </xdr:to>
    <xdr:cxnSp macro="">
      <xdr:nvCxnSpPr>
        <xdr:cNvPr id="414" name="Straight Connector 413"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CxnSpPr/>
      </xdr:nvCxnSpPr>
      <xdr:spPr>
        <a:xfrm flipH="1" flipV="1">
          <a:off x="3749041" y="24324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132</xdr:row>
      <xdr:rowOff>133352</xdr:rowOff>
    </xdr:from>
    <xdr:to>
      <xdr:col>5</xdr:col>
      <xdr:colOff>885825</xdr:colOff>
      <xdr:row>132</xdr:row>
      <xdr:rowOff>257175</xdr:rowOff>
    </xdr:to>
    <xdr:cxnSp macro="">
      <xdr:nvCxnSpPr>
        <xdr:cNvPr id="415" name="Straight Connector 414"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CxnSpPr/>
      </xdr:nvCxnSpPr>
      <xdr:spPr>
        <a:xfrm flipH="1" flipV="1">
          <a:off x="3745231" y="24273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130</xdr:row>
      <xdr:rowOff>127000</xdr:rowOff>
    </xdr:from>
    <xdr:to>
      <xdr:col>5</xdr:col>
      <xdr:colOff>356235</xdr:colOff>
      <xdr:row>130</xdr:row>
      <xdr:rowOff>309880</xdr:rowOff>
    </xdr:to>
    <xdr:cxnSp macro="">
      <xdr:nvCxnSpPr>
        <xdr:cNvPr id="416" name="Straight Connector 415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CxnSpPr/>
      </xdr:nvCxnSpPr>
      <xdr:spPr>
        <a:xfrm flipH="1" flipV="1">
          <a:off x="3480435" y="23901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130</xdr:row>
      <xdr:rowOff>400050</xdr:rowOff>
    </xdr:from>
    <xdr:to>
      <xdr:col>5</xdr:col>
      <xdr:colOff>1666875</xdr:colOff>
      <xdr:row>130</xdr:row>
      <xdr:rowOff>400050</xdr:rowOff>
    </xdr:to>
    <xdr:cxnSp macro="">
      <xdr:nvCxnSpPr>
        <xdr:cNvPr id="417" name="Straight Connector 416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CxnSpPr/>
      </xdr:nvCxnSpPr>
      <xdr:spPr>
        <a:xfrm>
          <a:off x="3476625" y="23953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130</xdr:row>
      <xdr:rowOff>127000</xdr:rowOff>
    </xdr:from>
    <xdr:to>
      <xdr:col>5</xdr:col>
      <xdr:colOff>356810</xdr:colOff>
      <xdr:row>130</xdr:row>
      <xdr:rowOff>409912</xdr:rowOff>
    </xdr:to>
    <xdr:cxnSp macro="">
      <xdr:nvCxnSpPr>
        <xdr:cNvPr id="418" name="Straight Connector 417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CxnSpPr/>
      </xdr:nvCxnSpPr>
      <xdr:spPr>
        <a:xfrm flipH="1" flipV="1">
          <a:off x="3481009" y="23901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130</xdr:row>
      <xdr:rowOff>134252</xdr:rowOff>
    </xdr:from>
    <xdr:to>
      <xdr:col>5</xdr:col>
      <xdr:colOff>1652211</xdr:colOff>
      <xdr:row>130</xdr:row>
      <xdr:rowOff>417164</xdr:rowOff>
    </xdr:to>
    <xdr:cxnSp macro="">
      <xdr:nvCxnSpPr>
        <xdr:cNvPr id="419" name="Straight Connector 418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CxnSpPr/>
      </xdr:nvCxnSpPr>
      <xdr:spPr>
        <a:xfrm flipH="1" flipV="1">
          <a:off x="3747710" y="23908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131</xdr:row>
      <xdr:rowOff>127000</xdr:rowOff>
    </xdr:from>
    <xdr:to>
      <xdr:col>5</xdr:col>
      <xdr:colOff>356235</xdr:colOff>
      <xdr:row>131</xdr:row>
      <xdr:rowOff>309880</xdr:rowOff>
    </xdr:to>
    <xdr:cxnSp macro="">
      <xdr:nvCxnSpPr>
        <xdr:cNvPr id="420" name="Straight Connector 419">
          <a:extLst>
            <a:ext uri="{FF2B5EF4-FFF2-40B4-BE49-F238E27FC236}">
              <a16:creationId xmlns:a16="http://schemas.microsoft.com/office/drawing/2014/main" id="{00000000-0008-0000-0600-0000A4010000}"/>
            </a:ext>
          </a:extLst>
        </xdr:cNvPr>
        <xdr:cNvCxnSpPr/>
      </xdr:nvCxnSpPr>
      <xdr:spPr>
        <a:xfrm flipH="1" flipV="1">
          <a:off x="3480435" y="24084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131</xdr:row>
      <xdr:rowOff>152400</xdr:rowOff>
    </xdr:from>
    <xdr:to>
      <xdr:col>5</xdr:col>
      <xdr:colOff>1676400</xdr:colOff>
      <xdr:row>131</xdr:row>
      <xdr:rowOff>152400</xdr:rowOff>
    </xdr:to>
    <xdr:cxnSp macro="">
      <xdr:nvCxnSpPr>
        <xdr:cNvPr id="421" name="Straight Connector 420">
          <a:extLst>
            <a:ext uri="{FF2B5EF4-FFF2-40B4-BE49-F238E27FC236}">
              <a16:creationId xmlns:a16="http://schemas.microsoft.com/office/drawing/2014/main" id="{00000000-0008-0000-0600-0000A5010000}"/>
            </a:ext>
          </a:extLst>
        </xdr:cNvPr>
        <xdr:cNvCxnSpPr/>
      </xdr:nvCxnSpPr>
      <xdr:spPr>
        <a:xfrm>
          <a:off x="3486150" y="24109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131</xdr:row>
      <xdr:rowOff>127000</xdr:rowOff>
    </xdr:from>
    <xdr:to>
      <xdr:col>5</xdr:col>
      <xdr:colOff>356810</xdr:colOff>
      <xdr:row>131</xdr:row>
      <xdr:rowOff>409912</xdr:rowOff>
    </xdr:to>
    <xdr:cxnSp macro="">
      <xdr:nvCxnSpPr>
        <xdr:cNvPr id="422" name="Straight Connector 421">
          <a:extLst>
            <a:ext uri="{FF2B5EF4-FFF2-40B4-BE49-F238E27FC236}">
              <a16:creationId xmlns:a16="http://schemas.microsoft.com/office/drawing/2014/main" id="{00000000-0008-0000-0600-0000A6010000}"/>
            </a:ext>
          </a:extLst>
        </xdr:cNvPr>
        <xdr:cNvCxnSpPr/>
      </xdr:nvCxnSpPr>
      <xdr:spPr>
        <a:xfrm flipH="1" flipV="1">
          <a:off x="3481009" y="24084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132</xdr:row>
      <xdr:rowOff>123824</xdr:rowOff>
    </xdr:from>
    <xdr:to>
      <xdr:col>5</xdr:col>
      <xdr:colOff>1428750</xdr:colOff>
      <xdr:row>132</xdr:row>
      <xdr:rowOff>1219199</xdr:rowOff>
    </xdr:to>
    <xdr:sp macro="" textlink="">
      <xdr:nvSpPr>
        <xdr:cNvPr id="423" name="Rounded Rectangle 422">
          <a:extLst>
            <a:ext uri="{FF2B5EF4-FFF2-40B4-BE49-F238E27FC236}">
              <a16:creationId xmlns:a16="http://schemas.microsoft.com/office/drawing/2014/main" id="{00000000-0008-0000-0600-0000A7010000}"/>
            </a:ext>
          </a:extLst>
        </xdr:cNvPr>
        <xdr:cNvSpPr/>
      </xdr:nvSpPr>
      <xdr:spPr>
        <a:xfrm>
          <a:off x="3745230" y="24263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132</xdr:row>
      <xdr:rowOff>238127</xdr:rowOff>
    </xdr:from>
    <xdr:to>
      <xdr:col>5</xdr:col>
      <xdr:colOff>790575</xdr:colOff>
      <xdr:row>132</xdr:row>
      <xdr:rowOff>361950</xdr:rowOff>
    </xdr:to>
    <xdr:cxnSp macro="">
      <xdr:nvCxnSpPr>
        <xdr:cNvPr id="424" name="Straight Connector 423">
          <a:extLst>
            <a:ext uri="{FF2B5EF4-FFF2-40B4-BE49-F238E27FC236}">
              <a16:creationId xmlns:a16="http://schemas.microsoft.com/office/drawing/2014/main" id="{00000000-0008-0000-0600-0000A8010000}"/>
            </a:ext>
          </a:extLst>
        </xdr:cNvPr>
        <xdr:cNvCxnSpPr/>
      </xdr:nvCxnSpPr>
      <xdr:spPr>
        <a:xfrm flipH="1" flipV="1">
          <a:off x="3749041" y="24324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132</xdr:row>
      <xdr:rowOff>133352</xdr:rowOff>
    </xdr:from>
    <xdr:to>
      <xdr:col>5</xdr:col>
      <xdr:colOff>885825</xdr:colOff>
      <xdr:row>132</xdr:row>
      <xdr:rowOff>257175</xdr:rowOff>
    </xdr:to>
    <xdr:cxnSp macro="">
      <xdr:nvCxnSpPr>
        <xdr:cNvPr id="425" name="Straight Connector 424"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CxnSpPr/>
      </xdr:nvCxnSpPr>
      <xdr:spPr>
        <a:xfrm flipH="1" flipV="1">
          <a:off x="3745231" y="24273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136</xdr:row>
      <xdr:rowOff>127000</xdr:rowOff>
    </xdr:from>
    <xdr:to>
      <xdr:col>5</xdr:col>
      <xdr:colOff>356235</xdr:colOff>
      <xdr:row>136</xdr:row>
      <xdr:rowOff>309880</xdr:rowOff>
    </xdr:to>
    <xdr:cxnSp macro="">
      <xdr:nvCxnSpPr>
        <xdr:cNvPr id="426" name="Straight Connector 425"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CxnSpPr/>
      </xdr:nvCxnSpPr>
      <xdr:spPr>
        <a:xfrm flipH="1" flipV="1">
          <a:off x="3480435" y="24998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136</xdr:row>
      <xdr:rowOff>400050</xdr:rowOff>
    </xdr:from>
    <xdr:to>
      <xdr:col>5</xdr:col>
      <xdr:colOff>1666875</xdr:colOff>
      <xdr:row>136</xdr:row>
      <xdr:rowOff>400050</xdr:rowOff>
    </xdr:to>
    <xdr:cxnSp macro="">
      <xdr:nvCxnSpPr>
        <xdr:cNvPr id="427" name="Straight Connector 426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CxnSpPr/>
      </xdr:nvCxnSpPr>
      <xdr:spPr>
        <a:xfrm>
          <a:off x="3476625" y="25050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136</xdr:row>
      <xdr:rowOff>127000</xdr:rowOff>
    </xdr:from>
    <xdr:to>
      <xdr:col>5</xdr:col>
      <xdr:colOff>356810</xdr:colOff>
      <xdr:row>136</xdr:row>
      <xdr:rowOff>409912</xdr:rowOff>
    </xdr:to>
    <xdr:cxnSp macro="">
      <xdr:nvCxnSpPr>
        <xdr:cNvPr id="428" name="Straight Connector 427"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CxnSpPr/>
      </xdr:nvCxnSpPr>
      <xdr:spPr>
        <a:xfrm flipH="1" flipV="1">
          <a:off x="3481009" y="24998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136</xdr:row>
      <xdr:rowOff>134252</xdr:rowOff>
    </xdr:from>
    <xdr:to>
      <xdr:col>5</xdr:col>
      <xdr:colOff>1652211</xdr:colOff>
      <xdr:row>136</xdr:row>
      <xdr:rowOff>417164</xdr:rowOff>
    </xdr:to>
    <xdr:cxnSp macro="">
      <xdr:nvCxnSpPr>
        <xdr:cNvPr id="429" name="Straight Connector 428"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CxnSpPr/>
      </xdr:nvCxnSpPr>
      <xdr:spPr>
        <a:xfrm flipH="1" flipV="1">
          <a:off x="3747710" y="25005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137</xdr:row>
      <xdr:rowOff>127000</xdr:rowOff>
    </xdr:from>
    <xdr:to>
      <xdr:col>5</xdr:col>
      <xdr:colOff>356235</xdr:colOff>
      <xdr:row>137</xdr:row>
      <xdr:rowOff>309880</xdr:rowOff>
    </xdr:to>
    <xdr:cxnSp macro="">
      <xdr:nvCxnSpPr>
        <xdr:cNvPr id="430" name="Straight Connector 429">
          <a:extLst>
            <a:ext uri="{FF2B5EF4-FFF2-40B4-BE49-F238E27FC236}">
              <a16:creationId xmlns:a16="http://schemas.microsoft.com/office/drawing/2014/main" id="{00000000-0008-0000-0600-0000AE010000}"/>
            </a:ext>
          </a:extLst>
        </xdr:cNvPr>
        <xdr:cNvCxnSpPr/>
      </xdr:nvCxnSpPr>
      <xdr:spPr>
        <a:xfrm flipH="1" flipV="1">
          <a:off x="3480435" y="25181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137</xdr:row>
      <xdr:rowOff>152400</xdr:rowOff>
    </xdr:from>
    <xdr:to>
      <xdr:col>5</xdr:col>
      <xdr:colOff>1676400</xdr:colOff>
      <xdr:row>137</xdr:row>
      <xdr:rowOff>152400</xdr:rowOff>
    </xdr:to>
    <xdr:cxnSp macro="">
      <xdr:nvCxnSpPr>
        <xdr:cNvPr id="431" name="Straight Connector 430">
          <a:extLst>
            <a:ext uri="{FF2B5EF4-FFF2-40B4-BE49-F238E27FC236}">
              <a16:creationId xmlns:a16="http://schemas.microsoft.com/office/drawing/2014/main" id="{00000000-0008-0000-0600-0000AF010000}"/>
            </a:ext>
          </a:extLst>
        </xdr:cNvPr>
        <xdr:cNvCxnSpPr/>
      </xdr:nvCxnSpPr>
      <xdr:spPr>
        <a:xfrm>
          <a:off x="3486150" y="25206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137</xdr:row>
      <xdr:rowOff>127000</xdr:rowOff>
    </xdr:from>
    <xdr:to>
      <xdr:col>5</xdr:col>
      <xdr:colOff>356810</xdr:colOff>
      <xdr:row>137</xdr:row>
      <xdr:rowOff>409912</xdr:rowOff>
    </xdr:to>
    <xdr:cxnSp macro="">
      <xdr:nvCxnSpPr>
        <xdr:cNvPr id="432" name="Straight Connector 431">
          <a:extLst>
            <a:ext uri="{FF2B5EF4-FFF2-40B4-BE49-F238E27FC236}">
              <a16:creationId xmlns:a16="http://schemas.microsoft.com/office/drawing/2014/main" id="{00000000-0008-0000-0600-0000B0010000}"/>
            </a:ext>
          </a:extLst>
        </xdr:cNvPr>
        <xdr:cNvCxnSpPr/>
      </xdr:nvCxnSpPr>
      <xdr:spPr>
        <a:xfrm flipH="1" flipV="1">
          <a:off x="3481009" y="25181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137</xdr:row>
      <xdr:rowOff>134252</xdr:rowOff>
    </xdr:from>
    <xdr:to>
      <xdr:col>5</xdr:col>
      <xdr:colOff>1652211</xdr:colOff>
      <xdr:row>137</xdr:row>
      <xdr:rowOff>417164</xdr:rowOff>
    </xdr:to>
    <xdr:cxnSp macro="">
      <xdr:nvCxnSpPr>
        <xdr:cNvPr id="433" name="Straight Connector 432">
          <a:extLst>
            <a:ext uri="{FF2B5EF4-FFF2-40B4-BE49-F238E27FC236}">
              <a16:creationId xmlns:a16="http://schemas.microsoft.com/office/drawing/2014/main" id="{00000000-0008-0000-0600-0000B1010000}"/>
            </a:ext>
          </a:extLst>
        </xdr:cNvPr>
        <xdr:cNvCxnSpPr/>
      </xdr:nvCxnSpPr>
      <xdr:spPr>
        <a:xfrm flipH="1" flipV="1">
          <a:off x="3747710" y="25188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138</xdr:row>
      <xdr:rowOff>123824</xdr:rowOff>
    </xdr:from>
    <xdr:to>
      <xdr:col>5</xdr:col>
      <xdr:colOff>1428750</xdr:colOff>
      <xdr:row>138</xdr:row>
      <xdr:rowOff>1219199</xdr:rowOff>
    </xdr:to>
    <xdr:sp macro="" textlink="">
      <xdr:nvSpPr>
        <xdr:cNvPr id="434" name="Rounded Rectangle 433">
          <a:extLst>
            <a:ext uri="{FF2B5EF4-FFF2-40B4-BE49-F238E27FC236}">
              <a16:creationId xmlns:a16="http://schemas.microsoft.com/office/drawing/2014/main" id="{00000000-0008-0000-0600-0000B2010000}"/>
            </a:ext>
          </a:extLst>
        </xdr:cNvPr>
        <xdr:cNvSpPr/>
      </xdr:nvSpPr>
      <xdr:spPr>
        <a:xfrm>
          <a:off x="3745230" y="25361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138</xdr:row>
      <xdr:rowOff>238127</xdr:rowOff>
    </xdr:from>
    <xdr:to>
      <xdr:col>5</xdr:col>
      <xdr:colOff>790575</xdr:colOff>
      <xdr:row>138</xdr:row>
      <xdr:rowOff>361950</xdr:rowOff>
    </xdr:to>
    <xdr:cxnSp macro="">
      <xdr:nvCxnSpPr>
        <xdr:cNvPr id="435" name="Straight Connector 434">
          <a:extLst>
            <a:ext uri="{FF2B5EF4-FFF2-40B4-BE49-F238E27FC236}">
              <a16:creationId xmlns:a16="http://schemas.microsoft.com/office/drawing/2014/main" id="{00000000-0008-0000-0600-0000B3010000}"/>
            </a:ext>
          </a:extLst>
        </xdr:cNvPr>
        <xdr:cNvCxnSpPr/>
      </xdr:nvCxnSpPr>
      <xdr:spPr>
        <a:xfrm flipH="1" flipV="1">
          <a:off x="3749041" y="25422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138</xdr:row>
      <xdr:rowOff>133352</xdr:rowOff>
    </xdr:from>
    <xdr:to>
      <xdr:col>5</xdr:col>
      <xdr:colOff>885825</xdr:colOff>
      <xdr:row>138</xdr:row>
      <xdr:rowOff>257175</xdr:rowOff>
    </xdr:to>
    <xdr:cxnSp macro="">
      <xdr:nvCxnSpPr>
        <xdr:cNvPr id="436" name="Straight Connector 435">
          <a:extLst>
            <a:ext uri="{FF2B5EF4-FFF2-40B4-BE49-F238E27FC236}">
              <a16:creationId xmlns:a16="http://schemas.microsoft.com/office/drawing/2014/main" id="{00000000-0008-0000-0600-0000B4010000}"/>
            </a:ext>
          </a:extLst>
        </xdr:cNvPr>
        <xdr:cNvCxnSpPr/>
      </xdr:nvCxnSpPr>
      <xdr:spPr>
        <a:xfrm flipH="1" flipV="1">
          <a:off x="3745231" y="25370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136</xdr:row>
      <xdr:rowOff>127000</xdr:rowOff>
    </xdr:from>
    <xdr:to>
      <xdr:col>5</xdr:col>
      <xdr:colOff>356235</xdr:colOff>
      <xdr:row>136</xdr:row>
      <xdr:rowOff>309880</xdr:rowOff>
    </xdr:to>
    <xdr:cxnSp macro="">
      <xdr:nvCxnSpPr>
        <xdr:cNvPr id="437" name="Straight Connector 436">
          <a:extLst>
            <a:ext uri="{FF2B5EF4-FFF2-40B4-BE49-F238E27FC236}">
              <a16:creationId xmlns:a16="http://schemas.microsoft.com/office/drawing/2014/main" id="{00000000-0008-0000-0600-0000B5010000}"/>
            </a:ext>
          </a:extLst>
        </xdr:cNvPr>
        <xdr:cNvCxnSpPr/>
      </xdr:nvCxnSpPr>
      <xdr:spPr>
        <a:xfrm flipH="1" flipV="1">
          <a:off x="3480435" y="24998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136</xdr:row>
      <xdr:rowOff>400050</xdr:rowOff>
    </xdr:from>
    <xdr:to>
      <xdr:col>5</xdr:col>
      <xdr:colOff>1666875</xdr:colOff>
      <xdr:row>136</xdr:row>
      <xdr:rowOff>400050</xdr:rowOff>
    </xdr:to>
    <xdr:cxnSp macro="">
      <xdr:nvCxnSpPr>
        <xdr:cNvPr id="438" name="Straight Connector 437">
          <a:extLst>
            <a:ext uri="{FF2B5EF4-FFF2-40B4-BE49-F238E27FC236}">
              <a16:creationId xmlns:a16="http://schemas.microsoft.com/office/drawing/2014/main" id="{00000000-0008-0000-0600-0000B6010000}"/>
            </a:ext>
          </a:extLst>
        </xdr:cNvPr>
        <xdr:cNvCxnSpPr/>
      </xdr:nvCxnSpPr>
      <xdr:spPr>
        <a:xfrm>
          <a:off x="3476625" y="25050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136</xdr:row>
      <xdr:rowOff>127000</xdr:rowOff>
    </xdr:from>
    <xdr:to>
      <xdr:col>5</xdr:col>
      <xdr:colOff>356810</xdr:colOff>
      <xdr:row>136</xdr:row>
      <xdr:rowOff>409912</xdr:rowOff>
    </xdr:to>
    <xdr:cxnSp macro="">
      <xdr:nvCxnSpPr>
        <xdr:cNvPr id="439" name="Straight Connector 438">
          <a:extLst>
            <a:ext uri="{FF2B5EF4-FFF2-40B4-BE49-F238E27FC236}">
              <a16:creationId xmlns:a16="http://schemas.microsoft.com/office/drawing/2014/main" id="{00000000-0008-0000-0600-0000B7010000}"/>
            </a:ext>
          </a:extLst>
        </xdr:cNvPr>
        <xdr:cNvCxnSpPr/>
      </xdr:nvCxnSpPr>
      <xdr:spPr>
        <a:xfrm flipH="1" flipV="1">
          <a:off x="3481009" y="24998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136</xdr:row>
      <xdr:rowOff>134252</xdr:rowOff>
    </xdr:from>
    <xdr:to>
      <xdr:col>5</xdr:col>
      <xdr:colOff>1652211</xdr:colOff>
      <xdr:row>136</xdr:row>
      <xdr:rowOff>417164</xdr:rowOff>
    </xdr:to>
    <xdr:cxnSp macro="">
      <xdr:nvCxnSpPr>
        <xdr:cNvPr id="440" name="Straight Connector 439">
          <a:extLst>
            <a:ext uri="{FF2B5EF4-FFF2-40B4-BE49-F238E27FC236}">
              <a16:creationId xmlns:a16="http://schemas.microsoft.com/office/drawing/2014/main" id="{00000000-0008-0000-0600-0000B8010000}"/>
            </a:ext>
          </a:extLst>
        </xdr:cNvPr>
        <xdr:cNvCxnSpPr/>
      </xdr:nvCxnSpPr>
      <xdr:spPr>
        <a:xfrm flipH="1" flipV="1">
          <a:off x="3747710" y="25005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137</xdr:row>
      <xdr:rowOff>127000</xdr:rowOff>
    </xdr:from>
    <xdr:to>
      <xdr:col>5</xdr:col>
      <xdr:colOff>356235</xdr:colOff>
      <xdr:row>137</xdr:row>
      <xdr:rowOff>309880</xdr:rowOff>
    </xdr:to>
    <xdr:cxnSp macro="">
      <xdr:nvCxnSpPr>
        <xdr:cNvPr id="441" name="Straight Connector 440">
          <a:extLst>
            <a:ext uri="{FF2B5EF4-FFF2-40B4-BE49-F238E27FC236}">
              <a16:creationId xmlns:a16="http://schemas.microsoft.com/office/drawing/2014/main" id="{00000000-0008-0000-0600-0000B9010000}"/>
            </a:ext>
          </a:extLst>
        </xdr:cNvPr>
        <xdr:cNvCxnSpPr/>
      </xdr:nvCxnSpPr>
      <xdr:spPr>
        <a:xfrm flipH="1" flipV="1">
          <a:off x="3480435" y="25181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137</xdr:row>
      <xdr:rowOff>152400</xdr:rowOff>
    </xdr:from>
    <xdr:to>
      <xdr:col>5</xdr:col>
      <xdr:colOff>1676400</xdr:colOff>
      <xdr:row>137</xdr:row>
      <xdr:rowOff>152400</xdr:rowOff>
    </xdr:to>
    <xdr:cxnSp macro="">
      <xdr:nvCxnSpPr>
        <xdr:cNvPr id="442" name="Straight Connector 441">
          <a:extLst>
            <a:ext uri="{FF2B5EF4-FFF2-40B4-BE49-F238E27FC236}">
              <a16:creationId xmlns:a16="http://schemas.microsoft.com/office/drawing/2014/main" id="{00000000-0008-0000-0600-0000BA010000}"/>
            </a:ext>
          </a:extLst>
        </xdr:cNvPr>
        <xdr:cNvCxnSpPr/>
      </xdr:nvCxnSpPr>
      <xdr:spPr>
        <a:xfrm>
          <a:off x="3486150" y="25206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137</xdr:row>
      <xdr:rowOff>127000</xdr:rowOff>
    </xdr:from>
    <xdr:to>
      <xdr:col>5</xdr:col>
      <xdr:colOff>356810</xdr:colOff>
      <xdr:row>137</xdr:row>
      <xdr:rowOff>409912</xdr:rowOff>
    </xdr:to>
    <xdr:cxnSp macro="">
      <xdr:nvCxnSpPr>
        <xdr:cNvPr id="443" name="Straight Connector 442">
          <a:extLst>
            <a:ext uri="{FF2B5EF4-FFF2-40B4-BE49-F238E27FC236}">
              <a16:creationId xmlns:a16="http://schemas.microsoft.com/office/drawing/2014/main" id="{00000000-0008-0000-0600-0000BB010000}"/>
            </a:ext>
          </a:extLst>
        </xdr:cNvPr>
        <xdr:cNvCxnSpPr/>
      </xdr:nvCxnSpPr>
      <xdr:spPr>
        <a:xfrm flipH="1" flipV="1">
          <a:off x="3481009" y="25181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137</xdr:row>
      <xdr:rowOff>134252</xdr:rowOff>
    </xdr:from>
    <xdr:to>
      <xdr:col>5</xdr:col>
      <xdr:colOff>1652211</xdr:colOff>
      <xdr:row>137</xdr:row>
      <xdr:rowOff>417164</xdr:rowOff>
    </xdr:to>
    <xdr:cxnSp macro="">
      <xdr:nvCxnSpPr>
        <xdr:cNvPr id="444" name="Straight Connector 443">
          <a:extLst>
            <a:ext uri="{FF2B5EF4-FFF2-40B4-BE49-F238E27FC236}">
              <a16:creationId xmlns:a16="http://schemas.microsoft.com/office/drawing/2014/main" id="{00000000-0008-0000-0600-0000BC010000}"/>
            </a:ext>
          </a:extLst>
        </xdr:cNvPr>
        <xdr:cNvCxnSpPr/>
      </xdr:nvCxnSpPr>
      <xdr:spPr>
        <a:xfrm flipH="1" flipV="1">
          <a:off x="3747710" y="25188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138</xdr:row>
      <xdr:rowOff>123824</xdr:rowOff>
    </xdr:from>
    <xdr:to>
      <xdr:col>5</xdr:col>
      <xdr:colOff>1428750</xdr:colOff>
      <xdr:row>138</xdr:row>
      <xdr:rowOff>1219199</xdr:rowOff>
    </xdr:to>
    <xdr:sp macro="" textlink="">
      <xdr:nvSpPr>
        <xdr:cNvPr id="445" name="Rounded Rectangle 444">
          <a:extLst>
            <a:ext uri="{FF2B5EF4-FFF2-40B4-BE49-F238E27FC236}">
              <a16:creationId xmlns:a16="http://schemas.microsoft.com/office/drawing/2014/main" id="{00000000-0008-0000-0600-0000BD010000}"/>
            </a:ext>
          </a:extLst>
        </xdr:cNvPr>
        <xdr:cNvSpPr/>
      </xdr:nvSpPr>
      <xdr:spPr>
        <a:xfrm>
          <a:off x="3745230" y="25361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138</xdr:row>
      <xdr:rowOff>238127</xdr:rowOff>
    </xdr:from>
    <xdr:to>
      <xdr:col>5</xdr:col>
      <xdr:colOff>790575</xdr:colOff>
      <xdr:row>138</xdr:row>
      <xdr:rowOff>361950</xdr:rowOff>
    </xdr:to>
    <xdr:cxnSp macro="">
      <xdr:nvCxnSpPr>
        <xdr:cNvPr id="446" name="Straight Connector 445">
          <a:extLst>
            <a:ext uri="{FF2B5EF4-FFF2-40B4-BE49-F238E27FC236}">
              <a16:creationId xmlns:a16="http://schemas.microsoft.com/office/drawing/2014/main" id="{00000000-0008-0000-0600-0000BE010000}"/>
            </a:ext>
          </a:extLst>
        </xdr:cNvPr>
        <xdr:cNvCxnSpPr/>
      </xdr:nvCxnSpPr>
      <xdr:spPr>
        <a:xfrm flipH="1" flipV="1">
          <a:off x="3749041" y="25422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138</xdr:row>
      <xdr:rowOff>133352</xdr:rowOff>
    </xdr:from>
    <xdr:to>
      <xdr:col>5</xdr:col>
      <xdr:colOff>885825</xdr:colOff>
      <xdr:row>138</xdr:row>
      <xdr:rowOff>257175</xdr:rowOff>
    </xdr:to>
    <xdr:cxnSp macro="">
      <xdr:nvCxnSpPr>
        <xdr:cNvPr id="447" name="Straight Connector 446">
          <a:extLst>
            <a:ext uri="{FF2B5EF4-FFF2-40B4-BE49-F238E27FC236}">
              <a16:creationId xmlns:a16="http://schemas.microsoft.com/office/drawing/2014/main" id="{00000000-0008-0000-0600-0000BF010000}"/>
            </a:ext>
          </a:extLst>
        </xdr:cNvPr>
        <xdr:cNvCxnSpPr/>
      </xdr:nvCxnSpPr>
      <xdr:spPr>
        <a:xfrm flipH="1" flipV="1">
          <a:off x="3745231" y="25370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136</xdr:row>
      <xdr:rowOff>127000</xdr:rowOff>
    </xdr:from>
    <xdr:to>
      <xdr:col>5</xdr:col>
      <xdr:colOff>356235</xdr:colOff>
      <xdr:row>136</xdr:row>
      <xdr:rowOff>309880</xdr:rowOff>
    </xdr:to>
    <xdr:cxnSp macro="">
      <xdr:nvCxnSpPr>
        <xdr:cNvPr id="448" name="Straight Connector 447">
          <a:extLst>
            <a:ext uri="{FF2B5EF4-FFF2-40B4-BE49-F238E27FC236}">
              <a16:creationId xmlns:a16="http://schemas.microsoft.com/office/drawing/2014/main" id="{00000000-0008-0000-0600-0000C0010000}"/>
            </a:ext>
          </a:extLst>
        </xdr:cNvPr>
        <xdr:cNvCxnSpPr/>
      </xdr:nvCxnSpPr>
      <xdr:spPr>
        <a:xfrm flipH="1" flipV="1">
          <a:off x="3480435" y="24998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136</xdr:row>
      <xdr:rowOff>400050</xdr:rowOff>
    </xdr:from>
    <xdr:to>
      <xdr:col>5</xdr:col>
      <xdr:colOff>1666875</xdr:colOff>
      <xdr:row>136</xdr:row>
      <xdr:rowOff>400050</xdr:rowOff>
    </xdr:to>
    <xdr:cxnSp macro="">
      <xdr:nvCxnSpPr>
        <xdr:cNvPr id="449" name="Straight Connector 448">
          <a:extLst>
            <a:ext uri="{FF2B5EF4-FFF2-40B4-BE49-F238E27FC236}">
              <a16:creationId xmlns:a16="http://schemas.microsoft.com/office/drawing/2014/main" id="{00000000-0008-0000-0600-0000C1010000}"/>
            </a:ext>
          </a:extLst>
        </xdr:cNvPr>
        <xdr:cNvCxnSpPr/>
      </xdr:nvCxnSpPr>
      <xdr:spPr>
        <a:xfrm>
          <a:off x="3476625" y="25050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136</xdr:row>
      <xdr:rowOff>127000</xdr:rowOff>
    </xdr:from>
    <xdr:to>
      <xdr:col>5</xdr:col>
      <xdr:colOff>356810</xdr:colOff>
      <xdr:row>136</xdr:row>
      <xdr:rowOff>409912</xdr:rowOff>
    </xdr:to>
    <xdr:cxnSp macro="">
      <xdr:nvCxnSpPr>
        <xdr:cNvPr id="450" name="Straight Connector 449">
          <a:extLst>
            <a:ext uri="{FF2B5EF4-FFF2-40B4-BE49-F238E27FC236}">
              <a16:creationId xmlns:a16="http://schemas.microsoft.com/office/drawing/2014/main" id="{00000000-0008-0000-0600-0000C2010000}"/>
            </a:ext>
          </a:extLst>
        </xdr:cNvPr>
        <xdr:cNvCxnSpPr/>
      </xdr:nvCxnSpPr>
      <xdr:spPr>
        <a:xfrm flipH="1" flipV="1">
          <a:off x="3481009" y="24998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136</xdr:row>
      <xdr:rowOff>134252</xdr:rowOff>
    </xdr:from>
    <xdr:to>
      <xdr:col>5</xdr:col>
      <xdr:colOff>1652211</xdr:colOff>
      <xdr:row>136</xdr:row>
      <xdr:rowOff>417164</xdr:rowOff>
    </xdr:to>
    <xdr:cxnSp macro="">
      <xdr:nvCxnSpPr>
        <xdr:cNvPr id="451" name="Straight Connector 450">
          <a:extLst>
            <a:ext uri="{FF2B5EF4-FFF2-40B4-BE49-F238E27FC236}">
              <a16:creationId xmlns:a16="http://schemas.microsoft.com/office/drawing/2014/main" id="{00000000-0008-0000-0600-0000C3010000}"/>
            </a:ext>
          </a:extLst>
        </xdr:cNvPr>
        <xdr:cNvCxnSpPr/>
      </xdr:nvCxnSpPr>
      <xdr:spPr>
        <a:xfrm flipH="1" flipV="1">
          <a:off x="3747710" y="25005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137</xdr:row>
      <xdr:rowOff>127000</xdr:rowOff>
    </xdr:from>
    <xdr:to>
      <xdr:col>5</xdr:col>
      <xdr:colOff>356235</xdr:colOff>
      <xdr:row>137</xdr:row>
      <xdr:rowOff>309880</xdr:rowOff>
    </xdr:to>
    <xdr:cxnSp macro="">
      <xdr:nvCxnSpPr>
        <xdr:cNvPr id="452" name="Straight Connector 451">
          <a:extLst>
            <a:ext uri="{FF2B5EF4-FFF2-40B4-BE49-F238E27FC236}">
              <a16:creationId xmlns:a16="http://schemas.microsoft.com/office/drawing/2014/main" id="{00000000-0008-0000-0600-0000C4010000}"/>
            </a:ext>
          </a:extLst>
        </xdr:cNvPr>
        <xdr:cNvCxnSpPr/>
      </xdr:nvCxnSpPr>
      <xdr:spPr>
        <a:xfrm flipH="1" flipV="1">
          <a:off x="3480435" y="25181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137</xdr:row>
      <xdr:rowOff>152400</xdr:rowOff>
    </xdr:from>
    <xdr:to>
      <xdr:col>5</xdr:col>
      <xdr:colOff>1676400</xdr:colOff>
      <xdr:row>137</xdr:row>
      <xdr:rowOff>152400</xdr:rowOff>
    </xdr:to>
    <xdr:cxnSp macro="">
      <xdr:nvCxnSpPr>
        <xdr:cNvPr id="453" name="Straight Connector 452">
          <a:extLst>
            <a:ext uri="{FF2B5EF4-FFF2-40B4-BE49-F238E27FC236}">
              <a16:creationId xmlns:a16="http://schemas.microsoft.com/office/drawing/2014/main" id="{00000000-0008-0000-0600-0000C5010000}"/>
            </a:ext>
          </a:extLst>
        </xdr:cNvPr>
        <xdr:cNvCxnSpPr/>
      </xdr:nvCxnSpPr>
      <xdr:spPr>
        <a:xfrm>
          <a:off x="3486150" y="25206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137</xdr:row>
      <xdr:rowOff>127000</xdr:rowOff>
    </xdr:from>
    <xdr:to>
      <xdr:col>5</xdr:col>
      <xdr:colOff>356810</xdr:colOff>
      <xdr:row>137</xdr:row>
      <xdr:rowOff>409912</xdr:rowOff>
    </xdr:to>
    <xdr:cxnSp macro="">
      <xdr:nvCxnSpPr>
        <xdr:cNvPr id="454" name="Straight Connector 453">
          <a:extLst>
            <a:ext uri="{FF2B5EF4-FFF2-40B4-BE49-F238E27FC236}">
              <a16:creationId xmlns:a16="http://schemas.microsoft.com/office/drawing/2014/main" id="{00000000-0008-0000-0600-0000C6010000}"/>
            </a:ext>
          </a:extLst>
        </xdr:cNvPr>
        <xdr:cNvCxnSpPr/>
      </xdr:nvCxnSpPr>
      <xdr:spPr>
        <a:xfrm flipH="1" flipV="1">
          <a:off x="3481009" y="25181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137</xdr:row>
      <xdr:rowOff>134252</xdr:rowOff>
    </xdr:from>
    <xdr:to>
      <xdr:col>5</xdr:col>
      <xdr:colOff>1652211</xdr:colOff>
      <xdr:row>137</xdr:row>
      <xdr:rowOff>417164</xdr:rowOff>
    </xdr:to>
    <xdr:cxnSp macro="">
      <xdr:nvCxnSpPr>
        <xdr:cNvPr id="455" name="Straight Connector 454">
          <a:extLst>
            <a:ext uri="{FF2B5EF4-FFF2-40B4-BE49-F238E27FC236}">
              <a16:creationId xmlns:a16="http://schemas.microsoft.com/office/drawing/2014/main" id="{00000000-0008-0000-0600-0000C7010000}"/>
            </a:ext>
          </a:extLst>
        </xdr:cNvPr>
        <xdr:cNvCxnSpPr/>
      </xdr:nvCxnSpPr>
      <xdr:spPr>
        <a:xfrm flipH="1" flipV="1">
          <a:off x="3747710" y="25188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138</xdr:row>
      <xdr:rowOff>123824</xdr:rowOff>
    </xdr:from>
    <xdr:to>
      <xdr:col>5</xdr:col>
      <xdr:colOff>1428750</xdr:colOff>
      <xdr:row>138</xdr:row>
      <xdr:rowOff>1219199</xdr:rowOff>
    </xdr:to>
    <xdr:sp macro="" textlink="">
      <xdr:nvSpPr>
        <xdr:cNvPr id="456" name="Rounded Rectangle 455">
          <a:extLst>
            <a:ext uri="{FF2B5EF4-FFF2-40B4-BE49-F238E27FC236}">
              <a16:creationId xmlns:a16="http://schemas.microsoft.com/office/drawing/2014/main" id="{00000000-0008-0000-0600-0000C8010000}"/>
            </a:ext>
          </a:extLst>
        </xdr:cNvPr>
        <xdr:cNvSpPr/>
      </xdr:nvSpPr>
      <xdr:spPr>
        <a:xfrm>
          <a:off x="3745230" y="25361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138</xdr:row>
      <xdr:rowOff>238127</xdr:rowOff>
    </xdr:from>
    <xdr:to>
      <xdr:col>5</xdr:col>
      <xdr:colOff>790575</xdr:colOff>
      <xdr:row>138</xdr:row>
      <xdr:rowOff>361950</xdr:rowOff>
    </xdr:to>
    <xdr:cxnSp macro="">
      <xdr:nvCxnSpPr>
        <xdr:cNvPr id="457" name="Straight Connector 456">
          <a:extLst>
            <a:ext uri="{FF2B5EF4-FFF2-40B4-BE49-F238E27FC236}">
              <a16:creationId xmlns:a16="http://schemas.microsoft.com/office/drawing/2014/main" id="{00000000-0008-0000-0600-0000C9010000}"/>
            </a:ext>
          </a:extLst>
        </xdr:cNvPr>
        <xdr:cNvCxnSpPr/>
      </xdr:nvCxnSpPr>
      <xdr:spPr>
        <a:xfrm flipH="1" flipV="1">
          <a:off x="3749041" y="25422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138</xdr:row>
      <xdr:rowOff>133352</xdr:rowOff>
    </xdr:from>
    <xdr:to>
      <xdr:col>5</xdr:col>
      <xdr:colOff>885825</xdr:colOff>
      <xdr:row>138</xdr:row>
      <xdr:rowOff>257175</xdr:rowOff>
    </xdr:to>
    <xdr:cxnSp macro="">
      <xdr:nvCxnSpPr>
        <xdr:cNvPr id="458" name="Straight Connector 457">
          <a:extLst>
            <a:ext uri="{FF2B5EF4-FFF2-40B4-BE49-F238E27FC236}">
              <a16:creationId xmlns:a16="http://schemas.microsoft.com/office/drawing/2014/main" id="{00000000-0008-0000-0600-0000CA010000}"/>
            </a:ext>
          </a:extLst>
        </xdr:cNvPr>
        <xdr:cNvCxnSpPr/>
      </xdr:nvCxnSpPr>
      <xdr:spPr>
        <a:xfrm flipH="1" flipV="1">
          <a:off x="3745231" y="25370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136</xdr:row>
      <xdr:rowOff>127000</xdr:rowOff>
    </xdr:from>
    <xdr:to>
      <xdr:col>5</xdr:col>
      <xdr:colOff>356235</xdr:colOff>
      <xdr:row>136</xdr:row>
      <xdr:rowOff>309880</xdr:rowOff>
    </xdr:to>
    <xdr:cxnSp macro="">
      <xdr:nvCxnSpPr>
        <xdr:cNvPr id="459" name="Straight Connector 458">
          <a:extLst>
            <a:ext uri="{FF2B5EF4-FFF2-40B4-BE49-F238E27FC236}">
              <a16:creationId xmlns:a16="http://schemas.microsoft.com/office/drawing/2014/main" id="{00000000-0008-0000-0600-0000CB010000}"/>
            </a:ext>
          </a:extLst>
        </xdr:cNvPr>
        <xdr:cNvCxnSpPr/>
      </xdr:nvCxnSpPr>
      <xdr:spPr>
        <a:xfrm flipH="1" flipV="1">
          <a:off x="3480435" y="24998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136</xdr:row>
      <xdr:rowOff>400050</xdr:rowOff>
    </xdr:from>
    <xdr:to>
      <xdr:col>5</xdr:col>
      <xdr:colOff>1666875</xdr:colOff>
      <xdr:row>136</xdr:row>
      <xdr:rowOff>400050</xdr:rowOff>
    </xdr:to>
    <xdr:cxnSp macro="">
      <xdr:nvCxnSpPr>
        <xdr:cNvPr id="460" name="Straight Connector 459">
          <a:extLst>
            <a:ext uri="{FF2B5EF4-FFF2-40B4-BE49-F238E27FC236}">
              <a16:creationId xmlns:a16="http://schemas.microsoft.com/office/drawing/2014/main" id="{00000000-0008-0000-0600-0000CC010000}"/>
            </a:ext>
          </a:extLst>
        </xdr:cNvPr>
        <xdr:cNvCxnSpPr/>
      </xdr:nvCxnSpPr>
      <xdr:spPr>
        <a:xfrm>
          <a:off x="3476625" y="25050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136</xdr:row>
      <xdr:rowOff>127000</xdr:rowOff>
    </xdr:from>
    <xdr:to>
      <xdr:col>5</xdr:col>
      <xdr:colOff>356810</xdr:colOff>
      <xdr:row>136</xdr:row>
      <xdr:rowOff>409912</xdr:rowOff>
    </xdr:to>
    <xdr:cxnSp macro="">
      <xdr:nvCxnSpPr>
        <xdr:cNvPr id="461" name="Straight Connector 460">
          <a:extLst>
            <a:ext uri="{FF2B5EF4-FFF2-40B4-BE49-F238E27FC236}">
              <a16:creationId xmlns:a16="http://schemas.microsoft.com/office/drawing/2014/main" id="{00000000-0008-0000-0600-0000CD010000}"/>
            </a:ext>
          </a:extLst>
        </xdr:cNvPr>
        <xdr:cNvCxnSpPr/>
      </xdr:nvCxnSpPr>
      <xdr:spPr>
        <a:xfrm flipH="1" flipV="1">
          <a:off x="3481009" y="24998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136</xdr:row>
      <xdr:rowOff>134252</xdr:rowOff>
    </xdr:from>
    <xdr:to>
      <xdr:col>5</xdr:col>
      <xdr:colOff>1652211</xdr:colOff>
      <xdr:row>136</xdr:row>
      <xdr:rowOff>417164</xdr:rowOff>
    </xdr:to>
    <xdr:cxnSp macro="">
      <xdr:nvCxnSpPr>
        <xdr:cNvPr id="462" name="Straight Connector 461">
          <a:extLst>
            <a:ext uri="{FF2B5EF4-FFF2-40B4-BE49-F238E27FC236}">
              <a16:creationId xmlns:a16="http://schemas.microsoft.com/office/drawing/2014/main" id="{00000000-0008-0000-0600-0000CE010000}"/>
            </a:ext>
          </a:extLst>
        </xdr:cNvPr>
        <xdr:cNvCxnSpPr/>
      </xdr:nvCxnSpPr>
      <xdr:spPr>
        <a:xfrm flipH="1" flipV="1">
          <a:off x="3747710" y="25005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137</xdr:row>
      <xdr:rowOff>127000</xdr:rowOff>
    </xdr:from>
    <xdr:to>
      <xdr:col>5</xdr:col>
      <xdr:colOff>356235</xdr:colOff>
      <xdr:row>137</xdr:row>
      <xdr:rowOff>309880</xdr:rowOff>
    </xdr:to>
    <xdr:cxnSp macro="">
      <xdr:nvCxnSpPr>
        <xdr:cNvPr id="463" name="Straight Connector 462">
          <a:extLst>
            <a:ext uri="{FF2B5EF4-FFF2-40B4-BE49-F238E27FC236}">
              <a16:creationId xmlns:a16="http://schemas.microsoft.com/office/drawing/2014/main" id="{00000000-0008-0000-0600-0000CF010000}"/>
            </a:ext>
          </a:extLst>
        </xdr:cNvPr>
        <xdr:cNvCxnSpPr/>
      </xdr:nvCxnSpPr>
      <xdr:spPr>
        <a:xfrm flipH="1" flipV="1">
          <a:off x="3480435" y="25181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137</xdr:row>
      <xdr:rowOff>152400</xdr:rowOff>
    </xdr:from>
    <xdr:to>
      <xdr:col>5</xdr:col>
      <xdr:colOff>1676400</xdr:colOff>
      <xdr:row>137</xdr:row>
      <xdr:rowOff>152400</xdr:rowOff>
    </xdr:to>
    <xdr:cxnSp macro="">
      <xdr:nvCxnSpPr>
        <xdr:cNvPr id="464" name="Straight Connector 463">
          <a:extLst>
            <a:ext uri="{FF2B5EF4-FFF2-40B4-BE49-F238E27FC236}">
              <a16:creationId xmlns:a16="http://schemas.microsoft.com/office/drawing/2014/main" id="{00000000-0008-0000-0600-0000D0010000}"/>
            </a:ext>
          </a:extLst>
        </xdr:cNvPr>
        <xdr:cNvCxnSpPr/>
      </xdr:nvCxnSpPr>
      <xdr:spPr>
        <a:xfrm>
          <a:off x="3486150" y="25206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137</xdr:row>
      <xdr:rowOff>127000</xdr:rowOff>
    </xdr:from>
    <xdr:to>
      <xdr:col>5</xdr:col>
      <xdr:colOff>356810</xdr:colOff>
      <xdr:row>137</xdr:row>
      <xdr:rowOff>409912</xdr:rowOff>
    </xdr:to>
    <xdr:cxnSp macro="">
      <xdr:nvCxnSpPr>
        <xdr:cNvPr id="465" name="Straight Connector 464">
          <a:extLst>
            <a:ext uri="{FF2B5EF4-FFF2-40B4-BE49-F238E27FC236}">
              <a16:creationId xmlns:a16="http://schemas.microsoft.com/office/drawing/2014/main" id="{00000000-0008-0000-0600-0000D1010000}"/>
            </a:ext>
          </a:extLst>
        </xdr:cNvPr>
        <xdr:cNvCxnSpPr/>
      </xdr:nvCxnSpPr>
      <xdr:spPr>
        <a:xfrm flipH="1" flipV="1">
          <a:off x="3481009" y="25181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138</xdr:row>
      <xdr:rowOff>123824</xdr:rowOff>
    </xdr:from>
    <xdr:to>
      <xdr:col>5</xdr:col>
      <xdr:colOff>1428750</xdr:colOff>
      <xdr:row>138</xdr:row>
      <xdr:rowOff>1219199</xdr:rowOff>
    </xdr:to>
    <xdr:sp macro="" textlink="">
      <xdr:nvSpPr>
        <xdr:cNvPr id="466" name="Rounded Rectangle 465">
          <a:extLst>
            <a:ext uri="{FF2B5EF4-FFF2-40B4-BE49-F238E27FC236}">
              <a16:creationId xmlns:a16="http://schemas.microsoft.com/office/drawing/2014/main" id="{00000000-0008-0000-0600-0000D2010000}"/>
            </a:ext>
          </a:extLst>
        </xdr:cNvPr>
        <xdr:cNvSpPr/>
      </xdr:nvSpPr>
      <xdr:spPr>
        <a:xfrm>
          <a:off x="3745230" y="25361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138</xdr:row>
      <xdr:rowOff>238127</xdr:rowOff>
    </xdr:from>
    <xdr:to>
      <xdr:col>5</xdr:col>
      <xdr:colOff>790575</xdr:colOff>
      <xdr:row>138</xdr:row>
      <xdr:rowOff>361950</xdr:rowOff>
    </xdr:to>
    <xdr:cxnSp macro="">
      <xdr:nvCxnSpPr>
        <xdr:cNvPr id="467" name="Straight Connector 466">
          <a:extLst>
            <a:ext uri="{FF2B5EF4-FFF2-40B4-BE49-F238E27FC236}">
              <a16:creationId xmlns:a16="http://schemas.microsoft.com/office/drawing/2014/main" id="{00000000-0008-0000-0600-0000D3010000}"/>
            </a:ext>
          </a:extLst>
        </xdr:cNvPr>
        <xdr:cNvCxnSpPr/>
      </xdr:nvCxnSpPr>
      <xdr:spPr>
        <a:xfrm flipH="1" flipV="1">
          <a:off x="3749041" y="25422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138</xdr:row>
      <xdr:rowOff>133352</xdr:rowOff>
    </xdr:from>
    <xdr:to>
      <xdr:col>5</xdr:col>
      <xdr:colOff>885825</xdr:colOff>
      <xdr:row>138</xdr:row>
      <xdr:rowOff>257175</xdr:rowOff>
    </xdr:to>
    <xdr:cxnSp macro="">
      <xdr:nvCxnSpPr>
        <xdr:cNvPr id="468" name="Straight Connector 467">
          <a:extLst>
            <a:ext uri="{FF2B5EF4-FFF2-40B4-BE49-F238E27FC236}">
              <a16:creationId xmlns:a16="http://schemas.microsoft.com/office/drawing/2014/main" id="{00000000-0008-0000-0600-0000D4010000}"/>
            </a:ext>
          </a:extLst>
        </xdr:cNvPr>
        <xdr:cNvCxnSpPr/>
      </xdr:nvCxnSpPr>
      <xdr:spPr>
        <a:xfrm flipH="1" flipV="1">
          <a:off x="3745231" y="25370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143</xdr:row>
      <xdr:rowOff>127000</xdr:rowOff>
    </xdr:from>
    <xdr:to>
      <xdr:col>5</xdr:col>
      <xdr:colOff>356235</xdr:colOff>
      <xdr:row>143</xdr:row>
      <xdr:rowOff>309880</xdr:rowOff>
    </xdr:to>
    <xdr:cxnSp macro="">
      <xdr:nvCxnSpPr>
        <xdr:cNvPr id="469" name="Straight Connector 468">
          <a:extLst>
            <a:ext uri="{FF2B5EF4-FFF2-40B4-BE49-F238E27FC236}">
              <a16:creationId xmlns:a16="http://schemas.microsoft.com/office/drawing/2014/main" id="{00000000-0008-0000-0600-0000D5010000}"/>
            </a:ext>
          </a:extLst>
        </xdr:cNvPr>
        <xdr:cNvCxnSpPr/>
      </xdr:nvCxnSpPr>
      <xdr:spPr>
        <a:xfrm flipH="1" flipV="1">
          <a:off x="3480435" y="26278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143</xdr:row>
      <xdr:rowOff>400050</xdr:rowOff>
    </xdr:from>
    <xdr:to>
      <xdr:col>5</xdr:col>
      <xdr:colOff>1666875</xdr:colOff>
      <xdr:row>143</xdr:row>
      <xdr:rowOff>400050</xdr:rowOff>
    </xdr:to>
    <xdr:cxnSp macro="">
      <xdr:nvCxnSpPr>
        <xdr:cNvPr id="470" name="Straight Connector 469">
          <a:extLst>
            <a:ext uri="{FF2B5EF4-FFF2-40B4-BE49-F238E27FC236}">
              <a16:creationId xmlns:a16="http://schemas.microsoft.com/office/drawing/2014/main" id="{00000000-0008-0000-0600-0000D6010000}"/>
            </a:ext>
          </a:extLst>
        </xdr:cNvPr>
        <xdr:cNvCxnSpPr/>
      </xdr:nvCxnSpPr>
      <xdr:spPr>
        <a:xfrm>
          <a:off x="3476625" y="26330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143</xdr:row>
      <xdr:rowOff>127000</xdr:rowOff>
    </xdr:from>
    <xdr:to>
      <xdr:col>5</xdr:col>
      <xdr:colOff>356810</xdr:colOff>
      <xdr:row>143</xdr:row>
      <xdr:rowOff>409912</xdr:rowOff>
    </xdr:to>
    <xdr:cxnSp macro="">
      <xdr:nvCxnSpPr>
        <xdr:cNvPr id="471" name="Straight Connector 470">
          <a:extLst>
            <a:ext uri="{FF2B5EF4-FFF2-40B4-BE49-F238E27FC236}">
              <a16:creationId xmlns:a16="http://schemas.microsoft.com/office/drawing/2014/main" id="{00000000-0008-0000-0600-0000D7010000}"/>
            </a:ext>
          </a:extLst>
        </xdr:cNvPr>
        <xdr:cNvCxnSpPr/>
      </xdr:nvCxnSpPr>
      <xdr:spPr>
        <a:xfrm flipH="1" flipV="1">
          <a:off x="3481009" y="26278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143</xdr:row>
      <xdr:rowOff>134252</xdr:rowOff>
    </xdr:from>
    <xdr:to>
      <xdr:col>5</xdr:col>
      <xdr:colOff>1652211</xdr:colOff>
      <xdr:row>143</xdr:row>
      <xdr:rowOff>417164</xdr:rowOff>
    </xdr:to>
    <xdr:cxnSp macro="">
      <xdr:nvCxnSpPr>
        <xdr:cNvPr id="472" name="Straight Connector 471">
          <a:extLst>
            <a:ext uri="{FF2B5EF4-FFF2-40B4-BE49-F238E27FC236}">
              <a16:creationId xmlns:a16="http://schemas.microsoft.com/office/drawing/2014/main" id="{00000000-0008-0000-0600-0000D8010000}"/>
            </a:ext>
          </a:extLst>
        </xdr:cNvPr>
        <xdr:cNvCxnSpPr/>
      </xdr:nvCxnSpPr>
      <xdr:spPr>
        <a:xfrm flipH="1" flipV="1">
          <a:off x="3747710" y="26286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144</xdr:row>
      <xdr:rowOff>127000</xdr:rowOff>
    </xdr:from>
    <xdr:to>
      <xdr:col>5</xdr:col>
      <xdr:colOff>356235</xdr:colOff>
      <xdr:row>144</xdr:row>
      <xdr:rowOff>309880</xdr:rowOff>
    </xdr:to>
    <xdr:cxnSp macro="">
      <xdr:nvCxnSpPr>
        <xdr:cNvPr id="473" name="Straight Connector 472">
          <a:extLst>
            <a:ext uri="{FF2B5EF4-FFF2-40B4-BE49-F238E27FC236}">
              <a16:creationId xmlns:a16="http://schemas.microsoft.com/office/drawing/2014/main" id="{00000000-0008-0000-0600-0000D9010000}"/>
            </a:ext>
          </a:extLst>
        </xdr:cNvPr>
        <xdr:cNvCxnSpPr/>
      </xdr:nvCxnSpPr>
      <xdr:spPr>
        <a:xfrm flipH="1" flipV="1">
          <a:off x="3480435" y="26461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144</xdr:row>
      <xdr:rowOff>152400</xdr:rowOff>
    </xdr:from>
    <xdr:to>
      <xdr:col>5</xdr:col>
      <xdr:colOff>1676400</xdr:colOff>
      <xdr:row>144</xdr:row>
      <xdr:rowOff>152400</xdr:rowOff>
    </xdr:to>
    <xdr:cxnSp macro="">
      <xdr:nvCxnSpPr>
        <xdr:cNvPr id="474" name="Straight Connector 473">
          <a:extLst>
            <a:ext uri="{FF2B5EF4-FFF2-40B4-BE49-F238E27FC236}">
              <a16:creationId xmlns:a16="http://schemas.microsoft.com/office/drawing/2014/main" id="{00000000-0008-0000-0600-0000DA010000}"/>
            </a:ext>
          </a:extLst>
        </xdr:cNvPr>
        <xdr:cNvCxnSpPr/>
      </xdr:nvCxnSpPr>
      <xdr:spPr>
        <a:xfrm>
          <a:off x="3486150" y="26487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144</xdr:row>
      <xdr:rowOff>127000</xdr:rowOff>
    </xdr:from>
    <xdr:to>
      <xdr:col>5</xdr:col>
      <xdr:colOff>356810</xdr:colOff>
      <xdr:row>144</xdr:row>
      <xdr:rowOff>409912</xdr:rowOff>
    </xdr:to>
    <xdr:cxnSp macro="">
      <xdr:nvCxnSpPr>
        <xdr:cNvPr id="475" name="Straight Connector 474">
          <a:extLst>
            <a:ext uri="{FF2B5EF4-FFF2-40B4-BE49-F238E27FC236}">
              <a16:creationId xmlns:a16="http://schemas.microsoft.com/office/drawing/2014/main" id="{00000000-0008-0000-0600-0000DB010000}"/>
            </a:ext>
          </a:extLst>
        </xdr:cNvPr>
        <xdr:cNvCxnSpPr/>
      </xdr:nvCxnSpPr>
      <xdr:spPr>
        <a:xfrm flipH="1" flipV="1">
          <a:off x="3481009" y="26461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144</xdr:row>
      <xdr:rowOff>134252</xdr:rowOff>
    </xdr:from>
    <xdr:to>
      <xdr:col>5</xdr:col>
      <xdr:colOff>1652211</xdr:colOff>
      <xdr:row>144</xdr:row>
      <xdr:rowOff>417164</xdr:rowOff>
    </xdr:to>
    <xdr:cxnSp macro="">
      <xdr:nvCxnSpPr>
        <xdr:cNvPr id="476" name="Straight Connector 475">
          <a:extLst>
            <a:ext uri="{FF2B5EF4-FFF2-40B4-BE49-F238E27FC236}">
              <a16:creationId xmlns:a16="http://schemas.microsoft.com/office/drawing/2014/main" id="{00000000-0008-0000-0600-0000DC010000}"/>
            </a:ext>
          </a:extLst>
        </xdr:cNvPr>
        <xdr:cNvCxnSpPr/>
      </xdr:nvCxnSpPr>
      <xdr:spPr>
        <a:xfrm flipH="1" flipV="1">
          <a:off x="3747710" y="26468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145</xdr:row>
      <xdr:rowOff>123824</xdr:rowOff>
    </xdr:from>
    <xdr:to>
      <xdr:col>5</xdr:col>
      <xdr:colOff>1428750</xdr:colOff>
      <xdr:row>145</xdr:row>
      <xdr:rowOff>1219199</xdr:rowOff>
    </xdr:to>
    <xdr:sp macro="" textlink="">
      <xdr:nvSpPr>
        <xdr:cNvPr id="477" name="Rounded Rectangle 476">
          <a:extLst>
            <a:ext uri="{FF2B5EF4-FFF2-40B4-BE49-F238E27FC236}">
              <a16:creationId xmlns:a16="http://schemas.microsoft.com/office/drawing/2014/main" id="{00000000-0008-0000-0600-0000DD010000}"/>
            </a:ext>
          </a:extLst>
        </xdr:cNvPr>
        <xdr:cNvSpPr/>
      </xdr:nvSpPr>
      <xdr:spPr>
        <a:xfrm>
          <a:off x="3745230" y="26641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145</xdr:row>
      <xdr:rowOff>238127</xdr:rowOff>
    </xdr:from>
    <xdr:to>
      <xdr:col>5</xdr:col>
      <xdr:colOff>790575</xdr:colOff>
      <xdr:row>145</xdr:row>
      <xdr:rowOff>361950</xdr:rowOff>
    </xdr:to>
    <xdr:cxnSp macro="">
      <xdr:nvCxnSpPr>
        <xdr:cNvPr id="478" name="Straight Connector 477">
          <a:extLst>
            <a:ext uri="{FF2B5EF4-FFF2-40B4-BE49-F238E27FC236}">
              <a16:creationId xmlns:a16="http://schemas.microsoft.com/office/drawing/2014/main" id="{00000000-0008-0000-0600-0000DE010000}"/>
            </a:ext>
          </a:extLst>
        </xdr:cNvPr>
        <xdr:cNvCxnSpPr/>
      </xdr:nvCxnSpPr>
      <xdr:spPr>
        <a:xfrm flipH="1" flipV="1">
          <a:off x="3749041" y="26702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145</xdr:row>
      <xdr:rowOff>133352</xdr:rowOff>
    </xdr:from>
    <xdr:to>
      <xdr:col>5</xdr:col>
      <xdr:colOff>885825</xdr:colOff>
      <xdr:row>145</xdr:row>
      <xdr:rowOff>257175</xdr:rowOff>
    </xdr:to>
    <xdr:cxnSp macro="">
      <xdr:nvCxnSpPr>
        <xdr:cNvPr id="479" name="Straight Connector 478">
          <a:extLst>
            <a:ext uri="{FF2B5EF4-FFF2-40B4-BE49-F238E27FC236}">
              <a16:creationId xmlns:a16="http://schemas.microsoft.com/office/drawing/2014/main" id="{00000000-0008-0000-0600-0000DF010000}"/>
            </a:ext>
          </a:extLst>
        </xdr:cNvPr>
        <xdr:cNvCxnSpPr/>
      </xdr:nvCxnSpPr>
      <xdr:spPr>
        <a:xfrm flipH="1" flipV="1">
          <a:off x="3745231" y="26650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143</xdr:row>
      <xdr:rowOff>127000</xdr:rowOff>
    </xdr:from>
    <xdr:to>
      <xdr:col>5</xdr:col>
      <xdr:colOff>356235</xdr:colOff>
      <xdr:row>143</xdr:row>
      <xdr:rowOff>309880</xdr:rowOff>
    </xdr:to>
    <xdr:cxnSp macro="">
      <xdr:nvCxnSpPr>
        <xdr:cNvPr id="480" name="Straight Connector 479">
          <a:extLst>
            <a:ext uri="{FF2B5EF4-FFF2-40B4-BE49-F238E27FC236}">
              <a16:creationId xmlns:a16="http://schemas.microsoft.com/office/drawing/2014/main" id="{00000000-0008-0000-0600-0000E0010000}"/>
            </a:ext>
          </a:extLst>
        </xdr:cNvPr>
        <xdr:cNvCxnSpPr/>
      </xdr:nvCxnSpPr>
      <xdr:spPr>
        <a:xfrm flipH="1" flipV="1">
          <a:off x="3480435" y="26278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143</xdr:row>
      <xdr:rowOff>400050</xdr:rowOff>
    </xdr:from>
    <xdr:to>
      <xdr:col>5</xdr:col>
      <xdr:colOff>1666875</xdr:colOff>
      <xdr:row>143</xdr:row>
      <xdr:rowOff>400050</xdr:rowOff>
    </xdr:to>
    <xdr:cxnSp macro="">
      <xdr:nvCxnSpPr>
        <xdr:cNvPr id="481" name="Straight Connector 480">
          <a:extLst>
            <a:ext uri="{FF2B5EF4-FFF2-40B4-BE49-F238E27FC236}">
              <a16:creationId xmlns:a16="http://schemas.microsoft.com/office/drawing/2014/main" id="{00000000-0008-0000-0600-0000E1010000}"/>
            </a:ext>
          </a:extLst>
        </xdr:cNvPr>
        <xdr:cNvCxnSpPr/>
      </xdr:nvCxnSpPr>
      <xdr:spPr>
        <a:xfrm>
          <a:off x="3476625" y="26330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143</xdr:row>
      <xdr:rowOff>127000</xdr:rowOff>
    </xdr:from>
    <xdr:to>
      <xdr:col>5</xdr:col>
      <xdr:colOff>356810</xdr:colOff>
      <xdr:row>143</xdr:row>
      <xdr:rowOff>409912</xdr:rowOff>
    </xdr:to>
    <xdr:cxnSp macro="">
      <xdr:nvCxnSpPr>
        <xdr:cNvPr id="482" name="Straight Connector 481">
          <a:extLst>
            <a:ext uri="{FF2B5EF4-FFF2-40B4-BE49-F238E27FC236}">
              <a16:creationId xmlns:a16="http://schemas.microsoft.com/office/drawing/2014/main" id="{00000000-0008-0000-0600-0000E2010000}"/>
            </a:ext>
          </a:extLst>
        </xdr:cNvPr>
        <xdr:cNvCxnSpPr/>
      </xdr:nvCxnSpPr>
      <xdr:spPr>
        <a:xfrm flipH="1" flipV="1">
          <a:off x="3481009" y="26278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143</xdr:row>
      <xdr:rowOff>134252</xdr:rowOff>
    </xdr:from>
    <xdr:to>
      <xdr:col>5</xdr:col>
      <xdr:colOff>1652211</xdr:colOff>
      <xdr:row>143</xdr:row>
      <xdr:rowOff>417164</xdr:rowOff>
    </xdr:to>
    <xdr:cxnSp macro="">
      <xdr:nvCxnSpPr>
        <xdr:cNvPr id="483" name="Straight Connector 482">
          <a:extLst>
            <a:ext uri="{FF2B5EF4-FFF2-40B4-BE49-F238E27FC236}">
              <a16:creationId xmlns:a16="http://schemas.microsoft.com/office/drawing/2014/main" id="{00000000-0008-0000-0600-0000E3010000}"/>
            </a:ext>
          </a:extLst>
        </xdr:cNvPr>
        <xdr:cNvCxnSpPr/>
      </xdr:nvCxnSpPr>
      <xdr:spPr>
        <a:xfrm flipH="1" flipV="1">
          <a:off x="3747710" y="26286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144</xdr:row>
      <xdr:rowOff>127000</xdr:rowOff>
    </xdr:from>
    <xdr:to>
      <xdr:col>5</xdr:col>
      <xdr:colOff>356235</xdr:colOff>
      <xdr:row>144</xdr:row>
      <xdr:rowOff>309880</xdr:rowOff>
    </xdr:to>
    <xdr:cxnSp macro="">
      <xdr:nvCxnSpPr>
        <xdr:cNvPr id="484" name="Straight Connector 483">
          <a:extLst>
            <a:ext uri="{FF2B5EF4-FFF2-40B4-BE49-F238E27FC236}">
              <a16:creationId xmlns:a16="http://schemas.microsoft.com/office/drawing/2014/main" id="{00000000-0008-0000-0600-0000E4010000}"/>
            </a:ext>
          </a:extLst>
        </xdr:cNvPr>
        <xdr:cNvCxnSpPr/>
      </xdr:nvCxnSpPr>
      <xdr:spPr>
        <a:xfrm flipH="1" flipV="1">
          <a:off x="3480435" y="26461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144</xdr:row>
      <xdr:rowOff>152400</xdr:rowOff>
    </xdr:from>
    <xdr:to>
      <xdr:col>5</xdr:col>
      <xdr:colOff>1676400</xdr:colOff>
      <xdr:row>144</xdr:row>
      <xdr:rowOff>152400</xdr:rowOff>
    </xdr:to>
    <xdr:cxnSp macro="">
      <xdr:nvCxnSpPr>
        <xdr:cNvPr id="485" name="Straight Connector 484">
          <a:extLst>
            <a:ext uri="{FF2B5EF4-FFF2-40B4-BE49-F238E27FC236}">
              <a16:creationId xmlns:a16="http://schemas.microsoft.com/office/drawing/2014/main" id="{00000000-0008-0000-0600-0000E5010000}"/>
            </a:ext>
          </a:extLst>
        </xdr:cNvPr>
        <xdr:cNvCxnSpPr/>
      </xdr:nvCxnSpPr>
      <xdr:spPr>
        <a:xfrm>
          <a:off x="3486150" y="26487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144</xdr:row>
      <xdr:rowOff>127000</xdr:rowOff>
    </xdr:from>
    <xdr:to>
      <xdr:col>5</xdr:col>
      <xdr:colOff>356810</xdr:colOff>
      <xdr:row>144</xdr:row>
      <xdr:rowOff>409912</xdr:rowOff>
    </xdr:to>
    <xdr:cxnSp macro="">
      <xdr:nvCxnSpPr>
        <xdr:cNvPr id="486" name="Straight Connector 485">
          <a:extLst>
            <a:ext uri="{FF2B5EF4-FFF2-40B4-BE49-F238E27FC236}">
              <a16:creationId xmlns:a16="http://schemas.microsoft.com/office/drawing/2014/main" id="{00000000-0008-0000-0600-0000E6010000}"/>
            </a:ext>
          </a:extLst>
        </xdr:cNvPr>
        <xdr:cNvCxnSpPr/>
      </xdr:nvCxnSpPr>
      <xdr:spPr>
        <a:xfrm flipH="1" flipV="1">
          <a:off x="3481009" y="26461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144</xdr:row>
      <xdr:rowOff>134252</xdr:rowOff>
    </xdr:from>
    <xdr:to>
      <xdr:col>5</xdr:col>
      <xdr:colOff>1652211</xdr:colOff>
      <xdr:row>144</xdr:row>
      <xdr:rowOff>417164</xdr:rowOff>
    </xdr:to>
    <xdr:cxnSp macro="">
      <xdr:nvCxnSpPr>
        <xdr:cNvPr id="487" name="Straight Connector 486">
          <a:extLst>
            <a:ext uri="{FF2B5EF4-FFF2-40B4-BE49-F238E27FC236}">
              <a16:creationId xmlns:a16="http://schemas.microsoft.com/office/drawing/2014/main" id="{00000000-0008-0000-0600-0000E7010000}"/>
            </a:ext>
          </a:extLst>
        </xdr:cNvPr>
        <xdr:cNvCxnSpPr/>
      </xdr:nvCxnSpPr>
      <xdr:spPr>
        <a:xfrm flipH="1" flipV="1">
          <a:off x="3747710" y="26468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145</xdr:row>
      <xdr:rowOff>123824</xdr:rowOff>
    </xdr:from>
    <xdr:to>
      <xdr:col>5</xdr:col>
      <xdr:colOff>1428750</xdr:colOff>
      <xdr:row>145</xdr:row>
      <xdr:rowOff>1219199</xdr:rowOff>
    </xdr:to>
    <xdr:sp macro="" textlink="">
      <xdr:nvSpPr>
        <xdr:cNvPr id="488" name="Rounded Rectangle 487">
          <a:extLst>
            <a:ext uri="{FF2B5EF4-FFF2-40B4-BE49-F238E27FC236}">
              <a16:creationId xmlns:a16="http://schemas.microsoft.com/office/drawing/2014/main" id="{00000000-0008-0000-0600-0000E8010000}"/>
            </a:ext>
          </a:extLst>
        </xdr:cNvPr>
        <xdr:cNvSpPr/>
      </xdr:nvSpPr>
      <xdr:spPr>
        <a:xfrm>
          <a:off x="3745230" y="26641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145</xdr:row>
      <xdr:rowOff>238127</xdr:rowOff>
    </xdr:from>
    <xdr:to>
      <xdr:col>5</xdr:col>
      <xdr:colOff>790575</xdr:colOff>
      <xdr:row>145</xdr:row>
      <xdr:rowOff>361950</xdr:rowOff>
    </xdr:to>
    <xdr:cxnSp macro="">
      <xdr:nvCxnSpPr>
        <xdr:cNvPr id="489" name="Straight Connector 488">
          <a:extLst>
            <a:ext uri="{FF2B5EF4-FFF2-40B4-BE49-F238E27FC236}">
              <a16:creationId xmlns:a16="http://schemas.microsoft.com/office/drawing/2014/main" id="{00000000-0008-0000-0600-0000E9010000}"/>
            </a:ext>
          </a:extLst>
        </xdr:cNvPr>
        <xdr:cNvCxnSpPr/>
      </xdr:nvCxnSpPr>
      <xdr:spPr>
        <a:xfrm flipH="1" flipV="1">
          <a:off x="3749041" y="26702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145</xdr:row>
      <xdr:rowOff>133352</xdr:rowOff>
    </xdr:from>
    <xdr:to>
      <xdr:col>5</xdr:col>
      <xdr:colOff>885825</xdr:colOff>
      <xdr:row>145</xdr:row>
      <xdr:rowOff>257175</xdr:rowOff>
    </xdr:to>
    <xdr:cxnSp macro="">
      <xdr:nvCxnSpPr>
        <xdr:cNvPr id="490" name="Straight Connector 489">
          <a:extLst>
            <a:ext uri="{FF2B5EF4-FFF2-40B4-BE49-F238E27FC236}">
              <a16:creationId xmlns:a16="http://schemas.microsoft.com/office/drawing/2014/main" id="{00000000-0008-0000-0600-0000EA010000}"/>
            </a:ext>
          </a:extLst>
        </xdr:cNvPr>
        <xdr:cNvCxnSpPr/>
      </xdr:nvCxnSpPr>
      <xdr:spPr>
        <a:xfrm flipH="1" flipV="1">
          <a:off x="3745231" y="26650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143</xdr:row>
      <xdr:rowOff>127000</xdr:rowOff>
    </xdr:from>
    <xdr:to>
      <xdr:col>5</xdr:col>
      <xdr:colOff>356235</xdr:colOff>
      <xdr:row>143</xdr:row>
      <xdr:rowOff>309880</xdr:rowOff>
    </xdr:to>
    <xdr:cxnSp macro="">
      <xdr:nvCxnSpPr>
        <xdr:cNvPr id="491" name="Straight Connector 490">
          <a:extLst>
            <a:ext uri="{FF2B5EF4-FFF2-40B4-BE49-F238E27FC236}">
              <a16:creationId xmlns:a16="http://schemas.microsoft.com/office/drawing/2014/main" id="{00000000-0008-0000-0600-0000EB010000}"/>
            </a:ext>
          </a:extLst>
        </xdr:cNvPr>
        <xdr:cNvCxnSpPr/>
      </xdr:nvCxnSpPr>
      <xdr:spPr>
        <a:xfrm flipH="1" flipV="1">
          <a:off x="3480435" y="26278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143</xdr:row>
      <xdr:rowOff>400050</xdr:rowOff>
    </xdr:from>
    <xdr:to>
      <xdr:col>5</xdr:col>
      <xdr:colOff>1666875</xdr:colOff>
      <xdr:row>143</xdr:row>
      <xdr:rowOff>400050</xdr:rowOff>
    </xdr:to>
    <xdr:cxnSp macro="">
      <xdr:nvCxnSpPr>
        <xdr:cNvPr id="492" name="Straight Connector 491">
          <a:extLst>
            <a:ext uri="{FF2B5EF4-FFF2-40B4-BE49-F238E27FC236}">
              <a16:creationId xmlns:a16="http://schemas.microsoft.com/office/drawing/2014/main" id="{00000000-0008-0000-0600-0000EC010000}"/>
            </a:ext>
          </a:extLst>
        </xdr:cNvPr>
        <xdr:cNvCxnSpPr/>
      </xdr:nvCxnSpPr>
      <xdr:spPr>
        <a:xfrm>
          <a:off x="3476625" y="26330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143</xdr:row>
      <xdr:rowOff>127000</xdr:rowOff>
    </xdr:from>
    <xdr:to>
      <xdr:col>5</xdr:col>
      <xdr:colOff>356810</xdr:colOff>
      <xdr:row>143</xdr:row>
      <xdr:rowOff>409912</xdr:rowOff>
    </xdr:to>
    <xdr:cxnSp macro="">
      <xdr:nvCxnSpPr>
        <xdr:cNvPr id="493" name="Straight Connector 492">
          <a:extLst>
            <a:ext uri="{FF2B5EF4-FFF2-40B4-BE49-F238E27FC236}">
              <a16:creationId xmlns:a16="http://schemas.microsoft.com/office/drawing/2014/main" id="{00000000-0008-0000-0600-0000ED010000}"/>
            </a:ext>
          </a:extLst>
        </xdr:cNvPr>
        <xdr:cNvCxnSpPr/>
      </xdr:nvCxnSpPr>
      <xdr:spPr>
        <a:xfrm flipH="1" flipV="1">
          <a:off x="3481009" y="26278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143</xdr:row>
      <xdr:rowOff>134252</xdr:rowOff>
    </xdr:from>
    <xdr:to>
      <xdr:col>5</xdr:col>
      <xdr:colOff>1652211</xdr:colOff>
      <xdr:row>143</xdr:row>
      <xdr:rowOff>417164</xdr:rowOff>
    </xdr:to>
    <xdr:cxnSp macro="">
      <xdr:nvCxnSpPr>
        <xdr:cNvPr id="494" name="Straight Connector 493">
          <a:extLst>
            <a:ext uri="{FF2B5EF4-FFF2-40B4-BE49-F238E27FC236}">
              <a16:creationId xmlns:a16="http://schemas.microsoft.com/office/drawing/2014/main" id="{00000000-0008-0000-0600-0000EE010000}"/>
            </a:ext>
          </a:extLst>
        </xdr:cNvPr>
        <xdr:cNvCxnSpPr/>
      </xdr:nvCxnSpPr>
      <xdr:spPr>
        <a:xfrm flipH="1" flipV="1">
          <a:off x="3747710" y="26286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144</xdr:row>
      <xdr:rowOff>127000</xdr:rowOff>
    </xdr:from>
    <xdr:to>
      <xdr:col>5</xdr:col>
      <xdr:colOff>356235</xdr:colOff>
      <xdr:row>144</xdr:row>
      <xdr:rowOff>309880</xdr:rowOff>
    </xdr:to>
    <xdr:cxnSp macro="">
      <xdr:nvCxnSpPr>
        <xdr:cNvPr id="495" name="Straight Connector 494">
          <a:extLst>
            <a:ext uri="{FF2B5EF4-FFF2-40B4-BE49-F238E27FC236}">
              <a16:creationId xmlns:a16="http://schemas.microsoft.com/office/drawing/2014/main" id="{00000000-0008-0000-0600-0000EF010000}"/>
            </a:ext>
          </a:extLst>
        </xdr:cNvPr>
        <xdr:cNvCxnSpPr/>
      </xdr:nvCxnSpPr>
      <xdr:spPr>
        <a:xfrm flipH="1" flipV="1">
          <a:off x="3480435" y="26461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144</xdr:row>
      <xdr:rowOff>152400</xdr:rowOff>
    </xdr:from>
    <xdr:to>
      <xdr:col>5</xdr:col>
      <xdr:colOff>1676400</xdr:colOff>
      <xdr:row>144</xdr:row>
      <xdr:rowOff>152400</xdr:rowOff>
    </xdr:to>
    <xdr:cxnSp macro="">
      <xdr:nvCxnSpPr>
        <xdr:cNvPr id="496" name="Straight Connector 495">
          <a:extLst>
            <a:ext uri="{FF2B5EF4-FFF2-40B4-BE49-F238E27FC236}">
              <a16:creationId xmlns:a16="http://schemas.microsoft.com/office/drawing/2014/main" id="{00000000-0008-0000-0600-0000F0010000}"/>
            </a:ext>
          </a:extLst>
        </xdr:cNvPr>
        <xdr:cNvCxnSpPr/>
      </xdr:nvCxnSpPr>
      <xdr:spPr>
        <a:xfrm>
          <a:off x="3486150" y="26487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144</xdr:row>
      <xdr:rowOff>127000</xdr:rowOff>
    </xdr:from>
    <xdr:to>
      <xdr:col>5</xdr:col>
      <xdr:colOff>356810</xdr:colOff>
      <xdr:row>144</xdr:row>
      <xdr:rowOff>409912</xdr:rowOff>
    </xdr:to>
    <xdr:cxnSp macro="">
      <xdr:nvCxnSpPr>
        <xdr:cNvPr id="497" name="Straight Connector 496">
          <a:extLst>
            <a:ext uri="{FF2B5EF4-FFF2-40B4-BE49-F238E27FC236}">
              <a16:creationId xmlns:a16="http://schemas.microsoft.com/office/drawing/2014/main" id="{00000000-0008-0000-0600-0000F1010000}"/>
            </a:ext>
          </a:extLst>
        </xdr:cNvPr>
        <xdr:cNvCxnSpPr/>
      </xdr:nvCxnSpPr>
      <xdr:spPr>
        <a:xfrm flipH="1" flipV="1">
          <a:off x="3481009" y="26461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144</xdr:row>
      <xdr:rowOff>134252</xdr:rowOff>
    </xdr:from>
    <xdr:to>
      <xdr:col>5</xdr:col>
      <xdr:colOff>1652211</xdr:colOff>
      <xdr:row>144</xdr:row>
      <xdr:rowOff>417164</xdr:rowOff>
    </xdr:to>
    <xdr:cxnSp macro="">
      <xdr:nvCxnSpPr>
        <xdr:cNvPr id="498" name="Straight Connector 497">
          <a:extLst>
            <a:ext uri="{FF2B5EF4-FFF2-40B4-BE49-F238E27FC236}">
              <a16:creationId xmlns:a16="http://schemas.microsoft.com/office/drawing/2014/main" id="{00000000-0008-0000-0600-0000F2010000}"/>
            </a:ext>
          </a:extLst>
        </xdr:cNvPr>
        <xdr:cNvCxnSpPr/>
      </xdr:nvCxnSpPr>
      <xdr:spPr>
        <a:xfrm flipH="1" flipV="1">
          <a:off x="3747710" y="26468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145</xdr:row>
      <xdr:rowOff>123824</xdr:rowOff>
    </xdr:from>
    <xdr:to>
      <xdr:col>5</xdr:col>
      <xdr:colOff>1428750</xdr:colOff>
      <xdr:row>145</xdr:row>
      <xdr:rowOff>1219199</xdr:rowOff>
    </xdr:to>
    <xdr:sp macro="" textlink="">
      <xdr:nvSpPr>
        <xdr:cNvPr id="499" name="Rounded Rectangle 498">
          <a:extLst>
            <a:ext uri="{FF2B5EF4-FFF2-40B4-BE49-F238E27FC236}">
              <a16:creationId xmlns:a16="http://schemas.microsoft.com/office/drawing/2014/main" id="{00000000-0008-0000-0600-0000F3010000}"/>
            </a:ext>
          </a:extLst>
        </xdr:cNvPr>
        <xdr:cNvSpPr/>
      </xdr:nvSpPr>
      <xdr:spPr>
        <a:xfrm>
          <a:off x="3745230" y="26641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145</xdr:row>
      <xdr:rowOff>238127</xdr:rowOff>
    </xdr:from>
    <xdr:to>
      <xdr:col>5</xdr:col>
      <xdr:colOff>790575</xdr:colOff>
      <xdr:row>145</xdr:row>
      <xdr:rowOff>361950</xdr:rowOff>
    </xdr:to>
    <xdr:cxnSp macro="">
      <xdr:nvCxnSpPr>
        <xdr:cNvPr id="500" name="Straight Connector 499">
          <a:extLst>
            <a:ext uri="{FF2B5EF4-FFF2-40B4-BE49-F238E27FC236}">
              <a16:creationId xmlns:a16="http://schemas.microsoft.com/office/drawing/2014/main" id="{00000000-0008-0000-0600-0000F4010000}"/>
            </a:ext>
          </a:extLst>
        </xdr:cNvPr>
        <xdr:cNvCxnSpPr/>
      </xdr:nvCxnSpPr>
      <xdr:spPr>
        <a:xfrm flipH="1" flipV="1">
          <a:off x="3749041" y="26702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145</xdr:row>
      <xdr:rowOff>133352</xdr:rowOff>
    </xdr:from>
    <xdr:to>
      <xdr:col>5</xdr:col>
      <xdr:colOff>885825</xdr:colOff>
      <xdr:row>145</xdr:row>
      <xdr:rowOff>257175</xdr:rowOff>
    </xdr:to>
    <xdr:cxnSp macro="">
      <xdr:nvCxnSpPr>
        <xdr:cNvPr id="501" name="Straight Connector 500">
          <a:extLst>
            <a:ext uri="{FF2B5EF4-FFF2-40B4-BE49-F238E27FC236}">
              <a16:creationId xmlns:a16="http://schemas.microsoft.com/office/drawing/2014/main" id="{00000000-0008-0000-0600-0000F5010000}"/>
            </a:ext>
          </a:extLst>
        </xdr:cNvPr>
        <xdr:cNvCxnSpPr/>
      </xdr:nvCxnSpPr>
      <xdr:spPr>
        <a:xfrm flipH="1" flipV="1">
          <a:off x="3745231" y="26650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143</xdr:row>
      <xdr:rowOff>127000</xdr:rowOff>
    </xdr:from>
    <xdr:to>
      <xdr:col>5</xdr:col>
      <xdr:colOff>356235</xdr:colOff>
      <xdr:row>143</xdr:row>
      <xdr:rowOff>309880</xdr:rowOff>
    </xdr:to>
    <xdr:cxnSp macro="">
      <xdr:nvCxnSpPr>
        <xdr:cNvPr id="502" name="Straight Connector 501">
          <a:extLst>
            <a:ext uri="{FF2B5EF4-FFF2-40B4-BE49-F238E27FC236}">
              <a16:creationId xmlns:a16="http://schemas.microsoft.com/office/drawing/2014/main" id="{00000000-0008-0000-0600-0000F6010000}"/>
            </a:ext>
          </a:extLst>
        </xdr:cNvPr>
        <xdr:cNvCxnSpPr/>
      </xdr:nvCxnSpPr>
      <xdr:spPr>
        <a:xfrm flipH="1" flipV="1">
          <a:off x="3480435" y="26278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143</xdr:row>
      <xdr:rowOff>400050</xdr:rowOff>
    </xdr:from>
    <xdr:to>
      <xdr:col>5</xdr:col>
      <xdr:colOff>1666875</xdr:colOff>
      <xdr:row>143</xdr:row>
      <xdr:rowOff>400050</xdr:rowOff>
    </xdr:to>
    <xdr:cxnSp macro="">
      <xdr:nvCxnSpPr>
        <xdr:cNvPr id="503" name="Straight Connector 502">
          <a:extLst>
            <a:ext uri="{FF2B5EF4-FFF2-40B4-BE49-F238E27FC236}">
              <a16:creationId xmlns:a16="http://schemas.microsoft.com/office/drawing/2014/main" id="{00000000-0008-0000-0600-0000F7010000}"/>
            </a:ext>
          </a:extLst>
        </xdr:cNvPr>
        <xdr:cNvCxnSpPr/>
      </xdr:nvCxnSpPr>
      <xdr:spPr>
        <a:xfrm>
          <a:off x="3476625" y="26330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143</xdr:row>
      <xdr:rowOff>127000</xdr:rowOff>
    </xdr:from>
    <xdr:to>
      <xdr:col>5</xdr:col>
      <xdr:colOff>356810</xdr:colOff>
      <xdr:row>143</xdr:row>
      <xdr:rowOff>409912</xdr:rowOff>
    </xdr:to>
    <xdr:cxnSp macro="">
      <xdr:nvCxnSpPr>
        <xdr:cNvPr id="504" name="Straight Connector 503">
          <a:extLst>
            <a:ext uri="{FF2B5EF4-FFF2-40B4-BE49-F238E27FC236}">
              <a16:creationId xmlns:a16="http://schemas.microsoft.com/office/drawing/2014/main" id="{00000000-0008-0000-0600-0000F8010000}"/>
            </a:ext>
          </a:extLst>
        </xdr:cNvPr>
        <xdr:cNvCxnSpPr/>
      </xdr:nvCxnSpPr>
      <xdr:spPr>
        <a:xfrm flipH="1" flipV="1">
          <a:off x="3481009" y="26278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143</xdr:row>
      <xdr:rowOff>134252</xdr:rowOff>
    </xdr:from>
    <xdr:to>
      <xdr:col>5</xdr:col>
      <xdr:colOff>1652211</xdr:colOff>
      <xdr:row>143</xdr:row>
      <xdr:rowOff>417164</xdr:rowOff>
    </xdr:to>
    <xdr:cxnSp macro="">
      <xdr:nvCxnSpPr>
        <xdr:cNvPr id="505" name="Straight Connector 504">
          <a:extLst>
            <a:ext uri="{FF2B5EF4-FFF2-40B4-BE49-F238E27FC236}">
              <a16:creationId xmlns:a16="http://schemas.microsoft.com/office/drawing/2014/main" id="{00000000-0008-0000-0600-0000F9010000}"/>
            </a:ext>
          </a:extLst>
        </xdr:cNvPr>
        <xdr:cNvCxnSpPr/>
      </xdr:nvCxnSpPr>
      <xdr:spPr>
        <a:xfrm flipH="1" flipV="1">
          <a:off x="3747710" y="26286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144</xdr:row>
      <xdr:rowOff>127000</xdr:rowOff>
    </xdr:from>
    <xdr:to>
      <xdr:col>5</xdr:col>
      <xdr:colOff>356235</xdr:colOff>
      <xdr:row>144</xdr:row>
      <xdr:rowOff>309880</xdr:rowOff>
    </xdr:to>
    <xdr:cxnSp macro="">
      <xdr:nvCxnSpPr>
        <xdr:cNvPr id="506" name="Straight Connector 505">
          <a:extLst>
            <a:ext uri="{FF2B5EF4-FFF2-40B4-BE49-F238E27FC236}">
              <a16:creationId xmlns:a16="http://schemas.microsoft.com/office/drawing/2014/main" id="{00000000-0008-0000-0600-0000FA010000}"/>
            </a:ext>
          </a:extLst>
        </xdr:cNvPr>
        <xdr:cNvCxnSpPr/>
      </xdr:nvCxnSpPr>
      <xdr:spPr>
        <a:xfrm flipH="1" flipV="1">
          <a:off x="3480435" y="26461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144</xdr:row>
      <xdr:rowOff>152400</xdr:rowOff>
    </xdr:from>
    <xdr:to>
      <xdr:col>5</xdr:col>
      <xdr:colOff>1676400</xdr:colOff>
      <xdr:row>144</xdr:row>
      <xdr:rowOff>152400</xdr:rowOff>
    </xdr:to>
    <xdr:cxnSp macro="">
      <xdr:nvCxnSpPr>
        <xdr:cNvPr id="507" name="Straight Connector 506">
          <a:extLst>
            <a:ext uri="{FF2B5EF4-FFF2-40B4-BE49-F238E27FC236}">
              <a16:creationId xmlns:a16="http://schemas.microsoft.com/office/drawing/2014/main" id="{00000000-0008-0000-0600-0000FB010000}"/>
            </a:ext>
          </a:extLst>
        </xdr:cNvPr>
        <xdr:cNvCxnSpPr/>
      </xdr:nvCxnSpPr>
      <xdr:spPr>
        <a:xfrm>
          <a:off x="3486150" y="26487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144</xdr:row>
      <xdr:rowOff>127000</xdr:rowOff>
    </xdr:from>
    <xdr:to>
      <xdr:col>5</xdr:col>
      <xdr:colOff>356810</xdr:colOff>
      <xdr:row>144</xdr:row>
      <xdr:rowOff>409912</xdr:rowOff>
    </xdr:to>
    <xdr:cxnSp macro="">
      <xdr:nvCxnSpPr>
        <xdr:cNvPr id="508" name="Straight Connector 507">
          <a:extLst>
            <a:ext uri="{FF2B5EF4-FFF2-40B4-BE49-F238E27FC236}">
              <a16:creationId xmlns:a16="http://schemas.microsoft.com/office/drawing/2014/main" id="{00000000-0008-0000-0600-0000FC010000}"/>
            </a:ext>
          </a:extLst>
        </xdr:cNvPr>
        <xdr:cNvCxnSpPr/>
      </xdr:nvCxnSpPr>
      <xdr:spPr>
        <a:xfrm flipH="1" flipV="1">
          <a:off x="3481009" y="26461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145</xdr:row>
      <xdr:rowOff>123824</xdr:rowOff>
    </xdr:from>
    <xdr:to>
      <xdr:col>5</xdr:col>
      <xdr:colOff>1428750</xdr:colOff>
      <xdr:row>145</xdr:row>
      <xdr:rowOff>1219199</xdr:rowOff>
    </xdr:to>
    <xdr:sp macro="" textlink="">
      <xdr:nvSpPr>
        <xdr:cNvPr id="509" name="Rounded Rectangle 508">
          <a:extLst>
            <a:ext uri="{FF2B5EF4-FFF2-40B4-BE49-F238E27FC236}">
              <a16:creationId xmlns:a16="http://schemas.microsoft.com/office/drawing/2014/main" id="{00000000-0008-0000-0600-0000FD010000}"/>
            </a:ext>
          </a:extLst>
        </xdr:cNvPr>
        <xdr:cNvSpPr/>
      </xdr:nvSpPr>
      <xdr:spPr>
        <a:xfrm>
          <a:off x="3745230" y="26641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145</xdr:row>
      <xdr:rowOff>238127</xdr:rowOff>
    </xdr:from>
    <xdr:to>
      <xdr:col>5</xdr:col>
      <xdr:colOff>790575</xdr:colOff>
      <xdr:row>145</xdr:row>
      <xdr:rowOff>361950</xdr:rowOff>
    </xdr:to>
    <xdr:cxnSp macro="">
      <xdr:nvCxnSpPr>
        <xdr:cNvPr id="510" name="Straight Connector 509">
          <a:extLst>
            <a:ext uri="{FF2B5EF4-FFF2-40B4-BE49-F238E27FC236}">
              <a16:creationId xmlns:a16="http://schemas.microsoft.com/office/drawing/2014/main" id="{00000000-0008-0000-0600-0000FE010000}"/>
            </a:ext>
          </a:extLst>
        </xdr:cNvPr>
        <xdr:cNvCxnSpPr/>
      </xdr:nvCxnSpPr>
      <xdr:spPr>
        <a:xfrm flipH="1" flipV="1">
          <a:off x="3749041" y="26702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145</xdr:row>
      <xdr:rowOff>133352</xdr:rowOff>
    </xdr:from>
    <xdr:to>
      <xdr:col>5</xdr:col>
      <xdr:colOff>885825</xdr:colOff>
      <xdr:row>145</xdr:row>
      <xdr:rowOff>257175</xdr:rowOff>
    </xdr:to>
    <xdr:cxnSp macro="">
      <xdr:nvCxnSpPr>
        <xdr:cNvPr id="511" name="Straight Connector 510">
          <a:extLst>
            <a:ext uri="{FF2B5EF4-FFF2-40B4-BE49-F238E27FC236}">
              <a16:creationId xmlns:a16="http://schemas.microsoft.com/office/drawing/2014/main" id="{00000000-0008-0000-0600-0000FF010000}"/>
            </a:ext>
          </a:extLst>
        </xdr:cNvPr>
        <xdr:cNvCxnSpPr/>
      </xdr:nvCxnSpPr>
      <xdr:spPr>
        <a:xfrm flipH="1" flipV="1">
          <a:off x="3745231" y="26650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150</xdr:row>
      <xdr:rowOff>127000</xdr:rowOff>
    </xdr:from>
    <xdr:to>
      <xdr:col>5</xdr:col>
      <xdr:colOff>356235</xdr:colOff>
      <xdr:row>150</xdr:row>
      <xdr:rowOff>309880</xdr:rowOff>
    </xdr:to>
    <xdr:cxnSp macro="">
      <xdr:nvCxnSpPr>
        <xdr:cNvPr id="512" name="Straight Connector 511">
          <a:extLst>
            <a:ext uri="{FF2B5EF4-FFF2-40B4-BE49-F238E27FC236}">
              <a16:creationId xmlns:a16="http://schemas.microsoft.com/office/drawing/2014/main" id="{00000000-0008-0000-0600-000000020000}"/>
            </a:ext>
          </a:extLst>
        </xdr:cNvPr>
        <xdr:cNvCxnSpPr/>
      </xdr:nvCxnSpPr>
      <xdr:spPr>
        <a:xfrm flipH="1" flipV="1">
          <a:off x="3480435" y="27559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150</xdr:row>
      <xdr:rowOff>400050</xdr:rowOff>
    </xdr:from>
    <xdr:to>
      <xdr:col>5</xdr:col>
      <xdr:colOff>1666875</xdr:colOff>
      <xdr:row>150</xdr:row>
      <xdr:rowOff>400050</xdr:rowOff>
    </xdr:to>
    <xdr:cxnSp macro="">
      <xdr:nvCxnSpPr>
        <xdr:cNvPr id="513" name="Straight Connector 512">
          <a:extLst>
            <a:ext uri="{FF2B5EF4-FFF2-40B4-BE49-F238E27FC236}">
              <a16:creationId xmlns:a16="http://schemas.microsoft.com/office/drawing/2014/main" id="{00000000-0008-0000-0600-000001020000}"/>
            </a:ext>
          </a:extLst>
        </xdr:cNvPr>
        <xdr:cNvCxnSpPr/>
      </xdr:nvCxnSpPr>
      <xdr:spPr>
        <a:xfrm>
          <a:off x="3476625" y="27611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150</xdr:row>
      <xdr:rowOff>127000</xdr:rowOff>
    </xdr:from>
    <xdr:to>
      <xdr:col>5</xdr:col>
      <xdr:colOff>356810</xdr:colOff>
      <xdr:row>150</xdr:row>
      <xdr:rowOff>409912</xdr:rowOff>
    </xdr:to>
    <xdr:cxnSp macro="">
      <xdr:nvCxnSpPr>
        <xdr:cNvPr id="514" name="Straight Connector 513">
          <a:extLst>
            <a:ext uri="{FF2B5EF4-FFF2-40B4-BE49-F238E27FC236}">
              <a16:creationId xmlns:a16="http://schemas.microsoft.com/office/drawing/2014/main" id="{00000000-0008-0000-0600-000002020000}"/>
            </a:ext>
          </a:extLst>
        </xdr:cNvPr>
        <xdr:cNvCxnSpPr/>
      </xdr:nvCxnSpPr>
      <xdr:spPr>
        <a:xfrm flipH="1" flipV="1">
          <a:off x="3481009" y="27559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150</xdr:row>
      <xdr:rowOff>134252</xdr:rowOff>
    </xdr:from>
    <xdr:to>
      <xdr:col>5</xdr:col>
      <xdr:colOff>1652211</xdr:colOff>
      <xdr:row>150</xdr:row>
      <xdr:rowOff>417164</xdr:rowOff>
    </xdr:to>
    <xdr:cxnSp macro="">
      <xdr:nvCxnSpPr>
        <xdr:cNvPr id="515" name="Straight Connector 514">
          <a:extLst>
            <a:ext uri="{FF2B5EF4-FFF2-40B4-BE49-F238E27FC236}">
              <a16:creationId xmlns:a16="http://schemas.microsoft.com/office/drawing/2014/main" id="{00000000-0008-0000-0600-000003020000}"/>
            </a:ext>
          </a:extLst>
        </xdr:cNvPr>
        <xdr:cNvCxnSpPr/>
      </xdr:nvCxnSpPr>
      <xdr:spPr>
        <a:xfrm flipH="1" flipV="1">
          <a:off x="3747710" y="27566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152</xdr:row>
      <xdr:rowOff>127000</xdr:rowOff>
    </xdr:from>
    <xdr:to>
      <xdr:col>5</xdr:col>
      <xdr:colOff>356235</xdr:colOff>
      <xdr:row>152</xdr:row>
      <xdr:rowOff>309880</xdr:rowOff>
    </xdr:to>
    <xdr:cxnSp macro="">
      <xdr:nvCxnSpPr>
        <xdr:cNvPr id="516" name="Straight Connector 515">
          <a:extLst>
            <a:ext uri="{FF2B5EF4-FFF2-40B4-BE49-F238E27FC236}">
              <a16:creationId xmlns:a16="http://schemas.microsoft.com/office/drawing/2014/main" id="{00000000-0008-0000-0600-000004020000}"/>
            </a:ext>
          </a:extLst>
        </xdr:cNvPr>
        <xdr:cNvCxnSpPr/>
      </xdr:nvCxnSpPr>
      <xdr:spPr>
        <a:xfrm flipH="1" flipV="1">
          <a:off x="3480435" y="279247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152</xdr:row>
      <xdr:rowOff>152400</xdr:rowOff>
    </xdr:from>
    <xdr:to>
      <xdr:col>5</xdr:col>
      <xdr:colOff>1676400</xdr:colOff>
      <xdr:row>152</xdr:row>
      <xdr:rowOff>152400</xdr:rowOff>
    </xdr:to>
    <xdr:cxnSp macro="">
      <xdr:nvCxnSpPr>
        <xdr:cNvPr id="517" name="Straight Connector 516">
          <a:extLst>
            <a:ext uri="{FF2B5EF4-FFF2-40B4-BE49-F238E27FC236}">
              <a16:creationId xmlns:a16="http://schemas.microsoft.com/office/drawing/2014/main" id="{00000000-0008-0000-0600-000005020000}"/>
            </a:ext>
          </a:extLst>
        </xdr:cNvPr>
        <xdr:cNvCxnSpPr/>
      </xdr:nvCxnSpPr>
      <xdr:spPr>
        <a:xfrm>
          <a:off x="3486150" y="279501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152</xdr:row>
      <xdr:rowOff>127000</xdr:rowOff>
    </xdr:from>
    <xdr:to>
      <xdr:col>5</xdr:col>
      <xdr:colOff>356810</xdr:colOff>
      <xdr:row>152</xdr:row>
      <xdr:rowOff>409912</xdr:rowOff>
    </xdr:to>
    <xdr:cxnSp macro="">
      <xdr:nvCxnSpPr>
        <xdr:cNvPr id="518" name="Straight Connector 517">
          <a:extLst>
            <a:ext uri="{FF2B5EF4-FFF2-40B4-BE49-F238E27FC236}">
              <a16:creationId xmlns:a16="http://schemas.microsoft.com/office/drawing/2014/main" id="{00000000-0008-0000-0600-000006020000}"/>
            </a:ext>
          </a:extLst>
        </xdr:cNvPr>
        <xdr:cNvCxnSpPr/>
      </xdr:nvCxnSpPr>
      <xdr:spPr>
        <a:xfrm flipH="1" flipV="1">
          <a:off x="3481009" y="279247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152</xdr:row>
      <xdr:rowOff>134252</xdr:rowOff>
    </xdr:from>
    <xdr:to>
      <xdr:col>5</xdr:col>
      <xdr:colOff>1652211</xdr:colOff>
      <xdr:row>152</xdr:row>
      <xdr:rowOff>417164</xdr:rowOff>
    </xdr:to>
    <xdr:cxnSp macro="">
      <xdr:nvCxnSpPr>
        <xdr:cNvPr id="519" name="Straight Connector 518">
          <a:extLst>
            <a:ext uri="{FF2B5EF4-FFF2-40B4-BE49-F238E27FC236}">
              <a16:creationId xmlns:a16="http://schemas.microsoft.com/office/drawing/2014/main" id="{00000000-0008-0000-0600-000007020000}"/>
            </a:ext>
          </a:extLst>
        </xdr:cNvPr>
        <xdr:cNvCxnSpPr/>
      </xdr:nvCxnSpPr>
      <xdr:spPr>
        <a:xfrm flipH="1" flipV="1">
          <a:off x="3747710" y="279320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153</xdr:row>
      <xdr:rowOff>123824</xdr:rowOff>
    </xdr:from>
    <xdr:to>
      <xdr:col>5</xdr:col>
      <xdr:colOff>1428750</xdr:colOff>
      <xdr:row>153</xdr:row>
      <xdr:rowOff>1219199</xdr:rowOff>
    </xdr:to>
    <xdr:sp macro="" textlink="">
      <xdr:nvSpPr>
        <xdr:cNvPr id="520" name="Rounded Rectangle 519">
          <a:extLst>
            <a:ext uri="{FF2B5EF4-FFF2-40B4-BE49-F238E27FC236}">
              <a16:creationId xmlns:a16="http://schemas.microsoft.com/office/drawing/2014/main" id="{00000000-0008-0000-0600-000008020000}"/>
            </a:ext>
          </a:extLst>
        </xdr:cNvPr>
        <xdr:cNvSpPr/>
      </xdr:nvSpPr>
      <xdr:spPr>
        <a:xfrm>
          <a:off x="3745230" y="281044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153</xdr:row>
      <xdr:rowOff>238127</xdr:rowOff>
    </xdr:from>
    <xdr:to>
      <xdr:col>5</xdr:col>
      <xdr:colOff>790575</xdr:colOff>
      <xdr:row>153</xdr:row>
      <xdr:rowOff>361950</xdr:rowOff>
    </xdr:to>
    <xdr:cxnSp macro="">
      <xdr:nvCxnSpPr>
        <xdr:cNvPr id="521" name="Straight Connector 520">
          <a:extLst>
            <a:ext uri="{FF2B5EF4-FFF2-40B4-BE49-F238E27FC236}">
              <a16:creationId xmlns:a16="http://schemas.microsoft.com/office/drawing/2014/main" id="{00000000-0008-0000-0600-000009020000}"/>
            </a:ext>
          </a:extLst>
        </xdr:cNvPr>
        <xdr:cNvCxnSpPr/>
      </xdr:nvCxnSpPr>
      <xdr:spPr>
        <a:xfrm flipH="1" flipV="1">
          <a:off x="3749041" y="281654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153</xdr:row>
      <xdr:rowOff>133352</xdr:rowOff>
    </xdr:from>
    <xdr:to>
      <xdr:col>5</xdr:col>
      <xdr:colOff>885825</xdr:colOff>
      <xdr:row>153</xdr:row>
      <xdr:rowOff>257175</xdr:rowOff>
    </xdr:to>
    <xdr:cxnSp macro="">
      <xdr:nvCxnSpPr>
        <xdr:cNvPr id="522" name="Straight Connector 521">
          <a:extLst>
            <a:ext uri="{FF2B5EF4-FFF2-40B4-BE49-F238E27FC236}">
              <a16:creationId xmlns:a16="http://schemas.microsoft.com/office/drawing/2014/main" id="{00000000-0008-0000-0600-00000A020000}"/>
            </a:ext>
          </a:extLst>
        </xdr:cNvPr>
        <xdr:cNvCxnSpPr/>
      </xdr:nvCxnSpPr>
      <xdr:spPr>
        <a:xfrm flipH="1" flipV="1">
          <a:off x="3745231" y="281139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150</xdr:row>
      <xdr:rowOff>127000</xdr:rowOff>
    </xdr:from>
    <xdr:to>
      <xdr:col>5</xdr:col>
      <xdr:colOff>356235</xdr:colOff>
      <xdr:row>150</xdr:row>
      <xdr:rowOff>309880</xdr:rowOff>
    </xdr:to>
    <xdr:cxnSp macro="">
      <xdr:nvCxnSpPr>
        <xdr:cNvPr id="523" name="Straight Connector 522">
          <a:extLst>
            <a:ext uri="{FF2B5EF4-FFF2-40B4-BE49-F238E27FC236}">
              <a16:creationId xmlns:a16="http://schemas.microsoft.com/office/drawing/2014/main" id="{00000000-0008-0000-0600-00000B020000}"/>
            </a:ext>
          </a:extLst>
        </xdr:cNvPr>
        <xdr:cNvCxnSpPr/>
      </xdr:nvCxnSpPr>
      <xdr:spPr>
        <a:xfrm flipH="1" flipV="1">
          <a:off x="3480435" y="27559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150</xdr:row>
      <xdr:rowOff>400050</xdr:rowOff>
    </xdr:from>
    <xdr:to>
      <xdr:col>5</xdr:col>
      <xdr:colOff>1666875</xdr:colOff>
      <xdr:row>150</xdr:row>
      <xdr:rowOff>400050</xdr:rowOff>
    </xdr:to>
    <xdr:cxnSp macro="">
      <xdr:nvCxnSpPr>
        <xdr:cNvPr id="524" name="Straight Connector 523">
          <a:extLst>
            <a:ext uri="{FF2B5EF4-FFF2-40B4-BE49-F238E27FC236}">
              <a16:creationId xmlns:a16="http://schemas.microsoft.com/office/drawing/2014/main" id="{00000000-0008-0000-0600-00000C020000}"/>
            </a:ext>
          </a:extLst>
        </xdr:cNvPr>
        <xdr:cNvCxnSpPr/>
      </xdr:nvCxnSpPr>
      <xdr:spPr>
        <a:xfrm>
          <a:off x="3476625" y="27611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150</xdr:row>
      <xdr:rowOff>127000</xdr:rowOff>
    </xdr:from>
    <xdr:to>
      <xdr:col>5</xdr:col>
      <xdr:colOff>356810</xdr:colOff>
      <xdr:row>150</xdr:row>
      <xdr:rowOff>409912</xdr:rowOff>
    </xdr:to>
    <xdr:cxnSp macro="">
      <xdr:nvCxnSpPr>
        <xdr:cNvPr id="525" name="Straight Connector 524">
          <a:extLst>
            <a:ext uri="{FF2B5EF4-FFF2-40B4-BE49-F238E27FC236}">
              <a16:creationId xmlns:a16="http://schemas.microsoft.com/office/drawing/2014/main" id="{00000000-0008-0000-0600-00000D020000}"/>
            </a:ext>
          </a:extLst>
        </xdr:cNvPr>
        <xdr:cNvCxnSpPr/>
      </xdr:nvCxnSpPr>
      <xdr:spPr>
        <a:xfrm flipH="1" flipV="1">
          <a:off x="3481009" y="27559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150</xdr:row>
      <xdr:rowOff>134252</xdr:rowOff>
    </xdr:from>
    <xdr:to>
      <xdr:col>5</xdr:col>
      <xdr:colOff>1652211</xdr:colOff>
      <xdr:row>150</xdr:row>
      <xdr:rowOff>417164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id="{00000000-0008-0000-0600-00000E020000}"/>
            </a:ext>
          </a:extLst>
        </xdr:cNvPr>
        <xdr:cNvCxnSpPr/>
      </xdr:nvCxnSpPr>
      <xdr:spPr>
        <a:xfrm flipH="1" flipV="1">
          <a:off x="3747710" y="27566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152</xdr:row>
      <xdr:rowOff>127000</xdr:rowOff>
    </xdr:from>
    <xdr:to>
      <xdr:col>5</xdr:col>
      <xdr:colOff>356235</xdr:colOff>
      <xdr:row>152</xdr:row>
      <xdr:rowOff>309880</xdr:rowOff>
    </xdr:to>
    <xdr:cxnSp macro="">
      <xdr:nvCxnSpPr>
        <xdr:cNvPr id="527" name="Straight Connector 526">
          <a:extLst>
            <a:ext uri="{FF2B5EF4-FFF2-40B4-BE49-F238E27FC236}">
              <a16:creationId xmlns:a16="http://schemas.microsoft.com/office/drawing/2014/main" id="{00000000-0008-0000-0600-00000F020000}"/>
            </a:ext>
          </a:extLst>
        </xdr:cNvPr>
        <xdr:cNvCxnSpPr/>
      </xdr:nvCxnSpPr>
      <xdr:spPr>
        <a:xfrm flipH="1" flipV="1">
          <a:off x="3480435" y="279247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152</xdr:row>
      <xdr:rowOff>152400</xdr:rowOff>
    </xdr:from>
    <xdr:to>
      <xdr:col>5</xdr:col>
      <xdr:colOff>1676400</xdr:colOff>
      <xdr:row>152</xdr:row>
      <xdr:rowOff>152400</xdr:rowOff>
    </xdr:to>
    <xdr:cxnSp macro="">
      <xdr:nvCxnSpPr>
        <xdr:cNvPr id="528" name="Straight Connector 527">
          <a:extLst>
            <a:ext uri="{FF2B5EF4-FFF2-40B4-BE49-F238E27FC236}">
              <a16:creationId xmlns:a16="http://schemas.microsoft.com/office/drawing/2014/main" id="{00000000-0008-0000-0600-000010020000}"/>
            </a:ext>
          </a:extLst>
        </xdr:cNvPr>
        <xdr:cNvCxnSpPr/>
      </xdr:nvCxnSpPr>
      <xdr:spPr>
        <a:xfrm>
          <a:off x="3486150" y="279501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152</xdr:row>
      <xdr:rowOff>127000</xdr:rowOff>
    </xdr:from>
    <xdr:to>
      <xdr:col>5</xdr:col>
      <xdr:colOff>356810</xdr:colOff>
      <xdr:row>152</xdr:row>
      <xdr:rowOff>409912</xdr:rowOff>
    </xdr:to>
    <xdr:cxnSp macro="">
      <xdr:nvCxnSpPr>
        <xdr:cNvPr id="529" name="Straight Connector 528">
          <a:extLst>
            <a:ext uri="{FF2B5EF4-FFF2-40B4-BE49-F238E27FC236}">
              <a16:creationId xmlns:a16="http://schemas.microsoft.com/office/drawing/2014/main" id="{00000000-0008-0000-0600-000011020000}"/>
            </a:ext>
          </a:extLst>
        </xdr:cNvPr>
        <xdr:cNvCxnSpPr/>
      </xdr:nvCxnSpPr>
      <xdr:spPr>
        <a:xfrm flipH="1" flipV="1">
          <a:off x="3481009" y="279247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152</xdr:row>
      <xdr:rowOff>134252</xdr:rowOff>
    </xdr:from>
    <xdr:to>
      <xdr:col>5</xdr:col>
      <xdr:colOff>1652211</xdr:colOff>
      <xdr:row>152</xdr:row>
      <xdr:rowOff>417164</xdr:rowOff>
    </xdr:to>
    <xdr:cxnSp macro="">
      <xdr:nvCxnSpPr>
        <xdr:cNvPr id="530" name="Straight Connector 529">
          <a:extLst>
            <a:ext uri="{FF2B5EF4-FFF2-40B4-BE49-F238E27FC236}">
              <a16:creationId xmlns:a16="http://schemas.microsoft.com/office/drawing/2014/main" id="{00000000-0008-0000-0600-000012020000}"/>
            </a:ext>
          </a:extLst>
        </xdr:cNvPr>
        <xdr:cNvCxnSpPr/>
      </xdr:nvCxnSpPr>
      <xdr:spPr>
        <a:xfrm flipH="1" flipV="1">
          <a:off x="3747710" y="279320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153</xdr:row>
      <xdr:rowOff>123824</xdr:rowOff>
    </xdr:from>
    <xdr:to>
      <xdr:col>5</xdr:col>
      <xdr:colOff>1428750</xdr:colOff>
      <xdr:row>153</xdr:row>
      <xdr:rowOff>1219199</xdr:rowOff>
    </xdr:to>
    <xdr:sp macro="" textlink="">
      <xdr:nvSpPr>
        <xdr:cNvPr id="531" name="Rounded Rectangle 530">
          <a:extLst>
            <a:ext uri="{FF2B5EF4-FFF2-40B4-BE49-F238E27FC236}">
              <a16:creationId xmlns:a16="http://schemas.microsoft.com/office/drawing/2014/main" id="{00000000-0008-0000-0600-000013020000}"/>
            </a:ext>
          </a:extLst>
        </xdr:cNvPr>
        <xdr:cNvSpPr/>
      </xdr:nvSpPr>
      <xdr:spPr>
        <a:xfrm>
          <a:off x="3745230" y="281044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153</xdr:row>
      <xdr:rowOff>238127</xdr:rowOff>
    </xdr:from>
    <xdr:to>
      <xdr:col>5</xdr:col>
      <xdr:colOff>790575</xdr:colOff>
      <xdr:row>153</xdr:row>
      <xdr:rowOff>361950</xdr:rowOff>
    </xdr:to>
    <xdr:cxnSp macro="">
      <xdr:nvCxnSpPr>
        <xdr:cNvPr id="532" name="Straight Connector 531">
          <a:extLst>
            <a:ext uri="{FF2B5EF4-FFF2-40B4-BE49-F238E27FC236}">
              <a16:creationId xmlns:a16="http://schemas.microsoft.com/office/drawing/2014/main" id="{00000000-0008-0000-0600-000014020000}"/>
            </a:ext>
          </a:extLst>
        </xdr:cNvPr>
        <xdr:cNvCxnSpPr/>
      </xdr:nvCxnSpPr>
      <xdr:spPr>
        <a:xfrm flipH="1" flipV="1">
          <a:off x="3749041" y="281654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153</xdr:row>
      <xdr:rowOff>133352</xdr:rowOff>
    </xdr:from>
    <xdr:to>
      <xdr:col>5</xdr:col>
      <xdr:colOff>885825</xdr:colOff>
      <xdr:row>153</xdr:row>
      <xdr:rowOff>257175</xdr:rowOff>
    </xdr:to>
    <xdr:cxnSp macro="">
      <xdr:nvCxnSpPr>
        <xdr:cNvPr id="533" name="Straight Connector 532">
          <a:extLst>
            <a:ext uri="{FF2B5EF4-FFF2-40B4-BE49-F238E27FC236}">
              <a16:creationId xmlns:a16="http://schemas.microsoft.com/office/drawing/2014/main" id="{00000000-0008-0000-0600-000015020000}"/>
            </a:ext>
          </a:extLst>
        </xdr:cNvPr>
        <xdr:cNvCxnSpPr/>
      </xdr:nvCxnSpPr>
      <xdr:spPr>
        <a:xfrm flipH="1" flipV="1">
          <a:off x="3745231" y="281139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150</xdr:row>
      <xdr:rowOff>127000</xdr:rowOff>
    </xdr:from>
    <xdr:to>
      <xdr:col>5</xdr:col>
      <xdr:colOff>356235</xdr:colOff>
      <xdr:row>150</xdr:row>
      <xdr:rowOff>309880</xdr:rowOff>
    </xdr:to>
    <xdr:cxnSp macro="">
      <xdr:nvCxnSpPr>
        <xdr:cNvPr id="534" name="Straight Connector 533">
          <a:extLst>
            <a:ext uri="{FF2B5EF4-FFF2-40B4-BE49-F238E27FC236}">
              <a16:creationId xmlns:a16="http://schemas.microsoft.com/office/drawing/2014/main" id="{00000000-0008-0000-0600-000016020000}"/>
            </a:ext>
          </a:extLst>
        </xdr:cNvPr>
        <xdr:cNvCxnSpPr/>
      </xdr:nvCxnSpPr>
      <xdr:spPr>
        <a:xfrm flipH="1" flipV="1">
          <a:off x="3480435" y="27559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150</xdr:row>
      <xdr:rowOff>400050</xdr:rowOff>
    </xdr:from>
    <xdr:to>
      <xdr:col>5</xdr:col>
      <xdr:colOff>1666875</xdr:colOff>
      <xdr:row>150</xdr:row>
      <xdr:rowOff>400050</xdr:rowOff>
    </xdr:to>
    <xdr:cxnSp macro="">
      <xdr:nvCxnSpPr>
        <xdr:cNvPr id="535" name="Straight Connector 534">
          <a:extLst>
            <a:ext uri="{FF2B5EF4-FFF2-40B4-BE49-F238E27FC236}">
              <a16:creationId xmlns:a16="http://schemas.microsoft.com/office/drawing/2014/main" id="{00000000-0008-0000-0600-000017020000}"/>
            </a:ext>
          </a:extLst>
        </xdr:cNvPr>
        <xdr:cNvCxnSpPr/>
      </xdr:nvCxnSpPr>
      <xdr:spPr>
        <a:xfrm>
          <a:off x="3476625" y="27611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150</xdr:row>
      <xdr:rowOff>127000</xdr:rowOff>
    </xdr:from>
    <xdr:to>
      <xdr:col>5</xdr:col>
      <xdr:colOff>356810</xdr:colOff>
      <xdr:row>150</xdr:row>
      <xdr:rowOff>409912</xdr:rowOff>
    </xdr:to>
    <xdr:cxnSp macro="">
      <xdr:nvCxnSpPr>
        <xdr:cNvPr id="536" name="Straight Connector 535">
          <a:extLst>
            <a:ext uri="{FF2B5EF4-FFF2-40B4-BE49-F238E27FC236}">
              <a16:creationId xmlns:a16="http://schemas.microsoft.com/office/drawing/2014/main" id="{00000000-0008-0000-0600-000018020000}"/>
            </a:ext>
          </a:extLst>
        </xdr:cNvPr>
        <xdr:cNvCxnSpPr/>
      </xdr:nvCxnSpPr>
      <xdr:spPr>
        <a:xfrm flipH="1" flipV="1">
          <a:off x="3481009" y="27559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150</xdr:row>
      <xdr:rowOff>134252</xdr:rowOff>
    </xdr:from>
    <xdr:to>
      <xdr:col>5</xdr:col>
      <xdr:colOff>1652211</xdr:colOff>
      <xdr:row>150</xdr:row>
      <xdr:rowOff>417164</xdr:rowOff>
    </xdr:to>
    <xdr:cxnSp macro="">
      <xdr:nvCxnSpPr>
        <xdr:cNvPr id="537" name="Straight Connector 536">
          <a:extLst>
            <a:ext uri="{FF2B5EF4-FFF2-40B4-BE49-F238E27FC236}">
              <a16:creationId xmlns:a16="http://schemas.microsoft.com/office/drawing/2014/main" id="{00000000-0008-0000-0600-000019020000}"/>
            </a:ext>
          </a:extLst>
        </xdr:cNvPr>
        <xdr:cNvCxnSpPr/>
      </xdr:nvCxnSpPr>
      <xdr:spPr>
        <a:xfrm flipH="1" flipV="1">
          <a:off x="3747710" y="27566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152</xdr:row>
      <xdr:rowOff>127000</xdr:rowOff>
    </xdr:from>
    <xdr:to>
      <xdr:col>5</xdr:col>
      <xdr:colOff>356235</xdr:colOff>
      <xdr:row>152</xdr:row>
      <xdr:rowOff>309880</xdr:rowOff>
    </xdr:to>
    <xdr:cxnSp macro="">
      <xdr:nvCxnSpPr>
        <xdr:cNvPr id="538" name="Straight Connector 537">
          <a:extLst>
            <a:ext uri="{FF2B5EF4-FFF2-40B4-BE49-F238E27FC236}">
              <a16:creationId xmlns:a16="http://schemas.microsoft.com/office/drawing/2014/main" id="{00000000-0008-0000-0600-00001A020000}"/>
            </a:ext>
          </a:extLst>
        </xdr:cNvPr>
        <xdr:cNvCxnSpPr/>
      </xdr:nvCxnSpPr>
      <xdr:spPr>
        <a:xfrm flipH="1" flipV="1">
          <a:off x="3480435" y="279247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152</xdr:row>
      <xdr:rowOff>152400</xdr:rowOff>
    </xdr:from>
    <xdr:to>
      <xdr:col>5</xdr:col>
      <xdr:colOff>1676400</xdr:colOff>
      <xdr:row>152</xdr:row>
      <xdr:rowOff>152400</xdr:rowOff>
    </xdr:to>
    <xdr:cxnSp macro="">
      <xdr:nvCxnSpPr>
        <xdr:cNvPr id="539" name="Straight Connector 538">
          <a:extLst>
            <a:ext uri="{FF2B5EF4-FFF2-40B4-BE49-F238E27FC236}">
              <a16:creationId xmlns:a16="http://schemas.microsoft.com/office/drawing/2014/main" id="{00000000-0008-0000-0600-00001B020000}"/>
            </a:ext>
          </a:extLst>
        </xdr:cNvPr>
        <xdr:cNvCxnSpPr/>
      </xdr:nvCxnSpPr>
      <xdr:spPr>
        <a:xfrm>
          <a:off x="3486150" y="279501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152</xdr:row>
      <xdr:rowOff>127000</xdr:rowOff>
    </xdr:from>
    <xdr:to>
      <xdr:col>5</xdr:col>
      <xdr:colOff>356810</xdr:colOff>
      <xdr:row>152</xdr:row>
      <xdr:rowOff>409912</xdr:rowOff>
    </xdr:to>
    <xdr:cxnSp macro="">
      <xdr:nvCxnSpPr>
        <xdr:cNvPr id="540" name="Straight Connector 539">
          <a:extLst>
            <a:ext uri="{FF2B5EF4-FFF2-40B4-BE49-F238E27FC236}">
              <a16:creationId xmlns:a16="http://schemas.microsoft.com/office/drawing/2014/main" id="{00000000-0008-0000-0600-00001C020000}"/>
            </a:ext>
          </a:extLst>
        </xdr:cNvPr>
        <xdr:cNvCxnSpPr/>
      </xdr:nvCxnSpPr>
      <xdr:spPr>
        <a:xfrm flipH="1" flipV="1">
          <a:off x="3481009" y="279247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152</xdr:row>
      <xdr:rowOff>134252</xdr:rowOff>
    </xdr:from>
    <xdr:to>
      <xdr:col>5</xdr:col>
      <xdr:colOff>1652211</xdr:colOff>
      <xdr:row>152</xdr:row>
      <xdr:rowOff>417164</xdr:rowOff>
    </xdr:to>
    <xdr:cxnSp macro="">
      <xdr:nvCxnSpPr>
        <xdr:cNvPr id="541" name="Straight Connector 540">
          <a:extLst>
            <a:ext uri="{FF2B5EF4-FFF2-40B4-BE49-F238E27FC236}">
              <a16:creationId xmlns:a16="http://schemas.microsoft.com/office/drawing/2014/main" id="{00000000-0008-0000-0600-00001D020000}"/>
            </a:ext>
          </a:extLst>
        </xdr:cNvPr>
        <xdr:cNvCxnSpPr/>
      </xdr:nvCxnSpPr>
      <xdr:spPr>
        <a:xfrm flipH="1" flipV="1">
          <a:off x="3747710" y="279320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153</xdr:row>
      <xdr:rowOff>123824</xdr:rowOff>
    </xdr:from>
    <xdr:to>
      <xdr:col>5</xdr:col>
      <xdr:colOff>1428750</xdr:colOff>
      <xdr:row>153</xdr:row>
      <xdr:rowOff>1219199</xdr:rowOff>
    </xdr:to>
    <xdr:sp macro="" textlink="">
      <xdr:nvSpPr>
        <xdr:cNvPr id="542" name="Rounded Rectangle 541">
          <a:extLst>
            <a:ext uri="{FF2B5EF4-FFF2-40B4-BE49-F238E27FC236}">
              <a16:creationId xmlns:a16="http://schemas.microsoft.com/office/drawing/2014/main" id="{00000000-0008-0000-0600-00001E020000}"/>
            </a:ext>
          </a:extLst>
        </xdr:cNvPr>
        <xdr:cNvSpPr/>
      </xdr:nvSpPr>
      <xdr:spPr>
        <a:xfrm>
          <a:off x="3745230" y="281044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153</xdr:row>
      <xdr:rowOff>238127</xdr:rowOff>
    </xdr:from>
    <xdr:to>
      <xdr:col>5</xdr:col>
      <xdr:colOff>790575</xdr:colOff>
      <xdr:row>153</xdr:row>
      <xdr:rowOff>361950</xdr:rowOff>
    </xdr:to>
    <xdr:cxnSp macro="">
      <xdr:nvCxnSpPr>
        <xdr:cNvPr id="543" name="Straight Connector 542">
          <a:extLst>
            <a:ext uri="{FF2B5EF4-FFF2-40B4-BE49-F238E27FC236}">
              <a16:creationId xmlns:a16="http://schemas.microsoft.com/office/drawing/2014/main" id="{00000000-0008-0000-0600-00001F020000}"/>
            </a:ext>
          </a:extLst>
        </xdr:cNvPr>
        <xdr:cNvCxnSpPr/>
      </xdr:nvCxnSpPr>
      <xdr:spPr>
        <a:xfrm flipH="1" flipV="1">
          <a:off x="3749041" y="281654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153</xdr:row>
      <xdr:rowOff>133352</xdr:rowOff>
    </xdr:from>
    <xdr:to>
      <xdr:col>5</xdr:col>
      <xdr:colOff>885825</xdr:colOff>
      <xdr:row>153</xdr:row>
      <xdr:rowOff>257175</xdr:rowOff>
    </xdr:to>
    <xdr:cxnSp macro="">
      <xdr:nvCxnSpPr>
        <xdr:cNvPr id="544" name="Straight Connector 543">
          <a:extLst>
            <a:ext uri="{FF2B5EF4-FFF2-40B4-BE49-F238E27FC236}">
              <a16:creationId xmlns:a16="http://schemas.microsoft.com/office/drawing/2014/main" id="{00000000-0008-0000-0600-000020020000}"/>
            </a:ext>
          </a:extLst>
        </xdr:cNvPr>
        <xdr:cNvCxnSpPr/>
      </xdr:nvCxnSpPr>
      <xdr:spPr>
        <a:xfrm flipH="1" flipV="1">
          <a:off x="3745231" y="281139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150</xdr:row>
      <xdr:rowOff>127000</xdr:rowOff>
    </xdr:from>
    <xdr:to>
      <xdr:col>5</xdr:col>
      <xdr:colOff>356235</xdr:colOff>
      <xdr:row>150</xdr:row>
      <xdr:rowOff>309880</xdr:rowOff>
    </xdr:to>
    <xdr:cxnSp macro="">
      <xdr:nvCxnSpPr>
        <xdr:cNvPr id="545" name="Straight Connector 544">
          <a:extLst>
            <a:ext uri="{FF2B5EF4-FFF2-40B4-BE49-F238E27FC236}">
              <a16:creationId xmlns:a16="http://schemas.microsoft.com/office/drawing/2014/main" id="{00000000-0008-0000-0600-000021020000}"/>
            </a:ext>
          </a:extLst>
        </xdr:cNvPr>
        <xdr:cNvCxnSpPr/>
      </xdr:nvCxnSpPr>
      <xdr:spPr>
        <a:xfrm flipH="1" flipV="1">
          <a:off x="3480435" y="27559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150</xdr:row>
      <xdr:rowOff>400050</xdr:rowOff>
    </xdr:from>
    <xdr:to>
      <xdr:col>5</xdr:col>
      <xdr:colOff>1666875</xdr:colOff>
      <xdr:row>150</xdr:row>
      <xdr:rowOff>400050</xdr:rowOff>
    </xdr:to>
    <xdr:cxnSp macro="">
      <xdr:nvCxnSpPr>
        <xdr:cNvPr id="546" name="Straight Connector 545">
          <a:extLst>
            <a:ext uri="{FF2B5EF4-FFF2-40B4-BE49-F238E27FC236}">
              <a16:creationId xmlns:a16="http://schemas.microsoft.com/office/drawing/2014/main" id="{00000000-0008-0000-0600-000022020000}"/>
            </a:ext>
          </a:extLst>
        </xdr:cNvPr>
        <xdr:cNvCxnSpPr/>
      </xdr:nvCxnSpPr>
      <xdr:spPr>
        <a:xfrm>
          <a:off x="3476625" y="27611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150</xdr:row>
      <xdr:rowOff>127000</xdr:rowOff>
    </xdr:from>
    <xdr:to>
      <xdr:col>5</xdr:col>
      <xdr:colOff>356810</xdr:colOff>
      <xdr:row>150</xdr:row>
      <xdr:rowOff>409912</xdr:rowOff>
    </xdr:to>
    <xdr:cxnSp macro="">
      <xdr:nvCxnSpPr>
        <xdr:cNvPr id="547" name="Straight Connector 546">
          <a:extLst>
            <a:ext uri="{FF2B5EF4-FFF2-40B4-BE49-F238E27FC236}">
              <a16:creationId xmlns:a16="http://schemas.microsoft.com/office/drawing/2014/main" id="{00000000-0008-0000-0600-000023020000}"/>
            </a:ext>
          </a:extLst>
        </xdr:cNvPr>
        <xdr:cNvCxnSpPr/>
      </xdr:nvCxnSpPr>
      <xdr:spPr>
        <a:xfrm flipH="1" flipV="1">
          <a:off x="3481009" y="27559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150</xdr:row>
      <xdr:rowOff>134252</xdr:rowOff>
    </xdr:from>
    <xdr:to>
      <xdr:col>5</xdr:col>
      <xdr:colOff>1652211</xdr:colOff>
      <xdr:row>150</xdr:row>
      <xdr:rowOff>417164</xdr:rowOff>
    </xdr:to>
    <xdr:cxnSp macro="">
      <xdr:nvCxnSpPr>
        <xdr:cNvPr id="548" name="Straight Connector 547">
          <a:extLst>
            <a:ext uri="{FF2B5EF4-FFF2-40B4-BE49-F238E27FC236}">
              <a16:creationId xmlns:a16="http://schemas.microsoft.com/office/drawing/2014/main" id="{00000000-0008-0000-0600-000024020000}"/>
            </a:ext>
          </a:extLst>
        </xdr:cNvPr>
        <xdr:cNvCxnSpPr/>
      </xdr:nvCxnSpPr>
      <xdr:spPr>
        <a:xfrm flipH="1" flipV="1">
          <a:off x="3747710" y="27566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152</xdr:row>
      <xdr:rowOff>127000</xdr:rowOff>
    </xdr:from>
    <xdr:to>
      <xdr:col>5</xdr:col>
      <xdr:colOff>356235</xdr:colOff>
      <xdr:row>152</xdr:row>
      <xdr:rowOff>309880</xdr:rowOff>
    </xdr:to>
    <xdr:cxnSp macro="">
      <xdr:nvCxnSpPr>
        <xdr:cNvPr id="549" name="Straight Connector 548">
          <a:extLst>
            <a:ext uri="{FF2B5EF4-FFF2-40B4-BE49-F238E27FC236}">
              <a16:creationId xmlns:a16="http://schemas.microsoft.com/office/drawing/2014/main" id="{00000000-0008-0000-0600-000025020000}"/>
            </a:ext>
          </a:extLst>
        </xdr:cNvPr>
        <xdr:cNvCxnSpPr/>
      </xdr:nvCxnSpPr>
      <xdr:spPr>
        <a:xfrm flipH="1" flipV="1">
          <a:off x="3480435" y="279247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152</xdr:row>
      <xdr:rowOff>152400</xdr:rowOff>
    </xdr:from>
    <xdr:to>
      <xdr:col>5</xdr:col>
      <xdr:colOff>1676400</xdr:colOff>
      <xdr:row>152</xdr:row>
      <xdr:rowOff>152400</xdr:rowOff>
    </xdr:to>
    <xdr:cxnSp macro="">
      <xdr:nvCxnSpPr>
        <xdr:cNvPr id="550" name="Straight Connector 549">
          <a:extLst>
            <a:ext uri="{FF2B5EF4-FFF2-40B4-BE49-F238E27FC236}">
              <a16:creationId xmlns:a16="http://schemas.microsoft.com/office/drawing/2014/main" id="{00000000-0008-0000-0600-000026020000}"/>
            </a:ext>
          </a:extLst>
        </xdr:cNvPr>
        <xdr:cNvCxnSpPr/>
      </xdr:nvCxnSpPr>
      <xdr:spPr>
        <a:xfrm>
          <a:off x="3486150" y="279501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152</xdr:row>
      <xdr:rowOff>127000</xdr:rowOff>
    </xdr:from>
    <xdr:to>
      <xdr:col>5</xdr:col>
      <xdr:colOff>356810</xdr:colOff>
      <xdr:row>152</xdr:row>
      <xdr:rowOff>409912</xdr:rowOff>
    </xdr:to>
    <xdr:cxnSp macro="">
      <xdr:nvCxnSpPr>
        <xdr:cNvPr id="551" name="Straight Connector 550">
          <a:extLst>
            <a:ext uri="{FF2B5EF4-FFF2-40B4-BE49-F238E27FC236}">
              <a16:creationId xmlns:a16="http://schemas.microsoft.com/office/drawing/2014/main" id="{00000000-0008-0000-0600-000027020000}"/>
            </a:ext>
          </a:extLst>
        </xdr:cNvPr>
        <xdr:cNvCxnSpPr/>
      </xdr:nvCxnSpPr>
      <xdr:spPr>
        <a:xfrm flipH="1" flipV="1">
          <a:off x="3481009" y="279247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153</xdr:row>
      <xdr:rowOff>123824</xdr:rowOff>
    </xdr:from>
    <xdr:to>
      <xdr:col>5</xdr:col>
      <xdr:colOff>1428750</xdr:colOff>
      <xdr:row>153</xdr:row>
      <xdr:rowOff>1219199</xdr:rowOff>
    </xdr:to>
    <xdr:sp macro="" textlink="">
      <xdr:nvSpPr>
        <xdr:cNvPr id="552" name="Rounded Rectangle 551">
          <a:extLst>
            <a:ext uri="{FF2B5EF4-FFF2-40B4-BE49-F238E27FC236}">
              <a16:creationId xmlns:a16="http://schemas.microsoft.com/office/drawing/2014/main" id="{00000000-0008-0000-0600-000028020000}"/>
            </a:ext>
          </a:extLst>
        </xdr:cNvPr>
        <xdr:cNvSpPr/>
      </xdr:nvSpPr>
      <xdr:spPr>
        <a:xfrm>
          <a:off x="3745230" y="281044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153</xdr:row>
      <xdr:rowOff>238127</xdr:rowOff>
    </xdr:from>
    <xdr:to>
      <xdr:col>5</xdr:col>
      <xdr:colOff>790575</xdr:colOff>
      <xdr:row>153</xdr:row>
      <xdr:rowOff>361950</xdr:rowOff>
    </xdr:to>
    <xdr:cxnSp macro="">
      <xdr:nvCxnSpPr>
        <xdr:cNvPr id="553" name="Straight Connector 552">
          <a:extLst>
            <a:ext uri="{FF2B5EF4-FFF2-40B4-BE49-F238E27FC236}">
              <a16:creationId xmlns:a16="http://schemas.microsoft.com/office/drawing/2014/main" id="{00000000-0008-0000-0600-000029020000}"/>
            </a:ext>
          </a:extLst>
        </xdr:cNvPr>
        <xdr:cNvCxnSpPr/>
      </xdr:nvCxnSpPr>
      <xdr:spPr>
        <a:xfrm flipH="1" flipV="1">
          <a:off x="3749041" y="281654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153</xdr:row>
      <xdr:rowOff>133352</xdr:rowOff>
    </xdr:from>
    <xdr:to>
      <xdr:col>5</xdr:col>
      <xdr:colOff>885825</xdr:colOff>
      <xdr:row>153</xdr:row>
      <xdr:rowOff>257175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id="{00000000-0008-0000-0600-00002A020000}"/>
            </a:ext>
          </a:extLst>
        </xdr:cNvPr>
        <xdr:cNvCxnSpPr/>
      </xdr:nvCxnSpPr>
      <xdr:spPr>
        <a:xfrm flipH="1" flipV="1">
          <a:off x="3745231" y="281139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151</xdr:row>
      <xdr:rowOff>174625</xdr:rowOff>
    </xdr:from>
    <xdr:to>
      <xdr:col>5</xdr:col>
      <xdr:colOff>327661</xdr:colOff>
      <xdr:row>151</xdr:row>
      <xdr:rowOff>457537</xdr:rowOff>
    </xdr:to>
    <xdr:cxnSp macro="">
      <xdr:nvCxnSpPr>
        <xdr:cNvPr id="555" name="Straight Connector 554">
          <a:extLst>
            <a:ext uri="{FF2B5EF4-FFF2-40B4-BE49-F238E27FC236}">
              <a16:creationId xmlns:a16="http://schemas.microsoft.com/office/drawing/2014/main" id="{00000000-0008-0000-0600-00002B020000}"/>
            </a:ext>
          </a:extLst>
        </xdr:cNvPr>
        <xdr:cNvCxnSpPr/>
      </xdr:nvCxnSpPr>
      <xdr:spPr>
        <a:xfrm flipH="1" flipV="1">
          <a:off x="3451860" y="2778950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151</xdr:row>
      <xdr:rowOff>200025</xdr:rowOff>
    </xdr:from>
    <xdr:to>
      <xdr:col>5</xdr:col>
      <xdr:colOff>1638300</xdr:colOff>
      <xdr:row>151</xdr:row>
      <xdr:rowOff>200025</xdr:rowOff>
    </xdr:to>
    <xdr:cxnSp macro="">
      <xdr:nvCxnSpPr>
        <xdr:cNvPr id="556" name="Straight Connector 555">
          <a:extLst>
            <a:ext uri="{FF2B5EF4-FFF2-40B4-BE49-F238E27FC236}">
              <a16:creationId xmlns:a16="http://schemas.microsoft.com/office/drawing/2014/main" id="{00000000-0008-0000-0600-00002C020000}"/>
            </a:ext>
          </a:extLst>
        </xdr:cNvPr>
        <xdr:cNvCxnSpPr/>
      </xdr:nvCxnSpPr>
      <xdr:spPr>
        <a:xfrm>
          <a:off x="3448050" y="2779966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157</xdr:row>
      <xdr:rowOff>127000</xdr:rowOff>
    </xdr:from>
    <xdr:to>
      <xdr:col>5</xdr:col>
      <xdr:colOff>356235</xdr:colOff>
      <xdr:row>157</xdr:row>
      <xdr:rowOff>309880</xdr:rowOff>
    </xdr:to>
    <xdr:cxnSp macro="">
      <xdr:nvCxnSpPr>
        <xdr:cNvPr id="557" name="Straight Connector 556">
          <a:extLst>
            <a:ext uri="{FF2B5EF4-FFF2-40B4-BE49-F238E27FC236}">
              <a16:creationId xmlns:a16="http://schemas.microsoft.com/office/drawing/2014/main" id="{00000000-0008-0000-0600-00002D020000}"/>
            </a:ext>
          </a:extLst>
        </xdr:cNvPr>
        <xdr:cNvCxnSpPr/>
      </xdr:nvCxnSpPr>
      <xdr:spPr>
        <a:xfrm flipH="1" flipV="1">
          <a:off x="3480435" y="28839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157</xdr:row>
      <xdr:rowOff>400050</xdr:rowOff>
    </xdr:from>
    <xdr:to>
      <xdr:col>5</xdr:col>
      <xdr:colOff>1666875</xdr:colOff>
      <xdr:row>157</xdr:row>
      <xdr:rowOff>400050</xdr:rowOff>
    </xdr:to>
    <xdr:cxnSp macro="">
      <xdr:nvCxnSpPr>
        <xdr:cNvPr id="558" name="Straight Connector 557">
          <a:extLst>
            <a:ext uri="{FF2B5EF4-FFF2-40B4-BE49-F238E27FC236}">
              <a16:creationId xmlns:a16="http://schemas.microsoft.com/office/drawing/2014/main" id="{00000000-0008-0000-0600-00002E020000}"/>
            </a:ext>
          </a:extLst>
        </xdr:cNvPr>
        <xdr:cNvCxnSpPr/>
      </xdr:nvCxnSpPr>
      <xdr:spPr>
        <a:xfrm>
          <a:off x="3476625" y="288912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157</xdr:row>
      <xdr:rowOff>127000</xdr:rowOff>
    </xdr:from>
    <xdr:to>
      <xdr:col>5</xdr:col>
      <xdr:colOff>356810</xdr:colOff>
      <xdr:row>157</xdr:row>
      <xdr:rowOff>409912</xdr:rowOff>
    </xdr:to>
    <xdr:cxnSp macro="">
      <xdr:nvCxnSpPr>
        <xdr:cNvPr id="559" name="Straight Connector 558">
          <a:extLst>
            <a:ext uri="{FF2B5EF4-FFF2-40B4-BE49-F238E27FC236}">
              <a16:creationId xmlns:a16="http://schemas.microsoft.com/office/drawing/2014/main" id="{00000000-0008-0000-0600-00002F020000}"/>
            </a:ext>
          </a:extLst>
        </xdr:cNvPr>
        <xdr:cNvCxnSpPr/>
      </xdr:nvCxnSpPr>
      <xdr:spPr>
        <a:xfrm flipH="1" flipV="1">
          <a:off x="3481009" y="28839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157</xdr:row>
      <xdr:rowOff>134252</xdr:rowOff>
    </xdr:from>
    <xdr:to>
      <xdr:col>5</xdr:col>
      <xdr:colOff>1652211</xdr:colOff>
      <xdr:row>157</xdr:row>
      <xdr:rowOff>417164</xdr:rowOff>
    </xdr:to>
    <xdr:cxnSp macro="">
      <xdr:nvCxnSpPr>
        <xdr:cNvPr id="560" name="Straight Connector 559">
          <a:extLst>
            <a:ext uri="{FF2B5EF4-FFF2-40B4-BE49-F238E27FC236}">
              <a16:creationId xmlns:a16="http://schemas.microsoft.com/office/drawing/2014/main" id="{00000000-0008-0000-0600-000030020000}"/>
            </a:ext>
          </a:extLst>
        </xdr:cNvPr>
        <xdr:cNvCxnSpPr/>
      </xdr:nvCxnSpPr>
      <xdr:spPr>
        <a:xfrm flipH="1" flipV="1">
          <a:off x="3747710" y="28846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158</xdr:row>
      <xdr:rowOff>127000</xdr:rowOff>
    </xdr:from>
    <xdr:to>
      <xdr:col>5</xdr:col>
      <xdr:colOff>356235</xdr:colOff>
      <xdr:row>158</xdr:row>
      <xdr:rowOff>309880</xdr:rowOff>
    </xdr:to>
    <xdr:cxnSp macro="">
      <xdr:nvCxnSpPr>
        <xdr:cNvPr id="561" name="Straight Connector 560">
          <a:extLst>
            <a:ext uri="{FF2B5EF4-FFF2-40B4-BE49-F238E27FC236}">
              <a16:creationId xmlns:a16="http://schemas.microsoft.com/office/drawing/2014/main" id="{00000000-0008-0000-0600-000031020000}"/>
            </a:ext>
          </a:extLst>
        </xdr:cNvPr>
        <xdr:cNvCxnSpPr/>
      </xdr:nvCxnSpPr>
      <xdr:spPr>
        <a:xfrm flipH="1" flipV="1">
          <a:off x="3480435" y="290220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158</xdr:row>
      <xdr:rowOff>152400</xdr:rowOff>
    </xdr:from>
    <xdr:to>
      <xdr:col>5</xdr:col>
      <xdr:colOff>1676400</xdr:colOff>
      <xdr:row>158</xdr:row>
      <xdr:rowOff>152400</xdr:rowOff>
    </xdr:to>
    <xdr:cxnSp macro="">
      <xdr:nvCxnSpPr>
        <xdr:cNvPr id="562" name="Straight Connector 561">
          <a:extLst>
            <a:ext uri="{FF2B5EF4-FFF2-40B4-BE49-F238E27FC236}">
              <a16:creationId xmlns:a16="http://schemas.microsoft.com/office/drawing/2014/main" id="{00000000-0008-0000-0600-000032020000}"/>
            </a:ext>
          </a:extLst>
        </xdr:cNvPr>
        <xdr:cNvCxnSpPr/>
      </xdr:nvCxnSpPr>
      <xdr:spPr>
        <a:xfrm>
          <a:off x="3486150" y="290474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158</xdr:row>
      <xdr:rowOff>127000</xdr:rowOff>
    </xdr:from>
    <xdr:to>
      <xdr:col>5</xdr:col>
      <xdr:colOff>356810</xdr:colOff>
      <xdr:row>158</xdr:row>
      <xdr:rowOff>409912</xdr:rowOff>
    </xdr:to>
    <xdr:cxnSp macro="">
      <xdr:nvCxnSpPr>
        <xdr:cNvPr id="563" name="Straight Connector 562">
          <a:extLst>
            <a:ext uri="{FF2B5EF4-FFF2-40B4-BE49-F238E27FC236}">
              <a16:creationId xmlns:a16="http://schemas.microsoft.com/office/drawing/2014/main" id="{00000000-0008-0000-0600-000033020000}"/>
            </a:ext>
          </a:extLst>
        </xdr:cNvPr>
        <xdr:cNvCxnSpPr/>
      </xdr:nvCxnSpPr>
      <xdr:spPr>
        <a:xfrm flipH="1" flipV="1">
          <a:off x="3481009" y="290220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158</xdr:row>
      <xdr:rowOff>134252</xdr:rowOff>
    </xdr:from>
    <xdr:to>
      <xdr:col>5</xdr:col>
      <xdr:colOff>1652211</xdr:colOff>
      <xdr:row>158</xdr:row>
      <xdr:rowOff>417164</xdr:rowOff>
    </xdr:to>
    <xdr:cxnSp macro="">
      <xdr:nvCxnSpPr>
        <xdr:cNvPr id="564" name="Straight Connector 563">
          <a:extLst>
            <a:ext uri="{FF2B5EF4-FFF2-40B4-BE49-F238E27FC236}">
              <a16:creationId xmlns:a16="http://schemas.microsoft.com/office/drawing/2014/main" id="{00000000-0008-0000-0600-000034020000}"/>
            </a:ext>
          </a:extLst>
        </xdr:cNvPr>
        <xdr:cNvCxnSpPr/>
      </xdr:nvCxnSpPr>
      <xdr:spPr>
        <a:xfrm flipH="1" flipV="1">
          <a:off x="3747710" y="290292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159</xdr:row>
      <xdr:rowOff>123824</xdr:rowOff>
    </xdr:from>
    <xdr:to>
      <xdr:col>5</xdr:col>
      <xdr:colOff>1428750</xdr:colOff>
      <xdr:row>159</xdr:row>
      <xdr:rowOff>1219199</xdr:rowOff>
    </xdr:to>
    <xdr:sp macro="" textlink="">
      <xdr:nvSpPr>
        <xdr:cNvPr id="565" name="Rounded Rectangle 564">
          <a:extLst>
            <a:ext uri="{FF2B5EF4-FFF2-40B4-BE49-F238E27FC236}">
              <a16:creationId xmlns:a16="http://schemas.microsoft.com/office/drawing/2014/main" id="{00000000-0008-0000-0600-000035020000}"/>
            </a:ext>
          </a:extLst>
        </xdr:cNvPr>
        <xdr:cNvSpPr/>
      </xdr:nvSpPr>
      <xdr:spPr>
        <a:xfrm>
          <a:off x="3745230" y="292017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159</xdr:row>
      <xdr:rowOff>238127</xdr:rowOff>
    </xdr:from>
    <xdr:to>
      <xdr:col>5</xdr:col>
      <xdr:colOff>790575</xdr:colOff>
      <xdr:row>159</xdr:row>
      <xdr:rowOff>361950</xdr:rowOff>
    </xdr:to>
    <xdr:cxnSp macro="">
      <xdr:nvCxnSpPr>
        <xdr:cNvPr id="566" name="Straight Connector 565">
          <a:extLst>
            <a:ext uri="{FF2B5EF4-FFF2-40B4-BE49-F238E27FC236}">
              <a16:creationId xmlns:a16="http://schemas.microsoft.com/office/drawing/2014/main" id="{00000000-0008-0000-0600-000036020000}"/>
            </a:ext>
          </a:extLst>
        </xdr:cNvPr>
        <xdr:cNvCxnSpPr/>
      </xdr:nvCxnSpPr>
      <xdr:spPr>
        <a:xfrm flipH="1" flipV="1">
          <a:off x="3749041" y="292627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159</xdr:row>
      <xdr:rowOff>133352</xdr:rowOff>
    </xdr:from>
    <xdr:to>
      <xdr:col>5</xdr:col>
      <xdr:colOff>885825</xdr:colOff>
      <xdr:row>159</xdr:row>
      <xdr:rowOff>257175</xdr:rowOff>
    </xdr:to>
    <xdr:cxnSp macro="">
      <xdr:nvCxnSpPr>
        <xdr:cNvPr id="567" name="Straight Connector 566">
          <a:extLst>
            <a:ext uri="{FF2B5EF4-FFF2-40B4-BE49-F238E27FC236}">
              <a16:creationId xmlns:a16="http://schemas.microsoft.com/office/drawing/2014/main" id="{00000000-0008-0000-0600-000037020000}"/>
            </a:ext>
          </a:extLst>
        </xdr:cNvPr>
        <xdr:cNvCxnSpPr/>
      </xdr:nvCxnSpPr>
      <xdr:spPr>
        <a:xfrm flipH="1" flipV="1">
          <a:off x="3745231" y="292112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157</xdr:row>
      <xdr:rowOff>127000</xdr:rowOff>
    </xdr:from>
    <xdr:to>
      <xdr:col>5</xdr:col>
      <xdr:colOff>356235</xdr:colOff>
      <xdr:row>157</xdr:row>
      <xdr:rowOff>309880</xdr:rowOff>
    </xdr:to>
    <xdr:cxnSp macro="">
      <xdr:nvCxnSpPr>
        <xdr:cNvPr id="568" name="Straight Connector 567">
          <a:extLst>
            <a:ext uri="{FF2B5EF4-FFF2-40B4-BE49-F238E27FC236}">
              <a16:creationId xmlns:a16="http://schemas.microsoft.com/office/drawing/2014/main" id="{00000000-0008-0000-0600-000038020000}"/>
            </a:ext>
          </a:extLst>
        </xdr:cNvPr>
        <xdr:cNvCxnSpPr/>
      </xdr:nvCxnSpPr>
      <xdr:spPr>
        <a:xfrm flipH="1" flipV="1">
          <a:off x="3480435" y="28839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157</xdr:row>
      <xdr:rowOff>400050</xdr:rowOff>
    </xdr:from>
    <xdr:to>
      <xdr:col>5</xdr:col>
      <xdr:colOff>1666875</xdr:colOff>
      <xdr:row>157</xdr:row>
      <xdr:rowOff>400050</xdr:rowOff>
    </xdr:to>
    <xdr:cxnSp macro="">
      <xdr:nvCxnSpPr>
        <xdr:cNvPr id="569" name="Straight Connector 568">
          <a:extLst>
            <a:ext uri="{FF2B5EF4-FFF2-40B4-BE49-F238E27FC236}">
              <a16:creationId xmlns:a16="http://schemas.microsoft.com/office/drawing/2014/main" id="{00000000-0008-0000-0600-000039020000}"/>
            </a:ext>
          </a:extLst>
        </xdr:cNvPr>
        <xdr:cNvCxnSpPr/>
      </xdr:nvCxnSpPr>
      <xdr:spPr>
        <a:xfrm>
          <a:off x="3476625" y="288912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157</xdr:row>
      <xdr:rowOff>127000</xdr:rowOff>
    </xdr:from>
    <xdr:to>
      <xdr:col>5</xdr:col>
      <xdr:colOff>356810</xdr:colOff>
      <xdr:row>157</xdr:row>
      <xdr:rowOff>409912</xdr:rowOff>
    </xdr:to>
    <xdr:cxnSp macro="">
      <xdr:nvCxnSpPr>
        <xdr:cNvPr id="570" name="Straight Connector 569">
          <a:extLst>
            <a:ext uri="{FF2B5EF4-FFF2-40B4-BE49-F238E27FC236}">
              <a16:creationId xmlns:a16="http://schemas.microsoft.com/office/drawing/2014/main" id="{00000000-0008-0000-0600-00003A020000}"/>
            </a:ext>
          </a:extLst>
        </xdr:cNvPr>
        <xdr:cNvCxnSpPr/>
      </xdr:nvCxnSpPr>
      <xdr:spPr>
        <a:xfrm flipH="1" flipV="1">
          <a:off x="3481009" y="28839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157</xdr:row>
      <xdr:rowOff>134252</xdr:rowOff>
    </xdr:from>
    <xdr:to>
      <xdr:col>5</xdr:col>
      <xdr:colOff>1652211</xdr:colOff>
      <xdr:row>157</xdr:row>
      <xdr:rowOff>417164</xdr:rowOff>
    </xdr:to>
    <xdr:cxnSp macro="">
      <xdr:nvCxnSpPr>
        <xdr:cNvPr id="571" name="Straight Connector 570">
          <a:extLst>
            <a:ext uri="{FF2B5EF4-FFF2-40B4-BE49-F238E27FC236}">
              <a16:creationId xmlns:a16="http://schemas.microsoft.com/office/drawing/2014/main" id="{00000000-0008-0000-0600-00003B020000}"/>
            </a:ext>
          </a:extLst>
        </xdr:cNvPr>
        <xdr:cNvCxnSpPr/>
      </xdr:nvCxnSpPr>
      <xdr:spPr>
        <a:xfrm flipH="1" flipV="1">
          <a:off x="3747710" y="28846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158</xdr:row>
      <xdr:rowOff>127000</xdr:rowOff>
    </xdr:from>
    <xdr:to>
      <xdr:col>5</xdr:col>
      <xdr:colOff>356235</xdr:colOff>
      <xdr:row>158</xdr:row>
      <xdr:rowOff>309880</xdr:rowOff>
    </xdr:to>
    <xdr:cxnSp macro="">
      <xdr:nvCxnSpPr>
        <xdr:cNvPr id="572" name="Straight Connector 571">
          <a:extLst>
            <a:ext uri="{FF2B5EF4-FFF2-40B4-BE49-F238E27FC236}">
              <a16:creationId xmlns:a16="http://schemas.microsoft.com/office/drawing/2014/main" id="{00000000-0008-0000-0600-00003C020000}"/>
            </a:ext>
          </a:extLst>
        </xdr:cNvPr>
        <xdr:cNvCxnSpPr/>
      </xdr:nvCxnSpPr>
      <xdr:spPr>
        <a:xfrm flipH="1" flipV="1">
          <a:off x="3480435" y="290220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158</xdr:row>
      <xdr:rowOff>152400</xdr:rowOff>
    </xdr:from>
    <xdr:to>
      <xdr:col>5</xdr:col>
      <xdr:colOff>1676400</xdr:colOff>
      <xdr:row>158</xdr:row>
      <xdr:rowOff>152400</xdr:rowOff>
    </xdr:to>
    <xdr:cxnSp macro="">
      <xdr:nvCxnSpPr>
        <xdr:cNvPr id="573" name="Straight Connector 572">
          <a:extLst>
            <a:ext uri="{FF2B5EF4-FFF2-40B4-BE49-F238E27FC236}">
              <a16:creationId xmlns:a16="http://schemas.microsoft.com/office/drawing/2014/main" id="{00000000-0008-0000-0600-00003D020000}"/>
            </a:ext>
          </a:extLst>
        </xdr:cNvPr>
        <xdr:cNvCxnSpPr/>
      </xdr:nvCxnSpPr>
      <xdr:spPr>
        <a:xfrm>
          <a:off x="3486150" y="290474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158</xdr:row>
      <xdr:rowOff>127000</xdr:rowOff>
    </xdr:from>
    <xdr:to>
      <xdr:col>5</xdr:col>
      <xdr:colOff>356810</xdr:colOff>
      <xdr:row>158</xdr:row>
      <xdr:rowOff>409912</xdr:rowOff>
    </xdr:to>
    <xdr:cxnSp macro="">
      <xdr:nvCxnSpPr>
        <xdr:cNvPr id="574" name="Straight Connector 573">
          <a:extLst>
            <a:ext uri="{FF2B5EF4-FFF2-40B4-BE49-F238E27FC236}">
              <a16:creationId xmlns:a16="http://schemas.microsoft.com/office/drawing/2014/main" id="{00000000-0008-0000-0600-00003E020000}"/>
            </a:ext>
          </a:extLst>
        </xdr:cNvPr>
        <xdr:cNvCxnSpPr/>
      </xdr:nvCxnSpPr>
      <xdr:spPr>
        <a:xfrm flipH="1" flipV="1">
          <a:off x="3481009" y="290220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158</xdr:row>
      <xdr:rowOff>134252</xdr:rowOff>
    </xdr:from>
    <xdr:to>
      <xdr:col>5</xdr:col>
      <xdr:colOff>1652211</xdr:colOff>
      <xdr:row>158</xdr:row>
      <xdr:rowOff>417164</xdr:rowOff>
    </xdr:to>
    <xdr:cxnSp macro="">
      <xdr:nvCxnSpPr>
        <xdr:cNvPr id="575" name="Straight Connector 574">
          <a:extLst>
            <a:ext uri="{FF2B5EF4-FFF2-40B4-BE49-F238E27FC236}">
              <a16:creationId xmlns:a16="http://schemas.microsoft.com/office/drawing/2014/main" id="{00000000-0008-0000-0600-00003F020000}"/>
            </a:ext>
          </a:extLst>
        </xdr:cNvPr>
        <xdr:cNvCxnSpPr/>
      </xdr:nvCxnSpPr>
      <xdr:spPr>
        <a:xfrm flipH="1" flipV="1">
          <a:off x="3747710" y="290292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159</xdr:row>
      <xdr:rowOff>123824</xdr:rowOff>
    </xdr:from>
    <xdr:to>
      <xdr:col>5</xdr:col>
      <xdr:colOff>1428750</xdr:colOff>
      <xdr:row>159</xdr:row>
      <xdr:rowOff>1219199</xdr:rowOff>
    </xdr:to>
    <xdr:sp macro="" textlink="">
      <xdr:nvSpPr>
        <xdr:cNvPr id="576" name="Rounded Rectangle 575">
          <a:extLst>
            <a:ext uri="{FF2B5EF4-FFF2-40B4-BE49-F238E27FC236}">
              <a16:creationId xmlns:a16="http://schemas.microsoft.com/office/drawing/2014/main" id="{00000000-0008-0000-0600-000040020000}"/>
            </a:ext>
          </a:extLst>
        </xdr:cNvPr>
        <xdr:cNvSpPr/>
      </xdr:nvSpPr>
      <xdr:spPr>
        <a:xfrm>
          <a:off x="3745230" y="292017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159</xdr:row>
      <xdr:rowOff>238127</xdr:rowOff>
    </xdr:from>
    <xdr:to>
      <xdr:col>5</xdr:col>
      <xdr:colOff>790575</xdr:colOff>
      <xdr:row>159</xdr:row>
      <xdr:rowOff>361950</xdr:rowOff>
    </xdr:to>
    <xdr:cxnSp macro="">
      <xdr:nvCxnSpPr>
        <xdr:cNvPr id="577" name="Straight Connector 576">
          <a:extLst>
            <a:ext uri="{FF2B5EF4-FFF2-40B4-BE49-F238E27FC236}">
              <a16:creationId xmlns:a16="http://schemas.microsoft.com/office/drawing/2014/main" id="{00000000-0008-0000-0600-000041020000}"/>
            </a:ext>
          </a:extLst>
        </xdr:cNvPr>
        <xdr:cNvCxnSpPr/>
      </xdr:nvCxnSpPr>
      <xdr:spPr>
        <a:xfrm flipH="1" flipV="1">
          <a:off x="3749041" y="292627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159</xdr:row>
      <xdr:rowOff>133352</xdr:rowOff>
    </xdr:from>
    <xdr:to>
      <xdr:col>5</xdr:col>
      <xdr:colOff>885825</xdr:colOff>
      <xdr:row>159</xdr:row>
      <xdr:rowOff>257175</xdr:rowOff>
    </xdr:to>
    <xdr:cxnSp macro="">
      <xdr:nvCxnSpPr>
        <xdr:cNvPr id="578" name="Straight Connector 577">
          <a:extLst>
            <a:ext uri="{FF2B5EF4-FFF2-40B4-BE49-F238E27FC236}">
              <a16:creationId xmlns:a16="http://schemas.microsoft.com/office/drawing/2014/main" id="{00000000-0008-0000-0600-000042020000}"/>
            </a:ext>
          </a:extLst>
        </xdr:cNvPr>
        <xdr:cNvCxnSpPr/>
      </xdr:nvCxnSpPr>
      <xdr:spPr>
        <a:xfrm flipH="1" flipV="1">
          <a:off x="3745231" y="292112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157</xdr:row>
      <xdr:rowOff>127000</xdr:rowOff>
    </xdr:from>
    <xdr:to>
      <xdr:col>5</xdr:col>
      <xdr:colOff>356235</xdr:colOff>
      <xdr:row>157</xdr:row>
      <xdr:rowOff>309880</xdr:rowOff>
    </xdr:to>
    <xdr:cxnSp macro="">
      <xdr:nvCxnSpPr>
        <xdr:cNvPr id="579" name="Straight Connector 578">
          <a:extLst>
            <a:ext uri="{FF2B5EF4-FFF2-40B4-BE49-F238E27FC236}">
              <a16:creationId xmlns:a16="http://schemas.microsoft.com/office/drawing/2014/main" id="{00000000-0008-0000-0600-000043020000}"/>
            </a:ext>
          </a:extLst>
        </xdr:cNvPr>
        <xdr:cNvCxnSpPr/>
      </xdr:nvCxnSpPr>
      <xdr:spPr>
        <a:xfrm flipH="1" flipV="1">
          <a:off x="3480435" y="28839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157</xdr:row>
      <xdr:rowOff>400050</xdr:rowOff>
    </xdr:from>
    <xdr:to>
      <xdr:col>5</xdr:col>
      <xdr:colOff>1666875</xdr:colOff>
      <xdr:row>157</xdr:row>
      <xdr:rowOff>400050</xdr:rowOff>
    </xdr:to>
    <xdr:cxnSp macro="">
      <xdr:nvCxnSpPr>
        <xdr:cNvPr id="580" name="Straight Connector 579">
          <a:extLst>
            <a:ext uri="{FF2B5EF4-FFF2-40B4-BE49-F238E27FC236}">
              <a16:creationId xmlns:a16="http://schemas.microsoft.com/office/drawing/2014/main" id="{00000000-0008-0000-0600-000044020000}"/>
            </a:ext>
          </a:extLst>
        </xdr:cNvPr>
        <xdr:cNvCxnSpPr/>
      </xdr:nvCxnSpPr>
      <xdr:spPr>
        <a:xfrm>
          <a:off x="3476625" y="288912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157</xdr:row>
      <xdr:rowOff>127000</xdr:rowOff>
    </xdr:from>
    <xdr:to>
      <xdr:col>5</xdr:col>
      <xdr:colOff>356810</xdr:colOff>
      <xdr:row>157</xdr:row>
      <xdr:rowOff>409912</xdr:rowOff>
    </xdr:to>
    <xdr:cxnSp macro="">
      <xdr:nvCxnSpPr>
        <xdr:cNvPr id="581" name="Straight Connector 580">
          <a:extLst>
            <a:ext uri="{FF2B5EF4-FFF2-40B4-BE49-F238E27FC236}">
              <a16:creationId xmlns:a16="http://schemas.microsoft.com/office/drawing/2014/main" id="{00000000-0008-0000-0600-000045020000}"/>
            </a:ext>
          </a:extLst>
        </xdr:cNvPr>
        <xdr:cNvCxnSpPr/>
      </xdr:nvCxnSpPr>
      <xdr:spPr>
        <a:xfrm flipH="1" flipV="1">
          <a:off x="3481009" y="28839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157</xdr:row>
      <xdr:rowOff>134252</xdr:rowOff>
    </xdr:from>
    <xdr:to>
      <xdr:col>5</xdr:col>
      <xdr:colOff>1652211</xdr:colOff>
      <xdr:row>157</xdr:row>
      <xdr:rowOff>417164</xdr:rowOff>
    </xdr:to>
    <xdr:cxnSp macro="">
      <xdr:nvCxnSpPr>
        <xdr:cNvPr id="582" name="Straight Connector 581">
          <a:extLst>
            <a:ext uri="{FF2B5EF4-FFF2-40B4-BE49-F238E27FC236}">
              <a16:creationId xmlns:a16="http://schemas.microsoft.com/office/drawing/2014/main" id="{00000000-0008-0000-0600-000046020000}"/>
            </a:ext>
          </a:extLst>
        </xdr:cNvPr>
        <xdr:cNvCxnSpPr/>
      </xdr:nvCxnSpPr>
      <xdr:spPr>
        <a:xfrm flipH="1" flipV="1">
          <a:off x="3747710" y="28846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158</xdr:row>
      <xdr:rowOff>127000</xdr:rowOff>
    </xdr:from>
    <xdr:to>
      <xdr:col>5</xdr:col>
      <xdr:colOff>356235</xdr:colOff>
      <xdr:row>158</xdr:row>
      <xdr:rowOff>309880</xdr:rowOff>
    </xdr:to>
    <xdr:cxnSp macro="">
      <xdr:nvCxnSpPr>
        <xdr:cNvPr id="583" name="Straight Connector 582">
          <a:extLst>
            <a:ext uri="{FF2B5EF4-FFF2-40B4-BE49-F238E27FC236}">
              <a16:creationId xmlns:a16="http://schemas.microsoft.com/office/drawing/2014/main" id="{00000000-0008-0000-0600-000047020000}"/>
            </a:ext>
          </a:extLst>
        </xdr:cNvPr>
        <xdr:cNvCxnSpPr/>
      </xdr:nvCxnSpPr>
      <xdr:spPr>
        <a:xfrm flipH="1" flipV="1">
          <a:off x="3480435" y="290220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158</xdr:row>
      <xdr:rowOff>152400</xdr:rowOff>
    </xdr:from>
    <xdr:to>
      <xdr:col>5</xdr:col>
      <xdr:colOff>1676400</xdr:colOff>
      <xdr:row>158</xdr:row>
      <xdr:rowOff>152400</xdr:rowOff>
    </xdr:to>
    <xdr:cxnSp macro="">
      <xdr:nvCxnSpPr>
        <xdr:cNvPr id="584" name="Straight Connector 583">
          <a:extLst>
            <a:ext uri="{FF2B5EF4-FFF2-40B4-BE49-F238E27FC236}">
              <a16:creationId xmlns:a16="http://schemas.microsoft.com/office/drawing/2014/main" id="{00000000-0008-0000-0600-000048020000}"/>
            </a:ext>
          </a:extLst>
        </xdr:cNvPr>
        <xdr:cNvCxnSpPr/>
      </xdr:nvCxnSpPr>
      <xdr:spPr>
        <a:xfrm>
          <a:off x="3486150" y="290474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158</xdr:row>
      <xdr:rowOff>127000</xdr:rowOff>
    </xdr:from>
    <xdr:to>
      <xdr:col>5</xdr:col>
      <xdr:colOff>356810</xdr:colOff>
      <xdr:row>158</xdr:row>
      <xdr:rowOff>409912</xdr:rowOff>
    </xdr:to>
    <xdr:cxnSp macro="">
      <xdr:nvCxnSpPr>
        <xdr:cNvPr id="585" name="Straight Connector 584">
          <a:extLst>
            <a:ext uri="{FF2B5EF4-FFF2-40B4-BE49-F238E27FC236}">
              <a16:creationId xmlns:a16="http://schemas.microsoft.com/office/drawing/2014/main" id="{00000000-0008-0000-0600-000049020000}"/>
            </a:ext>
          </a:extLst>
        </xdr:cNvPr>
        <xdr:cNvCxnSpPr/>
      </xdr:nvCxnSpPr>
      <xdr:spPr>
        <a:xfrm flipH="1" flipV="1">
          <a:off x="3481009" y="290220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158</xdr:row>
      <xdr:rowOff>134252</xdr:rowOff>
    </xdr:from>
    <xdr:to>
      <xdr:col>5</xdr:col>
      <xdr:colOff>1652211</xdr:colOff>
      <xdr:row>158</xdr:row>
      <xdr:rowOff>417164</xdr:rowOff>
    </xdr:to>
    <xdr:cxnSp macro="">
      <xdr:nvCxnSpPr>
        <xdr:cNvPr id="586" name="Straight Connector 585">
          <a:extLst>
            <a:ext uri="{FF2B5EF4-FFF2-40B4-BE49-F238E27FC236}">
              <a16:creationId xmlns:a16="http://schemas.microsoft.com/office/drawing/2014/main" id="{00000000-0008-0000-0600-00004A020000}"/>
            </a:ext>
          </a:extLst>
        </xdr:cNvPr>
        <xdr:cNvCxnSpPr/>
      </xdr:nvCxnSpPr>
      <xdr:spPr>
        <a:xfrm flipH="1" flipV="1">
          <a:off x="3747710" y="290292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159</xdr:row>
      <xdr:rowOff>123824</xdr:rowOff>
    </xdr:from>
    <xdr:to>
      <xdr:col>5</xdr:col>
      <xdr:colOff>1428750</xdr:colOff>
      <xdr:row>159</xdr:row>
      <xdr:rowOff>1219199</xdr:rowOff>
    </xdr:to>
    <xdr:sp macro="" textlink="">
      <xdr:nvSpPr>
        <xdr:cNvPr id="587" name="Rounded Rectangle 586">
          <a:extLst>
            <a:ext uri="{FF2B5EF4-FFF2-40B4-BE49-F238E27FC236}">
              <a16:creationId xmlns:a16="http://schemas.microsoft.com/office/drawing/2014/main" id="{00000000-0008-0000-0600-00004B020000}"/>
            </a:ext>
          </a:extLst>
        </xdr:cNvPr>
        <xdr:cNvSpPr/>
      </xdr:nvSpPr>
      <xdr:spPr>
        <a:xfrm>
          <a:off x="3745230" y="292017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159</xdr:row>
      <xdr:rowOff>238127</xdr:rowOff>
    </xdr:from>
    <xdr:to>
      <xdr:col>5</xdr:col>
      <xdr:colOff>790575</xdr:colOff>
      <xdr:row>159</xdr:row>
      <xdr:rowOff>361950</xdr:rowOff>
    </xdr:to>
    <xdr:cxnSp macro="">
      <xdr:nvCxnSpPr>
        <xdr:cNvPr id="588" name="Straight Connector 587">
          <a:extLst>
            <a:ext uri="{FF2B5EF4-FFF2-40B4-BE49-F238E27FC236}">
              <a16:creationId xmlns:a16="http://schemas.microsoft.com/office/drawing/2014/main" id="{00000000-0008-0000-0600-00004C020000}"/>
            </a:ext>
          </a:extLst>
        </xdr:cNvPr>
        <xdr:cNvCxnSpPr/>
      </xdr:nvCxnSpPr>
      <xdr:spPr>
        <a:xfrm flipH="1" flipV="1">
          <a:off x="3749041" y="292627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159</xdr:row>
      <xdr:rowOff>133352</xdr:rowOff>
    </xdr:from>
    <xdr:to>
      <xdr:col>5</xdr:col>
      <xdr:colOff>885825</xdr:colOff>
      <xdr:row>159</xdr:row>
      <xdr:rowOff>257175</xdr:rowOff>
    </xdr:to>
    <xdr:cxnSp macro="">
      <xdr:nvCxnSpPr>
        <xdr:cNvPr id="589" name="Straight Connector 588">
          <a:extLst>
            <a:ext uri="{FF2B5EF4-FFF2-40B4-BE49-F238E27FC236}">
              <a16:creationId xmlns:a16="http://schemas.microsoft.com/office/drawing/2014/main" id="{00000000-0008-0000-0600-00004D020000}"/>
            </a:ext>
          </a:extLst>
        </xdr:cNvPr>
        <xdr:cNvCxnSpPr/>
      </xdr:nvCxnSpPr>
      <xdr:spPr>
        <a:xfrm flipH="1" flipV="1">
          <a:off x="3745231" y="292112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157</xdr:row>
      <xdr:rowOff>127000</xdr:rowOff>
    </xdr:from>
    <xdr:to>
      <xdr:col>5</xdr:col>
      <xdr:colOff>356235</xdr:colOff>
      <xdr:row>157</xdr:row>
      <xdr:rowOff>309880</xdr:rowOff>
    </xdr:to>
    <xdr:cxnSp macro="">
      <xdr:nvCxnSpPr>
        <xdr:cNvPr id="590" name="Straight Connector 589">
          <a:extLst>
            <a:ext uri="{FF2B5EF4-FFF2-40B4-BE49-F238E27FC236}">
              <a16:creationId xmlns:a16="http://schemas.microsoft.com/office/drawing/2014/main" id="{00000000-0008-0000-0600-00004E020000}"/>
            </a:ext>
          </a:extLst>
        </xdr:cNvPr>
        <xdr:cNvCxnSpPr/>
      </xdr:nvCxnSpPr>
      <xdr:spPr>
        <a:xfrm flipH="1" flipV="1">
          <a:off x="3480435" y="28839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157</xdr:row>
      <xdr:rowOff>400050</xdr:rowOff>
    </xdr:from>
    <xdr:to>
      <xdr:col>5</xdr:col>
      <xdr:colOff>1666875</xdr:colOff>
      <xdr:row>157</xdr:row>
      <xdr:rowOff>400050</xdr:rowOff>
    </xdr:to>
    <xdr:cxnSp macro="">
      <xdr:nvCxnSpPr>
        <xdr:cNvPr id="591" name="Straight Connector 590">
          <a:extLst>
            <a:ext uri="{FF2B5EF4-FFF2-40B4-BE49-F238E27FC236}">
              <a16:creationId xmlns:a16="http://schemas.microsoft.com/office/drawing/2014/main" id="{00000000-0008-0000-0600-00004F020000}"/>
            </a:ext>
          </a:extLst>
        </xdr:cNvPr>
        <xdr:cNvCxnSpPr/>
      </xdr:nvCxnSpPr>
      <xdr:spPr>
        <a:xfrm>
          <a:off x="3476625" y="288912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157</xdr:row>
      <xdr:rowOff>127000</xdr:rowOff>
    </xdr:from>
    <xdr:to>
      <xdr:col>5</xdr:col>
      <xdr:colOff>356810</xdr:colOff>
      <xdr:row>157</xdr:row>
      <xdr:rowOff>409912</xdr:rowOff>
    </xdr:to>
    <xdr:cxnSp macro="">
      <xdr:nvCxnSpPr>
        <xdr:cNvPr id="592" name="Straight Connector 591">
          <a:extLst>
            <a:ext uri="{FF2B5EF4-FFF2-40B4-BE49-F238E27FC236}">
              <a16:creationId xmlns:a16="http://schemas.microsoft.com/office/drawing/2014/main" id="{00000000-0008-0000-0600-000050020000}"/>
            </a:ext>
          </a:extLst>
        </xdr:cNvPr>
        <xdr:cNvCxnSpPr/>
      </xdr:nvCxnSpPr>
      <xdr:spPr>
        <a:xfrm flipH="1" flipV="1">
          <a:off x="3481009" y="28839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157</xdr:row>
      <xdr:rowOff>134252</xdr:rowOff>
    </xdr:from>
    <xdr:to>
      <xdr:col>5</xdr:col>
      <xdr:colOff>1652211</xdr:colOff>
      <xdr:row>157</xdr:row>
      <xdr:rowOff>417164</xdr:rowOff>
    </xdr:to>
    <xdr:cxnSp macro="">
      <xdr:nvCxnSpPr>
        <xdr:cNvPr id="593" name="Straight Connector 592">
          <a:extLst>
            <a:ext uri="{FF2B5EF4-FFF2-40B4-BE49-F238E27FC236}">
              <a16:creationId xmlns:a16="http://schemas.microsoft.com/office/drawing/2014/main" id="{00000000-0008-0000-0600-000051020000}"/>
            </a:ext>
          </a:extLst>
        </xdr:cNvPr>
        <xdr:cNvCxnSpPr/>
      </xdr:nvCxnSpPr>
      <xdr:spPr>
        <a:xfrm flipH="1" flipV="1">
          <a:off x="3747710" y="28846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158</xdr:row>
      <xdr:rowOff>127000</xdr:rowOff>
    </xdr:from>
    <xdr:to>
      <xdr:col>5</xdr:col>
      <xdr:colOff>356235</xdr:colOff>
      <xdr:row>158</xdr:row>
      <xdr:rowOff>309880</xdr:rowOff>
    </xdr:to>
    <xdr:cxnSp macro="">
      <xdr:nvCxnSpPr>
        <xdr:cNvPr id="594" name="Straight Connector 593">
          <a:extLst>
            <a:ext uri="{FF2B5EF4-FFF2-40B4-BE49-F238E27FC236}">
              <a16:creationId xmlns:a16="http://schemas.microsoft.com/office/drawing/2014/main" id="{00000000-0008-0000-0600-000052020000}"/>
            </a:ext>
          </a:extLst>
        </xdr:cNvPr>
        <xdr:cNvCxnSpPr/>
      </xdr:nvCxnSpPr>
      <xdr:spPr>
        <a:xfrm flipH="1" flipV="1">
          <a:off x="3480435" y="290220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158</xdr:row>
      <xdr:rowOff>152400</xdr:rowOff>
    </xdr:from>
    <xdr:to>
      <xdr:col>5</xdr:col>
      <xdr:colOff>1676400</xdr:colOff>
      <xdr:row>158</xdr:row>
      <xdr:rowOff>152400</xdr:rowOff>
    </xdr:to>
    <xdr:cxnSp macro="">
      <xdr:nvCxnSpPr>
        <xdr:cNvPr id="595" name="Straight Connector 594">
          <a:extLst>
            <a:ext uri="{FF2B5EF4-FFF2-40B4-BE49-F238E27FC236}">
              <a16:creationId xmlns:a16="http://schemas.microsoft.com/office/drawing/2014/main" id="{00000000-0008-0000-0600-000053020000}"/>
            </a:ext>
          </a:extLst>
        </xdr:cNvPr>
        <xdr:cNvCxnSpPr/>
      </xdr:nvCxnSpPr>
      <xdr:spPr>
        <a:xfrm>
          <a:off x="3486150" y="290474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158</xdr:row>
      <xdr:rowOff>127000</xdr:rowOff>
    </xdr:from>
    <xdr:to>
      <xdr:col>5</xdr:col>
      <xdr:colOff>356810</xdr:colOff>
      <xdr:row>158</xdr:row>
      <xdr:rowOff>409912</xdr:rowOff>
    </xdr:to>
    <xdr:cxnSp macro="">
      <xdr:nvCxnSpPr>
        <xdr:cNvPr id="596" name="Straight Connector 595">
          <a:extLst>
            <a:ext uri="{FF2B5EF4-FFF2-40B4-BE49-F238E27FC236}">
              <a16:creationId xmlns:a16="http://schemas.microsoft.com/office/drawing/2014/main" id="{00000000-0008-0000-0600-000054020000}"/>
            </a:ext>
          </a:extLst>
        </xdr:cNvPr>
        <xdr:cNvCxnSpPr/>
      </xdr:nvCxnSpPr>
      <xdr:spPr>
        <a:xfrm flipH="1" flipV="1">
          <a:off x="3481009" y="290220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159</xdr:row>
      <xdr:rowOff>123824</xdr:rowOff>
    </xdr:from>
    <xdr:to>
      <xdr:col>5</xdr:col>
      <xdr:colOff>1428750</xdr:colOff>
      <xdr:row>159</xdr:row>
      <xdr:rowOff>1219199</xdr:rowOff>
    </xdr:to>
    <xdr:sp macro="" textlink="">
      <xdr:nvSpPr>
        <xdr:cNvPr id="597" name="Rounded Rectangle 596">
          <a:extLst>
            <a:ext uri="{FF2B5EF4-FFF2-40B4-BE49-F238E27FC236}">
              <a16:creationId xmlns:a16="http://schemas.microsoft.com/office/drawing/2014/main" id="{00000000-0008-0000-0600-000055020000}"/>
            </a:ext>
          </a:extLst>
        </xdr:cNvPr>
        <xdr:cNvSpPr/>
      </xdr:nvSpPr>
      <xdr:spPr>
        <a:xfrm>
          <a:off x="3745230" y="292017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159</xdr:row>
      <xdr:rowOff>238127</xdr:rowOff>
    </xdr:from>
    <xdr:to>
      <xdr:col>5</xdr:col>
      <xdr:colOff>790575</xdr:colOff>
      <xdr:row>159</xdr:row>
      <xdr:rowOff>361950</xdr:rowOff>
    </xdr:to>
    <xdr:cxnSp macro="">
      <xdr:nvCxnSpPr>
        <xdr:cNvPr id="598" name="Straight Connector 597">
          <a:extLst>
            <a:ext uri="{FF2B5EF4-FFF2-40B4-BE49-F238E27FC236}">
              <a16:creationId xmlns:a16="http://schemas.microsoft.com/office/drawing/2014/main" id="{00000000-0008-0000-0600-000056020000}"/>
            </a:ext>
          </a:extLst>
        </xdr:cNvPr>
        <xdr:cNvCxnSpPr/>
      </xdr:nvCxnSpPr>
      <xdr:spPr>
        <a:xfrm flipH="1" flipV="1">
          <a:off x="3749041" y="292627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159</xdr:row>
      <xdr:rowOff>133352</xdr:rowOff>
    </xdr:from>
    <xdr:to>
      <xdr:col>5</xdr:col>
      <xdr:colOff>885825</xdr:colOff>
      <xdr:row>159</xdr:row>
      <xdr:rowOff>257175</xdr:rowOff>
    </xdr:to>
    <xdr:cxnSp macro="">
      <xdr:nvCxnSpPr>
        <xdr:cNvPr id="599" name="Straight Connector 598">
          <a:extLst>
            <a:ext uri="{FF2B5EF4-FFF2-40B4-BE49-F238E27FC236}">
              <a16:creationId xmlns:a16="http://schemas.microsoft.com/office/drawing/2014/main" id="{00000000-0008-0000-0600-000057020000}"/>
            </a:ext>
          </a:extLst>
        </xdr:cNvPr>
        <xdr:cNvCxnSpPr/>
      </xdr:nvCxnSpPr>
      <xdr:spPr>
        <a:xfrm flipH="1" flipV="1">
          <a:off x="3745231" y="292112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163</xdr:row>
      <xdr:rowOff>127000</xdr:rowOff>
    </xdr:from>
    <xdr:to>
      <xdr:col>5</xdr:col>
      <xdr:colOff>356235</xdr:colOff>
      <xdr:row>163</xdr:row>
      <xdr:rowOff>309880</xdr:rowOff>
    </xdr:to>
    <xdr:cxnSp macro="">
      <xdr:nvCxnSpPr>
        <xdr:cNvPr id="600" name="Straight Connector 599">
          <a:extLst>
            <a:ext uri="{FF2B5EF4-FFF2-40B4-BE49-F238E27FC236}">
              <a16:creationId xmlns:a16="http://schemas.microsoft.com/office/drawing/2014/main" id="{00000000-0008-0000-0600-000058020000}"/>
            </a:ext>
          </a:extLst>
        </xdr:cNvPr>
        <xdr:cNvCxnSpPr/>
      </xdr:nvCxnSpPr>
      <xdr:spPr>
        <a:xfrm flipH="1" flipV="1">
          <a:off x="3480435" y="29936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163</xdr:row>
      <xdr:rowOff>400050</xdr:rowOff>
    </xdr:from>
    <xdr:to>
      <xdr:col>5</xdr:col>
      <xdr:colOff>1666875</xdr:colOff>
      <xdr:row>163</xdr:row>
      <xdr:rowOff>400050</xdr:rowOff>
    </xdr:to>
    <xdr:cxnSp macro="">
      <xdr:nvCxnSpPr>
        <xdr:cNvPr id="601" name="Straight Connector 600">
          <a:extLst>
            <a:ext uri="{FF2B5EF4-FFF2-40B4-BE49-F238E27FC236}">
              <a16:creationId xmlns:a16="http://schemas.microsoft.com/office/drawing/2014/main" id="{00000000-0008-0000-0600-000059020000}"/>
            </a:ext>
          </a:extLst>
        </xdr:cNvPr>
        <xdr:cNvCxnSpPr/>
      </xdr:nvCxnSpPr>
      <xdr:spPr>
        <a:xfrm>
          <a:off x="3476625" y="299885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163</xdr:row>
      <xdr:rowOff>127000</xdr:rowOff>
    </xdr:from>
    <xdr:to>
      <xdr:col>5</xdr:col>
      <xdr:colOff>356810</xdr:colOff>
      <xdr:row>163</xdr:row>
      <xdr:rowOff>409912</xdr:rowOff>
    </xdr:to>
    <xdr:cxnSp macro="">
      <xdr:nvCxnSpPr>
        <xdr:cNvPr id="602" name="Straight Connector 601">
          <a:extLst>
            <a:ext uri="{FF2B5EF4-FFF2-40B4-BE49-F238E27FC236}">
              <a16:creationId xmlns:a16="http://schemas.microsoft.com/office/drawing/2014/main" id="{00000000-0008-0000-0600-00005A020000}"/>
            </a:ext>
          </a:extLst>
        </xdr:cNvPr>
        <xdr:cNvCxnSpPr/>
      </xdr:nvCxnSpPr>
      <xdr:spPr>
        <a:xfrm flipH="1" flipV="1">
          <a:off x="3481009" y="29936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163</xdr:row>
      <xdr:rowOff>134252</xdr:rowOff>
    </xdr:from>
    <xdr:to>
      <xdr:col>5</xdr:col>
      <xdr:colOff>1652211</xdr:colOff>
      <xdr:row>163</xdr:row>
      <xdr:rowOff>417164</xdr:rowOff>
    </xdr:to>
    <xdr:cxnSp macro="">
      <xdr:nvCxnSpPr>
        <xdr:cNvPr id="603" name="Straight Connector 602">
          <a:extLst>
            <a:ext uri="{FF2B5EF4-FFF2-40B4-BE49-F238E27FC236}">
              <a16:creationId xmlns:a16="http://schemas.microsoft.com/office/drawing/2014/main" id="{00000000-0008-0000-0600-00005B020000}"/>
            </a:ext>
          </a:extLst>
        </xdr:cNvPr>
        <xdr:cNvCxnSpPr/>
      </xdr:nvCxnSpPr>
      <xdr:spPr>
        <a:xfrm flipH="1" flipV="1">
          <a:off x="3747710" y="29943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164</xdr:row>
      <xdr:rowOff>127000</xdr:rowOff>
    </xdr:from>
    <xdr:to>
      <xdr:col>5</xdr:col>
      <xdr:colOff>356235</xdr:colOff>
      <xdr:row>164</xdr:row>
      <xdr:rowOff>309880</xdr:rowOff>
    </xdr:to>
    <xdr:cxnSp macro="">
      <xdr:nvCxnSpPr>
        <xdr:cNvPr id="604" name="Straight Connector 603">
          <a:extLst>
            <a:ext uri="{FF2B5EF4-FFF2-40B4-BE49-F238E27FC236}">
              <a16:creationId xmlns:a16="http://schemas.microsoft.com/office/drawing/2014/main" id="{00000000-0008-0000-0600-00005C020000}"/>
            </a:ext>
          </a:extLst>
        </xdr:cNvPr>
        <xdr:cNvCxnSpPr/>
      </xdr:nvCxnSpPr>
      <xdr:spPr>
        <a:xfrm flipH="1" flipV="1">
          <a:off x="3480435" y="301193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164</xdr:row>
      <xdr:rowOff>152400</xdr:rowOff>
    </xdr:from>
    <xdr:to>
      <xdr:col>5</xdr:col>
      <xdr:colOff>1676400</xdr:colOff>
      <xdr:row>164</xdr:row>
      <xdr:rowOff>152400</xdr:rowOff>
    </xdr:to>
    <xdr:cxnSp macro="">
      <xdr:nvCxnSpPr>
        <xdr:cNvPr id="605" name="Straight Connector 604">
          <a:extLst>
            <a:ext uri="{FF2B5EF4-FFF2-40B4-BE49-F238E27FC236}">
              <a16:creationId xmlns:a16="http://schemas.microsoft.com/office/drawing/2014/main" id="{00000000-0008-0000-0600-00005D020000}"/>
            </a:ext>
          </a:extLst>
        </xdr:cNvPr>
        <xdr:cNvCxnSpPr/>
      </xdr:nvCxnSpPr>
      <xdr:spPr>
        <a:xfrm>
          <a:off x="3486150" y="301447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164</xdr:row>
      <xdr:rowOff>127000</xdr:rowOff>
    </xdr:from>
    <xdr:to>
      <xdr:col>5</xdr:col>
      <xdr:colOff>356810</xdr:colOff>
      <xdr:row>164</xdr:row>
      <xdr:rowOff>409912</xdr:rowOff>
    </xdr:to>
    <xdr:cxnSp macro="">
      <xdr:nvCxnSpPr>
        <xdr:cNvPr id="606" name="Straight Connector 605">
          <a:extLst>
            <a:ext uri="{FF2B5EF4-FFF2-40B4-BE49-F238E27FC236}">
              <a16:creationId xmlns:a16="http://schemas.microsoft.com/office/drawing/2014/main" id="{00000000-0008-0000-0600-00005E020000}"/>
            </a:ext>
          </a:extLst>
        </xdr:cNvPr>
        <xdr:cNvCxnSpPr/>
      </xdr:nvCxnSpPr>
      <xdr:spPr>
        <a:xfrm flipH="1" flipV="1">
          <a:off x="3481009" y="301193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164</xdr:row>
      <xdr:rowOff>134252</xdr:rowOff>
    </xdr:from>
    <xdr:to>
      <xdr:col>5</xdr:col>
      <xdr:colOff>1652211</xdr:colOff>
      <xdr:row>164</xdr:row>
      <xdr:rowOff>417164</xdr:rowOff>
    </xdr:to>
    <xdr:cxnSp macro="">
      <xdr:nvCxnSpPr>
        <xdr:cNvPr id="607" name="Straight Connector 606">
          <a:extLst>
            <a:ext uri="{FF2B5EF4-FFF2-40B4-BE49-F238E27FC236}">
              <a16:creationId xmlns:a16="http://schemas.microsoft.com/office/drawing/2014/main" id="{00000000-0008-0000-0600-00005F020000}"/>
            </a:ext>
          </a:extLst>
        </xdr:cNvPr>
        <xdr:cNvCxnSpPr/>
      </xdr:nvCxnSpPr>
      <xdr:spPr>
        <a:xfrm flipH="1" flipV="1">
          <a:off x="3747710" y="301265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165</xdr:row>
      <xdr:rowOff>123824</xdr:rowOff>
    </xdr:from>
    <xdr:to>
      <xdr:col>5</xdr:col>
      <xdr:colOff>1428750</xdr:colOff>
      <xdr:row>165</xdr:row>
      <xdr:rowOff>1219199</xdr:rowOff>
    </xdr:to>
    <xdr:sp macro="" textlink="">
      <xdr:nvSpPr>
        <xdr:cNvPr id="608" name="Rounded Rectangle 607">
          <a:extLst>
            <a:ext uri="{FF2B5EF4-FFF2-40B4-BE49-F238E27FC236}">
              <a16:creationId xmlns:a16="http://schemas.microsoft.com/office/drawing/2014/main" id="{00000000-0008-0000-0600-000060020000}"/>
            </a:ext>
          </a:extLst>
        </xdr:cNvPr>
        <xdr:cNvSpPr/>
      </xdr:nvSpPr>
      <xdr:spPr>
        <a:xfrm>
          <a:off x="3745230" y="302990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165</xdr:row>
      <xdr:rowOff>238127</xdr:rowOff>
    </xdr:from>
    <xdr:to>
      <xdr:col>5</xdr:col>
      <xdr:colOff>790575</xdr:colOff>
      <xdr:row>165</xdr:row>
      <xdr:rowOff>361950</xdr:rowOff>
    </xdr:to>
    <xdr:cxnSp macro="">
      <xdr:nvCxnSpPr>
        <xdr:cNvPr id="609" name="Straight Connector 608">
          <a:extLst>
            <a:ext uri="{FF2B5EF4-FFF2-40B4-BE49-F238E27FC236}">
              <a16:creationId xmlns:a16="http://schemas.microsoft.com/office/drawing/2014/main" id="{00000000-0008-0000-0600-000061020000}"/>
            </a:ext>
          </a:extLst>
        </xdr:cNvPr>
        <xdr:cNvCxnSpPr/>
      </xdr:nvCxnSpPr>
      <xdr:spPr>
        <a:xfrm flipH="1" flipV="1">
          <a:off x="3749041" y="303599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165</xdr:row>
      <xdr:rowOff>133352</xdr:rowOff>
    </xdr:from>
    <xdr:to>
      <xdr:col>5</xdr:col>
      <xdr:colOff>885825</xdr:colOff>
      <xdr:row>165</xdr:row>
      <xdr:rowOff>257175</xdr:rowOff>
    </xdr:to>
    <xdr:cxnSp macro="">
      <xdr:nvCxnSpPr>
        <xdr:cNvPr id="610" name="Straight Connector 609">
          <a:extLst>
            <a:ext uri="{FF2B5EF4-FFF2-40B4-BE49-F238E27FC236}">
              <a16:creationId xmlns:a16="http://schemas.microsoft.com/office/drawing/2014/main" id="{00000000-0008-0000-0600-000062020000}"/>
            </a:ext>
          </a:extLst>
        </xdr:cNvPr>
        <xdr:cNvCxnSpPr/>
      </xdr:nvCxnSpPr>
      <xdr:spPr>
        <a:xfrm flipH="1" flipV="1">
          <a:off x="3745231" y="303085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163</xdr:row>
      <xdr:rowOff>127000</xdr:rowOff>
    </xdr:from>
    <xdr:to>
      <xdr:col>5</xdr:col>
      <xdr:colOff>356235</xdr:colOff>
      <xdr:row>163</xdr:row>
      <xdr:rowOff>309880</xdr:rowOff>
    </xdr:to>
    <xdr:cxnSp macro="">
      <xdr:nvCxnSpPr>
        <xdr:cNvPr id="611" name="Straight Connector 610">
          <a:extLst>
            <a:ext uri="{FF2B5EF4-FFF2-40B4-BE49-F238E27FC236}">
              <a16:creationId xmlns:a16="http://schemas.microsoft.com/office/drawing/2014/main" id="{00000000-0008-0000-0600-000063020000}"/>
            </a:ext>
          </a:extLst>
        </xdr:cNvPr>
        <xdr:cNvCxnSpPr/>
      </xdr:nvCxnSpPr>
      <xdr:spPr>
        <a:xfrm flipH="1" flipV="1">
          <a:off x="3480435" y="29936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163</xdr:row>
      <xdr:rowOff>400050</xdr:rowOff>
    </xdr:from>
    <xdr:to>
      <xdr:col>5</xdr:col>
      <xdr:colOff>1666875</xdr:colOff>
      <xdr:row>163</xdr:row>
      <xdr:rowOff>400050</xdr:rowOff>
    </xdr:to>
    <xdr:cxnSp macro="">
      <xdr:nvCxnSpPr>
        <xdr:cNvPr id="612" name="Straight Connector 611">
          <a:extLst>
            <a:ext uri="{FF2B5EF4-FFF2-40B4-BE49-F238E27FC236}">
              <a16:creationId xmlns:a16="http://schemas.microsoft.com/office/drawing/2014/main" id="{00000000-0008-0000-0600-000064020000}"/>
            </a:ext>
          </a:extLst>
        </xdr:cNvPr>
        <xdr:cNvCxnSpPr/>
      </xdr:nvCxnSpPr>
      <xdr:spPr>
        <a:xfrm>
          <a:off x="3476625" y="299885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163</xdr:row>
      <xdr:rowOff>127000</xdr:rowOff>
    </xdr:from>
    <xdr:to>
      <xdr:col>5</xdr:col>
      <xdr:colOff>356810</xdr:colOff>
      <xdr:row>163</xdr:row>
      <xdr:rowOff>409912</xdr:rowOff>
    </xdr:to>
    <xdr:cxnSp macro="">
      <xdr:nvCxnSpPr>
        <xdr:cNvPr id="613" name="Straight Connector 612">
          <a:extLst>
            <a:ext uri="{FF2B5EF4-FFF2-40B4-BE49-F238E27FC236}">
              <a16:creationId xmlns:a16="http://schemas.microsoft.com/office/drawing/2014/main" id="{00000000-0008-0000-0600-000065020000}"/>
            </a:ext>
          </a:extLst>
        </xdr:cNvPr>
        <xdr:cNvCxnSpPr/>
      </xdr:nvCxnSpPr>
      <xdr:spPr>
        <a:xfrm flipH="1" flipV="1">
          <a:off x="3481009" y="29936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163</xdr:row>
      <xdr:rowOff>134252</xdr:rowOff>
    </xdr:from>
    <xdr:to>
      <xdr:col>5</xdr:col>
      <xdr:colOff>1652211</xdr:colOff>
      <xdr:row>163</xdr:row>
      <xdr:rowOff>417164</xdr:rowOff>
    </xdr:to>
    <xdr:cxnSp macro="">
      <xdr:nvCxnSpPr>
        <xdr:cNvPr id="614" name="Straight Connector 613">
          <a:extLst>
            <a:ext uri="{FF2B5EF4-FFF2-40B4-BE49-F238E27FC236}">
              <a16:creationId xmlns:a16="http://schemas.microsoft.com/office/drawing/2014/main" id="{00000000-0008-0000-0600-000066020000}"/>
            </a:ext>
          </a:extLst>
        </xdr:cNvPr>
        <xdr:cNvCxnSpPr/>
      </xdr:nvCxnSpPr>
      <xdr:spPr>
        <a:xfrm flipH="1" flipV="1">
          <a:off x="3747710" y="29943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164</xdr:row>
      <xdr:rowOff>127000</xdr:rowOff>
    </xdr:from>
    <xdr:to>
      <xdr:col>5</xdr:col>
      <xdr:colOff>356235</xdr:colOff>
      <xdr:row>164</xdr:row>
      <xdr:rowOff>309880</xdr:rowOff>
    </xdr:to>
    <xdr:cxnSp macro="">
      <xdr:nvCxnSpPr>
        <xdr:cNvPr id="615" name="Straight Connector 614">
          <a:extLst>
            <a:ext uri="{FF2B5EF4-FFF2-40B4-BE49-F238E27FC236}">
              <a16:creationId xmlns:a16="http://schemas.microsoft.com/office/drawing/2014/main" id="{00000000-0008-0000-0600-000067020000}"/>
            </a:ext>
          </a:extLst>
        </xdr:cNvPr>
        <xdr:cNvCxnSpPr/>
      </xdr:nvCxnSpPr>
      <xdr:spPr>
        <a:xfrm flipH="1" flipV="1">
          <a:off x="3480435" y="301193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164</xdr:row>
      <xdr:rowOff>152400</xdr:rowOff>
    </xdr:from>
    <xdr:to>
      <xdr:col>5</xdr:col>
      <xdr:colOff>1676400</xdr:colOff>
      <xdr:row>164</xdr:row>
      <xdr:rowOff>152400</xdr:rowOff>
    </xdr:to>
    <xdr:cxnSp macro="">
      <xdr:nvCxnSpPr>
        <xdr:cNvPr id="616" name="Straight Connector 615">
          <a:extLst>
            <a:ext uri="{FF2B5EF4-FFF2-40B4-BE49-F238E27FC236}">
              <a16:creationId xmlns:a16="http://schemas.microsoft.com/office/drawing/2014/main" id="{00000000-0008-0000-0600-000068020000}"/>
            </a:ext>
          </a:extLst>
        </xdr:cNvPr>
        <xdr:cNvCxnSpPr/>
      </xdr:nvCxnSpPr>
      <xdr:spPr>
        <a:xfrm>
          <a:off x="3486150" y="301447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164</xdr:row>
      <xdr:rowOff>127000</xdr:rowOff>
    </xdr:from>
    <xdr:to>
      <xdr:col>5</xdr:col>
      <xdr:colOff>356810</xdr:colOff>
      <xdr:row>164</xdr:row>
      <xdr:rowOff>409912</xdr:rowOff>
    </xdr:to>
    <xdr:cxnSp macro="">
      <xdr:nvCxnSpPr>
        <xdr:cNvPr id="617" name="Straight Connector 616">
          <a:extLst>
            <a:ext uri="{FF2B5EF4-FFF2-40B4-BE49-F238E27FC236}">
              <a16:creationId xmlns:a16="http://schemas.microsoft.com/office/drawing/2014/main" id="{00000000-0008-0000-0600-000069020000}"/>
            </a:ext>
          </a:extLst>
        </xdr:cNvPr>
        <xdr:cNvCxnSpPr/>
      </xdr:nvCxnSpPr>
      <xdr:spPr>
        <a:xfrm flipH="1" flipV="1">
          <a:off x="3481009" y="301193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164</xdr:row>
      <xdr:rowOff>134252</xdr:rowOff>
    </xdr:from>
    <xdr:to>
      <xdr:col>5</xdr:col>
      <xdr:colOff>1652211</xdr:colOff>
      <xdr:row>164</xdr:row>
      <xdr:rowOff>417164</xdr:rowOff>
    </xdr:to>
    <xdr:cxnSp macro="">
      <xdr:nvCxnSpPr>
        <xdr:cNvPr id="618" name="Straight Connector 617">
          <a:extLst>
            <a:ext uri="{FF2B5EF4-FFF2-40B4-BE49-F238E27FC236}">
              <a16:creationId xmlns:a16="http://schemas.microsoft.com/office/drawing/2014/main" id="{00000000-0008-0000-0600-00006A020000}"/>
            </a:ext>
          </a:extLst>
        </xdr:cNvPr>
        <xdr:cNvCxnSpPr/>
      </xdr:nvCxnSpPr>
      <xdr:spPr>
        <a:xfrm flipH="1" flipV="1">
          <a:off x="3747710" y="301265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165</xdr:row>
      <xdr:rowOff>123824</xdr:rowOff>
    </xdr:from>
    <xdr:to>
      <xdr:col>5</xdr:col>
      <xdr:colOff>1428750</xdr:colOff>
      <xdr:row>165</xdr:row>
      <xdr:rowOff>1219199</xdr:rowOff>
    </xdr:to>
    <xdr:sp macro="" textlink="">
      <xdr:nvSpPr>
        <xdr:cNvPr id="619" name="Rounded Rectangle 618">
          <a:extLst>
            <a:ext uri="{FF2B5EF4-FFF2-40B4-BE49-F238E27FC236}">
              <a16:creationId xmlns:a16="http://schemas.microsoft.com/office/drawing/2014/main" id="{00000000-0008-0000-0600-00006B020000}"/>
            </a:ext>
          </a:extLst>
        </xdr:cNvPr>
        <xdr:cNvSpPr/>
      </xdr:nvSpPr>
      <xdr:spPr>
        <a:xfrm>
          <a:off x="3745230" y="302990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165</xdr:row>
      <xdr:rowOff>238127</xdr:rowOff>
    </xdr:from>
    <xdr:to>
      <xdr:col>5</xdr:col>
      <xdr:colOff>790575</xdr:colOff>
      <xdr:row>165</xdr:row>
      <xdr:rowOff>361950</xdr:rowOff>
    </xdr:to>
    <xdr:cxnSp macro="">
      <xdr:nvCxnSpPr>
        <xdr:cNvPr id="620" name="Straight Connector 619">
          <a:extLst>
            <a:ext uri="{FF2B5EF4-FFF2-40B4-BE49-F238E27FC236}">
              <a16:creationId xmlns:a16="http://schemas.microsoft.com/office/drawing/2014/main" id="{00000000-0008-0000-0600-00006C020000}"/>
            </a:ext>
          </a:extLst>
        </xdr:cNvPr>
        <xdr:cNvCxnSpPr/>
      </xdr:nvCxnSpPr>
      <xdr:spPr>
        <a:xfrm flipH="1" flipV="1">
          <a:off x="3749041" y="303599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165</xdr:row>
      <xdr:rowOff>133352</xdr:rowOff>
    </xdr:from>
    <xdr:to>
      <xdr:col>5</xdr:col>
      <xdr:colOff>885825</xdr:colOff>
      <xdr:row>165</xdr:row>
      <xdr:rowOff>257175</xdr:rowOff>
    </xdr:to>
    <xdr:cxnSp macro="">
      <xdr:nvCxnSpPr>
        <xdr:cNvPr id="621" name="Straight Connector 620">
          <a:extLst>
            <a:ext uri="{FF2B5EF4-FFF2-40B4-BE49-F238E27FC236}">
              <a16:creationId xmlns:a16="http://schemas.microsoft.com/office/drawing/2014/main" id="{00000000-0008-0000-0600-00006D020000}"/>
            </a:ext>
          </a:extLst>
        </xdr:cNvPr>
        <xdr:cNvCxnSpPr/>
      </xdr:nvCxnSpPr>
      <xdr:spPr>
        <a:xfrm flipH="1" flipV="1">
          <a:off x="3745231" y="303085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163</xdr:row>
      <xdr:rowOff>127000</xdr:rowOff>
    </xdr:from>
    <xdr:to>
      <xdr:col>5</xdr:col>
      <xdr:colOff>356235</xdr:colOff>
      <xdr:row>163</xdr:row>
      <xdr:rowOff>309880</xdr:rowOff>
    </xdr:to>
    <xdr:cxnSp macro="">
      <xdr:nvCxnSpPr>
        <xdr:cNvPr id="622" name="Straight Connector 621">
          <a:extLst>
            <a:ext uri="{FF2B5EF4-FFF2-40B4-BE49-F238E27FC236}">
              <a16:creationId xmlns:a16="http://schemas.microsoft.com/office/drawing/2014/main" id="{00000000-0008-0000-0600-00006E020000}"/>
            </a:ext>
          </a:extLst>
        </xdr:cNvPr>
        <xdr:cNvCxnSpPr/>
      </xdr:nvCxnSpPr>
      <xdr:spPr>
        <a:xfrm flipH="1" flipV="1">
          <a:off x="3480435" y="29936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163</xdr:row>
      <xdr:rowOff>400050</xdr:rowOff>
    </xdr:from>
    <xdr:to>
      <xdr:col>5</xdr:col>
      <xdr:colOff>1666875</xdr:colOff>
      <xdr:row>163</xdr:row>
      <xdr:rowOff>400050</xdr:rowOff>
    </xdr:to>
    <xdr:cxnSp macro="">
      <xdr:nvCxnSpPr>
        <xdr:cNvPr id="623" name="Straight Connector 622">
          <a:extLst>
            <a:ext uri="{FF2B5EF4-FFF2-40B4-BE49-F238E27FC236}">
              <a16:creationId xmlns:a16="http://schemas.microsoft.com/office/drawing/2014/main" id="{00000000-0008-0000-0600-00006F020000}"/>
            </a:ext>
          </a:extLst>
        </xdr:cNvPr>
        <xdr:cNvCxnSpPr/>
      </xdr:nvCxnSpPr>
      <xdr:spPr>
        <a:xfrm>
          <a:off x="3476625" y="299885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163</xdr:row>
      <xdr:rowOff>127000</xdr:rowOff>
    </xdr:from>
    <xdr:to>
      <xdr:col>5</xdr:col>
      <xdr:colOff>356810</xdr:colOff>
      <xdr:row>163</xdr:row>
      <xdr:rowOff>409912</xdr:rowOff>
    </xdr:to>
    <xdr:cxnSp macro="">
      <xdr:nvCxnSpPr>
        <xdr:cNvPr id="624" name="Straight Connector 623">
          <a:extLst>
            <a:ext uri="{FF2B5EF4-FFF2-40B4-BE49-F238E27FC236}">
              <a16:creationId xmlns:a16="http://schemas.microsoft.com/office/drawing/2014/main" id="{00000000-0008-0000-0600-000070020000}"/>
            </a:ext>
          </a:extLst>
        </xdr:cNvPr>
        <xdr:cNvCxnSpPr/>
      </xdr:nvCxnSpPr>
      <xdr:spPr>
        <a:xfrm flipH="1" flipV="1">
          <a:off x="3481009" y="29936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163</xdr:row>
      <xdr:rowOff>134252</xdr:rowOff>
    </xdr:from>
    <xdr:to>
      <xdr:col>5</xdr:col>
      <xdr:colOff>1652211</xdr:colOff>
      <xdr:row>163</xdr:row>
      <xdr:rowOff>417164</xdr:rowOff>
    </xdr:to>
    <xdr:cxnSp macro="">
      <xdr:nvCxnSpPr>
        <xdr:cNvPr id="625" name="Straight Connector 624">
          <a:extLst>
            <a:ext uri="{FF2B5EF4-FFF2-40B4-BE49-F238E27FC236}">
              <a16:creationId xmlns:a16="http://schemas.microsoft.com/office/drawing/2014/main" id="{00000000-0008-0000-0600-000071020000}"/>
            </a:ext>
          </a:extLst>
        </xdr:cNvPr>
        <xdr:cNvCxnSpPr/>
      </xdr:nvCxnSpPr>
      <xdr:spPr>
        <a:xfrm flipH="1" flipV="1">
          <a:off x="3747710" y="29943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164</xdr:row>
      <xdr:rowOff>127000</xdr:rowOff>
    </xdr:from>
    <xdr:to>
      <xdr:col>5</xdr:col>
      <xdr:colOff>356235</xdr:colOff>
      <xdr:row>164</xdr:row>
      <xdr:rowOff>309880</xdr:rowOff>
    </xdr:to>
    <xdr:cxnSp macro="">
      <xdr:nvCxnSpPr>
        <xdr:cNvPr id="626" name="Straight Connector 625">
          <a:extLst>
            <a:ext uri="{FF2B5EF4-FFF2-40B4-BE49-F238E27FC236}">
              <a16:creationId xmlns:a16="http://schemas.microsoft.com/office/drawing/2014/main" id="{00000000-0008-0000-0600-000072020000}"/>
            </a:ext>
          </a:extLst>
        </xdr:cNvPr>
        <xdr:cNvCxnSpPr/>
      </xdr:nvCxnSpPr>
      <xdr:spPr>
        <a:xfrm flipH="1" flipV="1">
          <a:off x="3480435" y="301193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164</xdr:row>
      <xdr:rowOff>152400</xdr:rowOff>
    </xdr:from>
    <xdr:to>
      <xdr:col>5</xdr:col>
      <xdr:colOff>1676400</xdr:colOff>
      <xdr:row>164</xdr:row>
      <xdr:rowOff>152400</xdr:rowOff>
    </xdr:to>
    <xdr:cxnSp macro="">
      <xdr:nvCxnSpPr>
        <xdr:cNvPr id="627" name="Straight Connector 626">
          <a:extLst>
            <a:ext uri="{FF2B5EF4-FFF2-40B4-BE49-F238E27FC236}">
              <a16:creationId xmlns:a16="http://schemas.microsoft.com/office/drawing/2014/main" id="{00000000-0008-0000-0600-000073020000}"/>
            </a:ext>
          </a:extLst>
        </xdr:cNvPr>
        <xdr:cNvCxnSpPr/>
      </xdr:nvCxnSpPr>
      <xdr:spPr>
        <a:xfrm>
          <a:off x="3486150" y="301447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164</xdr:row>
      <xdr:rowOff>127000</xdr:rowOff>
    </xdr:from>
    <xdr:to>
      <xdr:col>5</xdr:col>
      <xdr:colOff>356810</xdr:colOff>
      <xdr:row>164</xdr:row>
      <xdr:rowOff>409912</xdr:rowOff>
    </xdr:to>
    <xdr:cxnSp macro="">
      <xdr:nvCxnSpPr>
        <xdr:cNvPr id="628" name="Straight Connector 627">
          <a:extLst>
            <a:ext uri="{FF2B5EF4-FFF2-40B4-BE49-F238E27FC236}">
              <a16:creationId xmlns:a16="http://schemas.microsoft.com/office/drawing/2014/main" id="{00000000-0008-0000-0600-000074020000}"/>
            </a:ext>
          </a:extLst>
        </xdr:cNvPr>
        <xdr:cNvCxnSpPr/>
      </xdr:nvCxnSpPr>
      <xdr:spPr>
        <a:xfrm flipH="1" flipV="1">
          <a:off x="3481009" y="301193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164</xdr:row>
      <xdr:rowOff>134252</xdr:rowOff>
    </xdr:from>
    <xdr:to>
      <xdr:col>5</xdr:col>
      <xdr:colOff>1652211</xdr:colOff>
      <xdr:row>164</xdr:row>
      <xdr:rowOff>417164</xdr:rowOff>
    </xdr:to>
    <xdr:cxnSp macro="">
      <xdr:nvCxnSpPr>
        <xdr:cNvPr id="629" name="Straight Connector 628">
          <a:extLst>
            <a:ext uri="{FF2B5EF4-FFF2-40B4-BE49-F238E27FC236}">
              <a16:creationId xmlns:a16="http://schemas.microsoft.com/office/drawing/2014/main" id="{00000000-0008-0000-0600-000075020000}"/>
            </a:ext>
          </a:extLst>
        </xdr:cNvPr>
        <xdr:cNvCxnSpPr/>
      </xdr:nvCxnSpPr>
      <xdr:spPr>
        <a:xfrm flipH="1" flipV="1">
          <a:off x="3747710" y="301265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165</xdr:row>
      <xdr:rowOff>123824</xdr:rowOff>
    </xdr:from>
    <xdr:to>
      <xdr:col>5</xdr:col>
      <xdr:colOff>1428750</xdr:colOff>
      <xdr:row>165</xdr:row>
      <xdr:rowOff>1219199</xdr:rowOff>
    </xdr:to>
    <xdr:sp macro="" textlink="">
      <xdr:nvSpPr>
        <xdr:cNvPr id="630" name="Rounded Rectangle 629">
          <a:extLst>
            <a:ext uri="{FF2B5EF4-FFF2-40B4-BE49-F238E27FC236}">
              <a16:creationId xmlns:a16="http://schemas.microsoft.com/office/drawing/2014/main" id="{00000000-0008-0000-0600-000076020000}"/>
            </a:ext>
          </a:extLst>
        </xdr:cNvPr>
        <xdr:cNvSpPr/>
      </xdr:nvSpPr>
      <xdr:spPr>
        <a:xfrm>
          <a:off x="3745230" y="302990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165</xdr:row>
      <xdr:rowOff>238127</xdr:rowOff>
    </xdr:from>
    <xdr:to>
      <xdr:col>5</xdr:col>
      <xdr:colOff>790575</xdr:colOff>
      <xdr:row>165</xdr:row>
      <xdr:rowOff>361950</xdr:rowOff>
    </xdr:to>
    <xdr:cxnSp macro="">
      <xdr:nvCxnSpPr>
        <xdr:cNvPr id="631" name="Straight Connector 630">
          <a:extLst>
            <a:ext uri="{FF2B5EF4-FFF2-40B4-BE49-F238E27FC236}">
              <a16:creationId xmlns:a16="http://schemas.microsoft.com/office/drawing/2014/main" id="{00000000-0008-0000-0600-000077020000}"/>
            </a:ext>
          </a:extLst>
        </xdr:cNvPr>
        <xdr:cNvCxnSpPr/>
      </xdr:nvCxnSpPr>
      <xdr:spPr>
        <a:xfrm flipH="1" flipV="1">
          <a:off x="3749041" y="303599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165</xdr:row>
      <xdr:rowOff>133352</xdr:rowOff>
    </xdr:from>
    <xdr:to>
      <xdr:col>5</xdr:col>
      <xdr:colOff>885825</xdr:colOff>
      <xdr:row>165</xdr:row>
      <xdr:rowOff>257175</xdr:rowOff>
    </xdr:to>
    <xdr:cxnSp macro="">
      <xdr:nvCxnSpPr>
        <xdr:cNvPr id="632" name="Straight Connector 631">
          <a:extLst>
            <a:ext uri="{FF2B5EF4-FFF2-40B4-BE49-F238E27FC236}">
              <a16:creationId xmlns:a16="http://schemas.microsoft.com/office/drawing/2014/main" id="{00000000-0008-0000-0600-000078020000}"/>
            </a:ext>
          </a:extLst>
        </xdr:cNvPr>
        <xdr:cNvCxnSpPr/>
      </xdr:nvCxnSpPr>
      <xdr:spPr>
        <a:xfrm flipH="1" flipV="1">
          <a:off x="3745231" y="303085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163</xdr:row>
      <xdr:rowOff>127000</xdr:rowOff>
    </xdr:from>
    <xdr:to>
      <xdr:col>5</xdr:col>
      <xdr:colOff>356235</xdr:colOff>
      <xdr:row>163</xdr:row>
      <xdr:rowOff>309880</xdr:rowOff>
    </xdr:to>
    <xdr:cxnSp macro="">
      <xdr:nvCxnSpPr>
        <xdr:cNvPr id="633" name="Straight Connector 632">
          <a:extLst>
            <a:ext uri="{FF2B5EF4-FFF2-40B4-BE49-F238E27FC236}">
              <a16:creationId xmlns:a16="http://schemas.microsoft.com/office/drawing/2014/main" id="{00000000-0008-0000-0600-000079020000}"/>
            </a:ext>
          </a:extLst>
        </xdr:cNvPr>
        <xdr:cNvCxnSpPr/>
      </xdr:nvCxnSpPr>
      <xdr:spPr>
        <a:xfrm flipH="1" flipV="1">
          <a:off x="3480435" y="29936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163</xdr:row>
      <xdr:rowOff>400050</xdr:rowOff>
    </xdr:from>
    <xdr:to>
      <xdr:col>5</xdr:col>
      <xdr:colOff>1666875</xdr:colOff>
      <xdr:row>163</xdr:row>
      <xdr:rowOff>400050</xdr:rowOff>
    </xdr:to>
    <xdr:cxnSp macro="">
      <xdr:nvCxnSpPr>
        <xdr:cNvPr id="634" name="Straight Connector 633">
          <a:extLst>
            <a:ext uri="{FF2B5EF4-FFF2-40B4-BE49-F238E27FC236}">
              <a16:creationId xmlns:a16="http://schemas.microsoft.com/office/drawing/2014/main" id="{00000000-0008-0000-0600-00007A020000}"/>
            </a:ext>
          </a:extLst>
        </xdr:cNvPr>
        <xdr:cNvCxnSpPr/>
      </xdr:nvCxnSpPr>
      <xdr:spPr>
        <a:xfrm>
          <a:off x="3476625" y="299885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163</xdr:row>
      <xdr:rowOff>127000</xdr:rowOff>
    </xdr:from>
    <xdr:to>
      <xdr:col>5</xdr:col>
      <xdr:colOff>356810</xdr:colOff>
      <xdr:row>163</xdr:row>
      <xdr:rowOff>409912</xdr:rowOff>
    </xdr:to>
    <xdr:cxnSp macro="">
      <xdr:nvCxnSpPr>
        <xdr:cNvPr id="635" name="Straight Connector 634">
          <a:extLst>
            <a:ext uri="{FF2B5EF4-FFF2-40B4-BE49-F238E27FC236}">
              <a16:creationId xmlns:a16="http://schemas.microsoft.com/office/drawing/2014/main" id="{00000000-0008-0000-0600-00007B020000}"/>
            </a:ext>
          </a:extLst>
        </xdr:cNvPr>
        <xdr:cNvCxnSpPr/>
      </xdr:nvCxnSpPr>
      <xdr:spPr>
        <a:xfrm flipH="1" flipV="1">
          <a:off x="3481009" y="29936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163</xdr:row>
      <xdr:rowOff>134252</xdr:rowOff>
    </xdr:from>
    <xdr:to>
      <xdr:col>5</xdr:col>
      <xdr:colOff>1652211</xdr:colOff>
      <xdr:row>163</xdr:row>
      <xdr:rowOff>417164</xdr:rowOff>
    </xdr:to>
    <xdr:cxnSp macro="">
      <xdr:nvCxnSpPr>
        <xdr:cNvPr id="636" name="Straight Connector 635">
          <a:extLst>
            <a:ext uri="{FF2B5EF4-FFF2-40B4-BE49-F238E27FC236}">
              <a16:creationId xmlns:a16="http://schemas.microsoft.com/office/drawing/2014/main" id="{00000000-0008-0000-0600-00007C020000}"/>
            </a:ext>
          </a:extLst>
        </xdr:cNvPr>
        <xdr:cNvCxnSpPr/>
      </xdr:nvCxnSpPr>
      <xdr:spPr>
        <a:xfrm flipH="1" flipV="1">
          <a:off x="3747710" y="29943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164</xdr:row>
      <xdr:rowOff>127000</xdr:rowOff>
    </xdr:from>
    <xdr:to>
      <xdr:col>5</xdr:col>
      <xdr:colOff>356235</xdr:colOff>
      <xdr:row>164</xdr:row>
      <xdr:rowOff>309880</xdr:rowOff>
    </xdr:to>
    <xdr:cxnSp macro="">
      <xdr:nvCxnSpPr>
        <xdr:cNvPr id="637" name="Straight Connector 636">
          <a:extLst>
            <a:ext uri="{FF2B5EF4-FFF2-40B4-BE49-F238E27FC236}">
              <a16:creationId xmlns:a16="http://schemas.microsoft.com/office/drawing/2014/main" id="{00000000-0008-0000-0600-00007D020000}"/>
            </a:ext>
          </a:extLst>
        </xdr:cNvPr>
        <xdr:cNvCxnSpPr/>
      </xdr:nvCxnSpPr>
      <xdr:spPr>
        <a:xfrm flipH="1" flipV="1">
          <a:off x="3480435" y="301193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164</xdr:row>
      <xdr:rowOff>152400</xdr:rowOff>
    </xdr:from>
    <xdr:to>
      <xdr:col>5</xdr:col>
      <xdr:colOff>1676400</xdr:colOff>
      <xdr:row>164</xdr:row>
      <xdr:rowOff>152400</xdr:rowOff>
    </xdr:to>
    <xdr:cxnSp macro="">
      <xdr:nvCxnSpPr>
        <xdr:cNvPr id="638" name="Straight Connector 637">
          <a:extLst>
            <a:ext uri="{FF2B5EF4-FFF2-40B4-BE49-F238E27FC236}">
              <a16:creationId xmlns:a16="http://schemas.microsoft.com/office/drawing/2014/main" id="{00000000-0008-0000-0600-00007E020000}"/>
            </a:ext>
          </a:extLst>
        </xdr:cNvPr>
        <xdr:cNvCxnSpPr/>
      </xdr:nvCxnSpPr>
      <xdr:spPr>
        <a:xfrm>
          <a:off x="3486150" y="301447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164</xdr:row>
      <xdr:rowOff>127000</xdr:rowOff>
    </xdr:from>
    <xdr:to>
      <xdr:col>5</xdr:col>
      <xdr:colOff>356810</xdr:colOff>
      <xdr:row>164</xdr:row>
      <xdr:rowOff>409912</xdr:rowOff>
    </xdr:to>
    <xdr:cxnSp macro="">
      <xdr:nvCxnSpPr>
        <xdr:cNvPr id="639" name="Straight Connector 638">
          <a:extLst>
            <a:ext uri="{FF2B5EF4-FFF2-40B4-BE49-F238E27FC236}">
              <a16:creationId xmlns:a16="http://schemas.microsoft.com/office/drawing/2014/main" id="{00000000-0008-0000-0600-00007F020000}"/>
            </a:ext>
          </a:extLst>
        </xdr:cNvPr>
        <xdr:cNvCxnSpPr/>
      </xdr:nvCxnSpPr>
      <xdr:spPr>
        <a:xfrm flipH="1" flipV="1">
          <a:off x="3481009" y="301193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165</xdr:row>
      <xdr:rowOff>123824</xdr:rowOff>
    </xdr:from>
    <xdr:to>
      <xdr:col>5</xdr:col>
      <xdr:colOff>1428750</xdr:colOff>
      <xdr:row>165</xdr:row>
      <xdr:rowOff>1219199</xdr:rowOff>
    </xdr:to>
    <xdr:sp macro="" textlink="">
      <xdr:nvSpPr>
        <xdr:cNvPr id="640" name="Rounded Rectangle 639">
          <a:extLst>
            <a:ext uri="{FF2B5EF4-FFF2-40B4-BE49-F238E27FC236}">
              <a16:creationId xmlns:a16="http://schemas.microsoft.com/office/drawing/2014/main" id="{00000000-0008-0000-0600-000080020000}"/>
            </a:ext>
          </a:extLst>
        </xdr:cNvPr>
        <xdr:cNvSpPr/>
      </xdr:nvSpPr>
      <xdr:spPr>
        <a:xfrm>
          <a:off x="3745230" y="302990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165</xdr:row>
      <xdr:rowOff>238127</xdr:rowOff>
    </xdr:from>
    <xdr:to>
      <xdr:col>5</xdr:col>
      <xdr:colOff>790575</xdr:colOff>
      <xdr:row>165</xdr:row>
      <xdr:rowOff>361950</xdr:rowOff>
    </xdr:to>
    <xdr:cxnSp macro="">
      <xdr:nvCxnSpPr>
        <xdr:cNvPr id="641" name="Straight Connector 640">
          <a:extLst>
            <a:ext uri="{FF2B5EF4-FFF2-40B4-BE49-F238E27FC236}">
              <a16:creationId xmlns:a16="http://schemas.microsoft.com/office/drawing/2014/main" id="{00000000-0008-0000-0600-000081020000}"/>
            </a:ext>
          </a:extLst>
        </xdr:cNvPr>
        <xdr:cNvCxnSpPr/>
      </xdr:nvCxnSpPr>
      <xdr:spPr>
        <a:xfrm flipH="1" flipV="1">
          <a:off x="3749041" y="303599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165</xdr:row>
      <xdr:rowOff>133352</xdr:rowOff>
    </xdr:from>
    <xdr:to>
      <xdr:col>5</xdr:col>
      <xdr:colOff>885825</xdr:colOff>
      <xdr:row>165</xdr:row>
      <xdr:rowOff>257175</xdr:rowOff>
    </xdr:to>
    <xdr:cxnSp macro="">
      <xdr:nvCxnSpPr>
        <xdr:cNvPr id="642" name="Straight Connector 641">
          <a:extLst>
            <a:ext uri="{FF2B5EF4-FFF2-40B4-BE49-F238E27FC236}">
              <a16:creationId xmlns:a16="http://schemas.microsoft.com/office/drawing/2014/main" id="{00000000-0008-0000-0600-000082020000}"/>
            </a:ext>
          </a:extLst>
        </xdr:cNvPr>
        <xdr:cNvCxnSpPr/>
      </xdr:nvCxnSpPr>
      <xdr:spPr>
        <a:xfrm flipH="1" flipV="1">
          <a:off x="3745231" y="303085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169</xdr:row>
      <xdr:rowOff>127000</xdr:rowOff>
    </xdr:from>
    <xdr:to>
      <xdr:col>5</xdr:col>
      <xdr:colOff>356235</xdr:colOff>
      <xdr:row>169</xdr:row>
      <xdr:rowOff>309880</xdr:rowOff>
    </xdr:to>
    <xdr:cxnSp macro="">
      <xdr:nvCxnSpPr>
        <xdr:cNvPr id="643" name="Straight Connector 642">
          <a:extLst>
            <a:ext uri="{FF2B5EF4-FFF2-40B4-BE49-F238E27FC236}">
              <a16:creationId xmlns:a16="http://schemas.microsoft.com/office/drawing/2014/main" id="{00000000-0008-0000-0600-000083020000}"/>
            </a:ext>
          </a:extLst>
        </xdr:cNvPr>
        <xdr:cNvCxnSpPr/>
      </xdr:nvCxnSpPr>
      <xdr:spPr>
        <a:xfrm flipH="1" flipV="1">
          <a:off x="3480435" y="31033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169</xdr:row>
      <xdr:rowOff>400050</xdr:rowOff>
    </xdr:from>
    <xdr:to>
      <xdr:col>5</xdr:col>
      <xdr:colOff>1666875</xdr:colOff>
      <xdr:row>169</xdr:row>
      <xdr:rowOff>400050</xdr:rowOff>
    </xdr:to>
    <xdr:cxnSp macro="">
      <xdr:nvCxnSpPr>
        <xdr:cNvPr id="644" name="Straight Connector 643">
          <a:extLst>
            <a:ext uri="{FF2B5EF4-FFF2-40B4-BE49-F238E27FC236}">
              <a16:creationId xmlns:a16="http://schemas.microsoft.com/office/drawing/2014/main" id="{00000000-0008-0000-0600-000084020000}"/>
            </a:ext>
          </a:extLst>
        </xdr:cNvPr>
        <xdr:cNvCxnSpPr/>
      </xdr:nvCxnSpPr>
      <xdr:spPr>
        <a:xfrm>
          <a:off x="3476625" y="310857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169</xdr:row>
      <xdr:rowOff>127000</xdr:rowOff>
    </xdr:from>
    <xdr:to>
      <xdr:col>5</xdr:col>
      <xdr:colOff>356810</xdr:colOff>
      <xdr:row>169</xdr:row>
      <xdr:rowOff>409912</xdr:rowOff>
    </xdr:to>
    <xdr:cxnSp macro="">
      <xdr:nvCxnSpPr>
        <xdr:cNvPr id="645" name="Straight Connector 644">
          <a:extLst>
            <a:ext uri="{FF2B5EF4-FFF2-40B4-BE49-F238E27FC236}">
              <a16:creationId xmlns:a16="http://schemas.microsoft.com/office/drawing/2014/main" id="{00000000-0008-0000-0600-000085020000}"/>
            </a:ext>
          </a:extLst>
        </xdr:cNvPr>
        <xdr:cNvCxnSpPr/>
      </xdr:nvCxnSpPr>
      <xdr:spPr>
        <a:xfrm flipH="1" flipV="1">
          <a:off x="3481009" y="31033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169</xdr:row>
      <xdr:rowOff>134252</xdr:rowOff>
    </xdr:from>
    <xdr:to>
      <xdr:col>5</xdr:col>
      <xdr:colOff>1652211</xdr:colOff>
      <xdr:row>169</xdr:row>
      <xdr:rowOff>417164</xdr:rowOff>
    </xdr:to>
    <xdr:cxnSp macro="">
      <xdr:nvCxnSpPr>
        <xdr:cNvPr id="646" name="Straight Connector 645">
          <a:extLst>
            <a:ext uri="{FF2B5EF4-FFF2-40B4-BE49-F238E27FC236}">
              <a16:creationId xmlns:a16="http://schemas.microsoft.com/office/drawing/2014/main" id="{00000000-0008-0000-0600-000086020000}"/>
            </a:ext>
          </a:extLst>
        </xdr:cNvPr>
        <xdr:cNvCxnSpPr/>
      </xdr:nvCxnSpPr>
      <xdr:spPr>
        <a:xfrm flipH="1" flipV="1">
          <a:off x="3747710" y="31040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170</xdr:row>
      <xdr:rowOff>127000</xdr:rowOff>
    </xdr:from>
    <xdr:to>
      <xdr:col>5</xdr:col>
      <xdr:colOff>356235</xdr:colOff>
      <xdr:row>170</xdr:row>
      <xdr:rowOff>309880</xdr:rowOff>
    </xdr:to>
    <xdr:cxnSp macro="">
      <xdr:nvCxnSpPr>
        <xdr:cNvPr id="647" name="Straight Connector 646">
          <a:extLst>
            <a:ext uri="{FF2B5EF4-FFF2-40B4-BE49-F238E27FC236}">
              <a16:creationId xmlns:a16="http://schemas.microsoft.com/office/drawing/2014/main" id="{00000000-0008-0000-0600-000087020000}"/>
            </a:ext>
          </a:extLst>
        </xdr:cNvPr>
        <xdr:cNvCxnSpPr/>
      </xdr:nvCxnSpPr>
      <xdr:spPr>
        <a:xfrm flipH="1" flipV="1">
          <a:off x="3480435" y="312166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170</xdr:row>
      <xdr:rowOff>152400</xdr:rowOff>
    </xdr:from>
    <xdr:to>
      <xdr:col>5</xdr:col>
      <xdr:colOff>1676400</xdr:colOff>
      <xdr:row>170</xdr:row>
      <xdr:rowOff>152400</xdr:rowOff>
    </xdr:to>
    <xdr:cxnSp macro="">
      <xdr:nvCxnSpPr>
        <xdr:cNvPr id="648" name="Straight Connector 647">
          <a:extLst>
            <a:ext uri="{FF2B5EF4-FFF2-40B4-BE49-F238E27FC236}">
              <a16:creationId xmlns:a16="http://schemas.microsoft.com/office/drawing/2014/main" id="{00000000-0008-0000-0600-000088020000}"/>
            </a:ext>
          </a:extLst>
        </xdr:cNvPr>
        <xdr:cNvCxnSpPr/>
      </xdr:nvCxnSpPr>
      <xdr:spPr>
        <a:xfrm>
          <a:off x="3486150" y="312420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170</xdr:row>
      <xdr:rowOff>127000</xdr:rowOff>
    </xdr:from>
    <xdr:to>
      <xdr:col>5</xdr:col>
      <xdr:colOff>356810</xdr:colOff>
      <xdr:row>170</xdr:row>
      <xdr:rowOff>409912</xdr:rowOff>
    </xdr:to>
    <xdr:cxnSp macro="">
      <xdr:nvCxnSpPr>
        <xdr:cNvPr id="649" name="Straight Connector 648">
          <a:extLst>
            <a:ext uri="{FF2B5EF4-FFF2-40B4-BE49-F238E27FC236}">
              <a16:creationId xmlns:a16="http://schemas.microsoft.com/office/drawing/2014/main" id="{00000000-0008-0000-0600-000089020000}"/>
            </a:ext>
          </a:extLst>
        </xdr:cNvPr>
        <xdr:cNvCxnSpPr/>
      </xdr:nvCxnSpPr>
      <xdr:spPr>
        <a:xfrm flipH="1" flipV="1">
          <a:off x="3481009" y="312166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170</xdr:row>
      <xdr:rowOff>134252</xdr:rowOff>
    </xdr:from>
    <xdr:to>
      <xdr:col>5</xdr:col>
      <xdr:colOff>1652211</xdr:colOff>
      <xdr:row>170</xdr:row>
      <xdr:rowOff>417164</xdr:rowOff>
    </xdr:to>
    <xdr:cxnSp macro="">
      <xdr:nvCxnSpPr>
        <xdr:cNvPr id="650" name="Straight Connector 649">
          <a:extLst>
            <a:ext uri="{FF2B5EF4-FFF2-40B4-BE49-F238E27FC236}">
              <a16:creationId xmlns:a16="http://schemas.microsoft.com/office/drawing/2014/main" id="{00000000-0008-0000-0600-00008A020000}"/>
            </a:ext>
          </a:extLst>
        </xdr:cNvPr>
        <xdr:cNvCxnSpPr/>
      </xdr:nvCxnSpPr>
      <xdr:spPr>
        <a:xfrm flipH="1" flipV="1">
          <a:off x="3747710" y="312238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171</xdr:row>
      <xdr:rowOff>123824</xdr:rowOff>
    </xdr:from>
    <xdr:to>
      <xdr:col>5</xdr:col>
      <xdr:colOff>1428750</xdr:colOff>
      <xdr:row>171</xdr:row>
      <xdr:rowOff>1219199</xdr:rowOff>
    </xdr:to>
    <xdr:sp macro="" textlink="">
      <xdr:nvSpPr>
        <xdr:cNvPr id="651" name="Rounded Rectangle 650">
          <a:extLst>
            <a:ext uri="{FF2B5EF4-FFF2-40B4-BE49-F238E27FC236}">
              <a16:creationId xmlns:a16="http://schemas.microsoft.com/office/drawing/2014/main" id="{00000000-0008-0000-0600-00008B020000}"/>
            </a:ext>
          </a:extLst>
        </xdr:cNvPr>
        <xdr:cNvSpPr/>
      </xdr:nvSpPr>
      <xdr:spPr>
        <a:xfrm>
          <a:off x="3745230" y="313963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171</xdr:row>
      <xdr:rowOff>238127</xdr:rowOff>
    </xdr:from>
    <xdr:to>
      <xdr:col>5</xdr:col>
      <xdr:colOff>790575</xdr:colOff>
      <xdr:row>171</xdr:row>
      <xdr:rowOff>361950</xdr:rowOff>
    </xdr:to>
    <xdr:cxnSp macro="">
      <xdr:nvCxnSpPr>
        <xdr:cNvPr id="652" name="Straight Connector 651">
          <a:extLst>
            <a:ext uri="{FF2B5EF4-FFF2-40B4-BE49-F238E27FC236}">
              <a16:creationId xmlns:a16="http://schemas.microsoft.com/office/drawing/2014/main" id="{00000000-0008-0000-0600-00008C020000}"/>
            </a:ext>
          </a:extLst>
        </xdr:cNvPr>
        <xdr:cNvCxnSpPr/>
      </xdr:nvCxnSpPr>
      <xdr:spPr>
        <a:xfrm flipH="1" flipV="1">
          <a:off x="3749041" y="314572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171</xdr:row>
      <xdr:rowOff>133352</xdr:rowOff>
    </xdr:from>
    <xdr:to>
      <xdr:col>5</xdr:col>
      <xdr:colOff>885825</xdr:colOff>
      <xdr:row>171</xdr:row>
      <xdr:rowOff>257175</xdr:rowOff>
    </xdr:to>
    <xdr:cxnSp macro="">
      <xdr:nvCxnSpPr>
        <xdr:cNvPr id="653" name="Straight Connector 652">
          <a:extLst>
            <a:ext uri="{FF2B5EF4-FFF2-40B4-BE49-F238E27FC236}">
              <a16:creationId xmlns:a16="http://schemas.microsoft.com/office/drawing/2014/main" id="{00000000-0008-0000-0600-00008D020000}"/>
            </a:ext>
          </a:extLst>
        </xdr:cNvPr>
        <xdr:cNvCxnSpPr/>
      </xdr:nvCxnSpPr>
      <xdr:spPr>
        <a:xfrm flipH="1" flipV="1">
          <a:off x="3745231" y="314058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169</xdr:row>
      <xdr:rowOff>127000</xdr:rowOff>
    </xdr:from>
    <xdr:to>
      <xdr:col>5</xdr:col>
      <xdr:colOff>356235</xdr:colOff>
      <xdr:row>169</xdr:row>
      <xdr:rowOff>309880</xdr:rowOff>
    </xdr:to>
    <xdr:cxnSp macro="">
      <xdr:nvCxnSpPr>
        <xdr:cNvPr id="654" name="Straight Connector 653">
          <a:extLst>
            <a:ext uri="{FF2B5EF4-FFF2-40B4-BE49-F238E27FC236}">
              <a16:creationId xmlns:a16="http://schemas.microsoft.com/office/drawing/2014/main" id="{00000000-0008-0000-0600-00008E020000}"/>
            </a:ext>
          </a:extLst>
        </xdr:cNvPr>
        <xdr:cNvCxnSpPr/>
      </xdr:nvCxnSpPr>
      <xdr:spPr>
        <a:xfrm flipH="1" flipV="1">
          <a:off x="3480435" y="31033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169</xdr:row>
      <xdr:rowOff>400050</xdr:rowOff>
    </xdr:from>
    <xdr:to>
      <xdr:col>5</xdr:col>
      <xdr:colOff>1666875</xdr:colOff>
      <xdr:row>169</xdr:row>
      <xdr:rowOff>400050</xdr:rowOff>
    </xdr:to>
    <xdr:cxnSp macro="">
      <xdr:nvCxnSpPr>
        <xdr:cNvPr id="655" name="Straight Connector 654">
          <a:extLst>
            <a:ext uri="{FF2B5EF4-FFF2-40B4-BE49-F238E27FC236}">
              <a16:creationId xmlns:a16="http://schemas.microsoft.com/office/drawing/2014/main" id="{00000000-0008-0000-0600-00008F020000}"/>
            </a:ext>
          </a:extLst>
        </xdr:cNvPr>
        <xdr:cNvCxnSpPr/>
      </xdr:nvCxnSpPr>
      <xdr:spPr>
        <a:xfrm>
          <a:off x="3476625" y="310857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169</xdr:row>
      <xdr:rowOff>127000</xdr:rowOff>
    </xdr:from>
    <xdr:to>
      <xdr:col>5</xdr:col>
      <xdr:colOff>356810</xdr:colOff>
      <xdr:row>169</xdr:row>
      <xdr:rowOff>409912</xdr:rowOff>
    </xdr:to>
    <xdr:cxnSp macro="">
      <xdr:nvCxnSpPr>
        <xdr:cNvPr id="656" name="Straight Connector 655">
          <a:extLst>
            <a:ext uri="{FF2B5EF4-FFF2-40B4-BE49-F238E27FC236}">
              <a16:creationId xmlns:a16="http://schemas.microsoft.com/office/drawing/2014/main" id="{00000000-0008-0000-0600-000090020000}"/>
            </a:ext>
          </a:extLst>
        </xdr:cNvPr>
        <xdr:cNvCxnSpPr/>
      </xdr:nvCxnSpPr>
      <xdr:spPr>
        <a:xfrm flipH="1" flipV="1">
          <a:off x="3481009" y="31033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169</xdr:row>
      <xdr:rowOff>134252</xdr:rowOff>
    </xdr:from>
    <xdr:to>
      <xdr:col>5</xdr:col>
      <xdr:colOff>1652211</xdr:colOff>
      <xdr:row>169</xdr:row>
      <xdr:rowOff>417164</xdr:rowOff>
    </xdr:to>
    <xdr:cxnSp macro="">
      <xdr:nvCxnSpPr>
        <xdr:cNvPr id="657" name="Straight Connector 656">
          <a:extLst>
            <a:ext uri="{FF2B5EF4-FFF2-40B4-BE49-F238E27FC236}">
              <a16:creationId xmlns:a16="http://schemas.microsoft.com/office/drawing/2014/main" id="{00000000-0008-0000-0600-000091020000}"/>
            </a:ext>
          </a:extLst>
        </xdr:cNvPr>
        <xdr:cNvCxnSpPr/>
      </xdr:nvCxnSpPr>
      <xdr:spPr>
        <a:xfrm flipH="1" flipV="1">
          <a:off x="3747710" y="31040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170</xdr:row>
      <xdr:rowOff>127000</xdr:rowOff>
    </xdr:from>
    <xdr:to>
      <xdr:col>5</xdr:col>
      <xdr:colOff>356235</xdr:colOff>
      <xdr:row>170</xdr:row>
      <xdr:rowOff>309880</xdr:rowOff>
    </xdr:to>
    <xdr:cxnSp macro="">
      <xdr:nvCxnSpPr>
        <xdr:cNvPr id="658" name="Straight Connector 657">
          <a:extLst>
            <a:ext uri="{FF2B5EF4-FFF2-40B4-BE49-F238E27FC236}">
              <a16:creationId xmlns:a16="http://schemas.microsoft.com/office/drawing/2014/main" id="{00000000-0008-0000-0600-000092020000}"/>
            </a:ext>
          </a:extLst>
        </xdr:cNvPr>
        <xdr:cNvCxnSpPr/>
      </xdr:nvCxnSpPr>
      <xdr:spPr>
        <a:xfrm flipH="1" flipV="1">
          <a:off x="3480435" y="312166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170</xdr:row>
      <xdr:rowOff>152400</xdr:rowOff>
    </xdr:from>
    <xdr:to>
      <xdr:col>5</xdr:col>
      <xdr:colOff>1676400</xdr:colOff>
      <xdr:row>170</xdr:row>
      <xdr:rowOff>152400</xdr:rowOff>
    </xdr:to>
    <xdr:cxnSp macro="">
      <xdr:nvCxnSpPr>
        <xdr:cNvPr id="659" name="Straight Connector 658">
          <a:extLst>
            <a:ext uri="{FF2B5EF4-FFF2-40B4-BE49-F238E27FC236}">
              <a16:creationId xmlns:a16="http://schemas.microsoft.com/office/drawing/2014/main" id="{00000000-0008-0000-0600-000093020000}"/>
            </a:ext>
          </a:extLst>
        </xdr:cNvPr>
        <xdr:cNvCxnSpPr/>
      </xdr:nvCxnSpPr>
      <xdr:spPr>
        <a:xfrm>
          <a:off x="3486150" y="312420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170</xdr:row>
      <xdr:rowOff>127000</xdr:rowOff>
    </xdr:from>
    <xdr:to>
      <xdr:col>5</xdr:col>
      <xdr:colOff>356810</xdr:colOff>
      <xdr:row>170</xdr:row>
      <xdr:rowOff>409912</xdr:rowOff>
    </xdr:to>
    <xdr:cxnSp macro="">
      <xdr:nvCxnSpPr>
        <xdr:cNvPr id="660" name="Straight Connector 659">
          <a:extLst>
            <a:ext uri="{FF2B5EF4-FFF2-40B4-BE49-F238E27FC236}">
              <a16:creationId xmlns:a16="http://schemas.microsoft.com/office/drawing/2014/main" id="{00000000-0008-0000-0600-000094020000}"/>
            </a:ext>
          </a:extLst>
        </xdr:cNvPr>
        <xdr:cNvCxnSpPr/>
      </xdr:nvCxnSpPr>
      <xdr:spPr>
        <a:xfrm flipH="1" flipV="1">
          <a:off x="3481009" y="312166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170</xdr:row>
      <xdr:rowOff>134252</xdr:rowOff>
    </xdr:from>
    <xdr:to>
      <xdr:col>5</xdr:col>
      <xdr:colOff>1652211</xdr:colOff>
      <xdr:row>170</xdr:row>
      <xdr:rowOff>417164</xdr:rowOff>
    </xdr:to>
    <xdr:cxnSp macro="">
      <xdr:nvCxnSpPr>
        <xdr:cNvPr id="661" name="Straight Connector 660">
          <a:extLst>
            <a:ext uri="{FF2B5EF4-FFF2-40B4-BE49-F238E27FC236}">
              <a16:creationId xmlns:a16="http://schemas.microsoft.com/office/drawing/2014/main" id="{00000000-0008-0000-0600-000095020000}"/>
            </a:ext>
          </a:extLst>
        </xdr:cNvPr>
        <xdr:cNvCxnSpPr/>
      </xdr:nvCxnSpPr>
      <xdr:spPr>
        <a:xfrm flipH="1" flipV="1">
          <a:off x="3747710" y="312238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171</xdr:row>
      <xdr:rowOff>123824</xdr:rowOff>
    </xdr:from>
    <xdr:to>
      <xdr:col>5</xdr:col>
      <xdr:colOff>1428750</xdr:colOff>
      <xdr:row>171</xdr:row>
      <xdr:rowOff>1219199</xdr:rowOff>
    </xdr:to>
    <xdr:sp macro="" textlink="">
      <xdr:nvSpPr>
        <xdr:cNvPr id="662" name="Rounded Rectangle 661">
          <a:extLst>
            <a:ext uri="{FF2B5EF4-FFF2-40B4-BE49-F238E27FC236}">
              <a16:creationId xmlns:a16="http://schemas.microsoft.com/office/drawing/2014/main" id="{00000000-0008-0000-0600-000096020000}"/>
            </a:ext>
          </a:extLst>
        </xdr:cNvPr>
        <xdr:cNvSpPr/>
      </xdr:nvSpPr>
      <xdr:spPr>
        <a:xfrm>
          <a:off x="3745230" y="313963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171</xdr:row>
      <xdr:rowOff>238127</xdr:rowOff>
    </xdr:from>
    <xdr:to>
      <xdr:col>5</xdr:col>
      <xdr:colOff>790575</xdr:colOff>
      <xdr:row>171</xdr:row>
      <xdr:rowOff>361950</xdr:rowOff>
    </xdr:to>
    <xdr:cxnSp macro="">
      <xdr:nvCxnSpPr>
        <xdr:cNvPr id="663" name="Straight Connector 662">
          <a:extLst>
            <a:ext uri="{FF2B5EF4-FFF2-40B4-BE49-F238E27FC236}">
              <a16:creationId xmlns:a16="http://schemas.microsoft.com/office/drawing/2014/main" id="{00000000-0008-0000-0600-000097020000}"/>
            </a:ext>
          </a:extLst>
        </xdr:cNvPr>
        <xdr:cNvCxnSpPr/>
      </xdr:nvCxnSpPr>
      <xdr:spPr>
        <a:xfrm flipH="1" flipV="1">
          <a:off x="3749041" y="314572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171</xdr:row>
      <xdr:rowOff>133352</xdr:rowOff>
    </xdr:from>
    <xdr:to>
      <xdr:col>5</xdr:col>
      <xdr:colOff>885825</xdr:colOff>
      <xdr:row>171</xdr:row>
      <xdr:rowOff>257175</xdr:rowOff>
    </xdr:to>
    <xdr:cxnSp macro="">
      <xdr:nvCxnSpPr>
        <xdr:cNvPr id="664" name="Straight Connector 663">
          <a:extLst>
            <a:ext uri="{FF2B5EF4-FFF2-40B4-BE49-F238E27FC236}">
              <a16:creationId xmlns:a16="http://schemas.microsoft.com/office/drawing/2014/main" id="{00000000-0008-0000-0600-000098020000}"/>
            </a:ext>
          </a:extLst>
        </xdr:cNvPr>
        <xdr:cNvCxnSpPr/>
      </xdr:nvCxnSpPr>
      <xdr:spPr>
        <a:xfrm flipH="1" flipV="1">
          <a:off x="3745231" y="314058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169</xdr:row>
      <xdr:rowOff>127000</xdr:rowOff>
    </xdr:from>
    <xdr:to>
      <xdr:col>5</xdr:col>
      <xdr:colOff>356235</xdr:colOff>
      <xdr:row>169</xdr:row>
      <xdr:rowOff>309880</xdr:rowOff>
    </xdr:to>
    <xdr:cxnSp macro="">
      <xdr:nvCxnSpPr>
        <xdr:cNvPr id="665" name="Straight Connector 664">
          <a:extLst>
            <a:ext uri="{FF2B5EF4-FFF2-40B4-BE49-F238E27FC236}">
              <a16:creationId xmlns:a16="http://schemas.microsoft.com/office/drawing/2014/main" id="{00000000-0008-0000-0600-000099020000}"/>
            </a:ext>
          </a:extLst>
        </xdr:cNvPr>
        <xdr:cNvCxnSpPr/>
      </xdr:nvCxnSpPr>
      <xdr:spPr>
        <a:xfrm flipH="1" flipV="1">
          <a:off x="3480435" y="31033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169</xdr:row>
      <xdr:rowOff>400050</xdr:rowOff>
    </xdr:from>
    <xdr:to>
      <xdr:col>5</xdr:col>
      <xdr:colOff>1666875</xdr:colOff>
      <xdr:row>169</xdr:row>
      <xdr:rowOff>400050</xdr:rowOff>
    </xdr:to>
    <xdr:cxnSp macro="">
      <xdr:nvCxnSpPr>
        <xdr:cNvPr id="666" name="Straight Connector 665">
          <a:extLst>
            <a:ext uri="{FF2B5EF4-FFF2-40B4-BE49-F238E27FC236}">
              <a16:creationId xmlns:a16="http://schemas.microsoft.com/office/drawing/2014/main" id="{00000000-0008-0000-0600-00009A020000}"/>
            </a:ext>
          </a:extLst>
        </xdr:cNvPr>
        <xdr:cNvCxnSpPr/>
      </xdr:nvCxnSpPr>
      <xdr:spPr>
        <a:xfrm>
          <a:off x="3476625" y="310857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169</xdr:row>
      <xdr:rowOff>127000</xdr:rowOff>
    </xdr:from>
    <xdr:to>
      <xdr:col>5</xdr:col>
      <xdr:colOff>356810</xdr:colOff>
      <xdr:row>169</xdr:row>
      <xdr:rowOff>409912</xdr:rowOff>
    </xdr:to>
    <xdr:cxnSp macro="">
      <xdr:nvCxnSpPr>
        <xdr:cNvPr id="667" name="Straight Connector 666">
          <a:extLst>
            <a:ext uri="{FF2B5EF4-FFF2-40B4-BE49-F238E27FC236}">
              <a16:creationId xmlns:a16="http://schemas.microsoft.com/office/drawing/2014/main" id="{00000000-0008-0000-0600-00009B020000}"/>
            </a:ext>
          </a:extLst>
        </xdr:cNvPr>
        <xdr:cNvCxnSpPr/>
      </xdr:nvCxnSpPr>
      <xdr:spPr>
        <a:xfrm flipH="1" flipV="1">
          <a:off x="3481009" y="31033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169</xdr:row>
      <xdr:rowOff>134252</xdr:rowOff>
    </xdr:from>
    <xdr:to>
      <xdr:col>5</xdr:col>
      <xdr:colOff>1652211</xdr:colOff>
      <xdr:row>169</xdr:row>
      <xdr:rowOff>417164</xdr:rowOff>
    </xdr:to>
    <xdr:cxnSp macro="">
      <xdr:nvCxnSpPr>
        <xdr:cNvPr id="668" name="Straight Connector 667">
          <a:extLst>
            <a:ext uri="{FF2B5EF4-FFF2-40B4-BE49-F238E27FC236}">
              <a16:creationId xmlns:a16="http://schemas.microsoft.com/office/drawing/2014/main" id="{00000000-0008-0000-0600-00009C020000}"/>
            </a:ext>
          </a:extLst>
        </xdr:cNvPr>
        <xdr:cNvCxnSpPr/>
      </xdr:nvCxnSpPr>
      <xdr:spPr>
        <a:xfrm flipH="1" flipV="1">
          <a:off x="3747710" y="31040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170</xdr:row>
      <xdr:rowOff>127000</xdr:rowOff>
    </xdr:from>
    <xdr:to>
      <xdr:col>5</xdr:col>
      <xdr:colOff>356235</xdr:colOff>
      <xdr:row>170</xdr:row>
      <xdr:rowOff>309880</xdr:rowOff>
    </xdr:to>
    <xdr:cxnSp macro="">
      <xdr:nvCxnSpPr>
        <xdr:cNvPr id="669" name="Straight Connector 668">
          <a:extLst>
            <a:ext uri="{FF2B5EF4-FFF2-40B4-BE49-F238E27FC236}">
              <a16:creationId xmlns:a16="http://schemas.microsoft.com/office/drawing/2014/main" id="{00000000-0008-0000-0600-00009D020000}"/>
            </a:ext>
          </a:extLst>
        </xdr:cNvPr>
        <xdr:cNvCxnSpPr/>
      </xdr:nvCxnSpPr>
      <xdr:spPr>
        <a:xfrm flipH="1" flipV="1">
          <a:off x="3480435" y="312166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170</xdr:row>
      <xdr:rowOff>152400</xdr:rowOff>
    </xdr:from>
    <xdr:to>
      <xdr:col>5</xdr:col>
      <xdr:colOff>1676400</xdr:colOff>
      <xdr:row>170</xdr:row>
      <xdr:rowOff>152400</xdr:rowOff>
    </xdr:to>
    <xdr:cxnSp macro="">
      <xdr:nvCxnSpPr>
        <xdr:cNvPr id="670" name="Straight Connector 669">
          <a:extLst>
            <a:ext uri="{FF2B5EF4-FFF2-40B4-BE49-F238E27FC236}">
              <a16:creationId xmlns:a16="http://schemas.microsoft.com/office/drawing/2014/main" id="{00000000-0008-0000-0600-00009E020000}"/>
            </a:ext>
          </a:extLst>
        </xdr:cNvPr>
        <xdr:cNvCxnSpPr/>
      </xdr:nvCxnSpPr>
      <xdr:spPr>
        <a:xfrm>
          <a:off x="3486150" y="312420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170</xdr:row>
      <xdr:rowOff>127000</xdr:rowOff>
    </xdr:from>
    <xdr:to>
      <xdr:col>5</xdr:col>
      <xdr:colOff>356810</xdr:colOff>
      <xdr:row>170</xdr:row>
      <xdr:rowOff>409912</xdr:rowOff>
    </xdr:to>
    <xdr:cxnSp macro="">
      <xdr:nvCxnSpPr>
        <xdr:cNvPr id="671" name="Straight Connector 670">
          <a:extLst>
            <a:ext uri="{FF2B5EF4-FFF2-40B4-BE49-F238E27FC236}">
              <a16:creationId xmlns:a16="http://schemas.microsoft.com/office/drawing/2014/main" id="{00000000-0008-0000-0600-00009F020000}"/>
            </a:ext>
          </a:extLst>
        </xdr:cNvPr>
        <xdr:cNvCxnSpPr/>
      </xdr:nvCxnSpPr>
      <xdr:spPr>
        <a:xfrm flipH="1" flipV="1">
          <a:off x="3481009" y="312166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170</xdr:row>
      <xdr:rowOff>134252</xdr:rowOff>
    </xdr:from>
    <xdr:to>
      <xdr:col>5</xdr:col>
      <xdr:colOff>1652211</xdr:colOff>
      <xdr:row>170</xdr:row>
      <xdr:rowOff>417164</xdr:rowOff>
    </xdr:to>
    <xdr:cxnSp macro="">
      <xdr:nvCxnSpPr>
        <xdr:cNvPr id="672" name="Straight Connector 671">
          <a:extLst>
            <a:ext uri="{FF2B5EF4-FFF2-40B4-BE49-F238E27FC236}">
              <a16:creationId xmlns:a16="http://schemas.microsoft.com/office/drawing/2014/main" id="{00000000-0008-0000-0600-0000A0020000}"/>
            </a:ext>
          </a:extLst>
        </xdr:cNvPr>
        <xdr:cNvCxnSpPr/>
      </xdr:nvCxnSpPr>
      <xdr:spPr>
        <a:xfrm flipH="1" flipV="1">
          <a:off x="3747710" y="312238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171</xdr:row>
      <xdr:rowOff>123824</xdr:rowOff>
    </xdr:from>
    <xdr:to>
      <xdr:col>5</xdr:col>
      <xdr:colOff>1428750</xdr:colOff>
      <xdr:row>171</xdr:row>
      <xdr:rowOff>1219199</xdr:rowOff>
    </xdr:to>
    <xdr:sp macro="" textlink="">
      <xdr:nvSpPr>
        <xdr:cNvPr id="673" name="Rounded Rectangle 672">
          <a:extLst>
            <a:ext uri="{FF2B5EF4-FFF2-40B4-BE49-F238E27FC236}">
              <a16:creationId xmlns:a16="http://schemas.microsoft.com/office/drawing/2014/main" id="{00000000-0008-0000-0600-0000A1020000}"/>
            </a:ext>
          </a:extLst>
        </xdr:cNvPr>
        <xdr:cNvSpPr/>
      </xdr:nvSpPr>
      <xdr:spPr>
        <a:xfrm>
          <a:off x="3745230" y="313963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171</xdr:row>
      <xdr:rowOff>238127</xdr:rowOff>
    </xdr:from>
    <xdr:to>
      <xdr:col>5</xdr:col>
      <xdr:colOff>790575</xdr:colOff>
      <xdr:row>171</xdr:row>
      <xdr:rowOff>361950</xdr:rowOff>
    </xdr:to>
    <xdr:cxnSp macro="">
      <xdr:nvCxnSpPr>
        <xdr:cNvPr id="674" name="Straight Connector 673">
          <a:extLst>
            <a:ext uri="{FF2B5EF4-FFF2-40B4-BE49-F238E27FC236}">
              <a16:creationId xmlns:a16="http://schemas.microsoft.com/office/drawing/2014/main" id="{00000000-0008-0000-0600-0000A2020000}"/>
            </a:ext>
          </a:extLst>
        </xdr:cNvPr>
        <xdr:cNvCxnSpPr/>
      </xdr:nvCxnSpPr>
      <xdr:spPr>
        <a:xfrm flipH="1" flipV="1">
          <a:off x="3749041" y="314572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171</xdr:row>
      <xdr:rowOff>133352</xdr:rowOff>
    </xdr:from>
    <xdr:to>
      <xdr:col>5</xdr:col>
      <xdr:colOff>885825</xdr:colOff>
      <xdr:row>171</xdr:row>
      <xdr:rowOff>257175</xdr:rowOff>
    </xdr:to>
    <xdr:cxnSp macro="">
      <xdr:nvCxnSpPr>
        <xdr:cNvPr id="675" name="Straight Connector 674">
          <a:extLst>
            <a:ext uri="{FF2B5EF4-FFF2-40B4-BE49-F238E27FC236}">
              <a16:creationId xmlns:a16="http://schemas.microsoft.com/office/drawing/2014/main" id="{00000000-0008-0000-0600-0000A3020000}"/>
            </a:ext>
          </a:extLst>
        </xdr:cNvPr>
        <xdr:cNvCxnSpPr/>
      </xdr:nvCxnSpPr>
      <xdr:spPr>
        <a:xfrm flipH="1" flipV="1">
          <a:off x="3745231" y="314058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169</xdr:row>
      <xdr:rowOff>127000</xdr:rowOff>
    </xdr:from>
    <xdr:to>
      <xdr:col>5</xdr:col>
      <xdr:colOff>356235</xdr:colOff>
      <xdr:row>169</xdr:row>
      <xdr:rowOff>309880</xdr:rowOff>
    </xdr:to>
    <xdr:cxnSp macro="">
      <xdr:nvCxnSpPr>
        <xdr:cNvPr id="676" name="Straight Connector 675">
          <a:extLst>
            <a:ext uri="{FF2B5EF4-FFF2-40B4-BE49-F238E27FC236}">
              <a16:creationId xmlns:a16="http://schemas.microsoft.com/office/drawing/2014/main" id="{00000000-0008-0000-0600-0000A4020000}"/>
            </a:ext>
          </a:extLst>
        </xdr:cNvPr>
        <xdr:cNvCxnSpPr/>
      </xdr:nvCxnSpPr>
      <xdr:spPr>
        <a:xfrm flipH="1" flipV="1">
          <a:off x="3480435" y="31033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169</xdr:row>
      <xdr:rowOff>400050</xdr:rowOff>
    </xdr:from>
    <xdr:to>
      <xdr:col>5</xdr:col>
      <xdr:colOff>1666875</xdr:colOff>
      <xdr:row>169</xdr:row>
      <xdr:rowOff>400050</xdr:rowOff>
    </xdr:to>
    <xdr:cxnSp macro="">
      <xdr:nvCxnSpPr>
        <xdr:cNvPr id="677" name="Straight Connector 676">
          <a:extLst>
            <a:ext uri="{FF2B5EF4-FFF2-40B4-BE49-F238E27FC236}">
              <a16:creationId xmlns:a16="http://schemas.microsoft.com/office/drawing/2014/main" id="{00000000-0008-0000-0600-0000A5020000}"/>
            </a:ext>
          </a:extLst>
        </xdr:cNvPr>
        <xdr:cNvCxnSpPr/>
      </xdr:nvCxnSpPr>
      <xdr:spPr>
        <a:xfrm>
          <a:off x="3476625" y="310857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169</xdr:row>
      <xdr:rowOff>127000</xdr:rowOff>
    </xdr:from>
    <xdr:to>
      <xdr:col>5</xdr:col>
      <xdr:colOff>356810</xdr:colOff>
      <xdr:row>169</xdr:row>
      <xdr:rowOff>409912</xdr:rowOff>
    </xdr:to>
    <xdr:cxnSp macro="">
      <xdr:nvCxnSpPr>
        <xdr:cNvPr id="678" name="Straight Connector 677">
          <a:extLst>
            <a:ext uri="{FF2B5EF4-FFF2-40B4-BE49-F238E27FC236}">
              <a16:creationId xmlns:a16="http://schemas.microsoft.com/office/drawing/2014/main" id="{00000000-0008-0000-0600-0000A6020000}"/>
            </a:ext>
          </a:extLst>
        </xdr:cNvPr>
        <xdr:cNvCxnSpPr/>
      </xdr:nvCxnSpPr>
      <xdr:spPr>
        <a:xfrm flipH="1" flipV="1">
          <a:off x="3481009" y="31033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169</xdr:row>
      <xdr:rowOff>134252</xdr:rowOff>
    </xdr:from>
    <xdr:to>
      <xdr:col>5</xdr:col>
      <xdr:colOff>1652211</xdr:colOff>
      <xdr:row>169</xdr:row>
      <xdr:rowOff>417164</xdr:rowOff>
    </xdr:to>
    <xdr:cxnSp macro="">
      <xdr:nvCxnSpPr>
        <xdr:cNvPr id="679" name="Straight Connector 678">
          <a:extLst>
            <a:ext uri="{FF2B5EF4-FFF2-40B4-BE49-F238E27FC236}">
              <a16:creationId xmlns:a16="http://schemas.microsoft.com/office/drawing/2014/main" id="{00000000-0008-0000-0600-0000A7020000}"/>
            </a:ext>
          </a:extLst>
        </xdr:cNvPr>
        <xdr:cNvCxnSpPr/>
      </xdr:nvCxnSpPr>
      <xdr:spPr>
        <a:xfrm flipH="1" flipV="1">
          <a:off x="3747710" y="31040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170</xdr:row>
      <xdr:rowOff>127000</xdr:rowOff>
    </xdr:from>
    <xdr:to>
      <xdr:col>5</xdr:col>
      <xdr:colOff>356235</xdr:colOff>
      <xdr:row>170</xdr:row>
      <xdr:rowOff>309880</xdr:rowOff>
    </xdr:to>
    <xdr:cxnSp macro="">
      <xdr:nvCxnSpPr>
        <xdr:cNvPr id="680" name="Straight Connector 679">
          <a:extLst>
            <a:ext uri="{FF2B5EF4-FFF2-40B4-BE49-F238E27FC236}">
              <a16:creationId xmlns:a16="http://schemas.microsoft.com/office/drawing/2014/main" id="{00000000-0008-0000-0600-0000A8020000}"/>
            </a:ext>
          </a:extLst>
        </xdr:cNvPr>
        <xdr:cNvCxnSpPr/>
      </xdr:nvCxnSpPr>
      <xdr:spPr>
        <a:xfrm flipH="1" flipV="1">
          <a:off x="3480435" y="312166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170</xdr:row>
      <xdr:rowOff>152400</xdr:rowOff>
    </xdr:from>
    <xdr:to>
      <xdr:col>5</xdr:col>
      <xdr:colOff>1676400</xdr:colOff>
      <xdr:row>170</xdr:row>
      <xdr:rowOff>152400</xdr:rowOff>
    </xdr:to>
    <xdr:cxnSp macro="">
      <xdr:nvCxnSpPr>
        <xdr:cNvPr id="681" name="Straight Connector 680">
          <a:extLst>
            <a:ext uri="{FF2B5EF4-FFF2-40B4-BE49-F238E27FC236}">
              <a16:creationId xmlns:a16="http://schemas.microsoft.com/office/drawing/2014/main" id="{00000000-0008-0000-0600-0000A9020000}"/>
            </a:ext>
          </a:extLst>
        </xdr:cNvPr>
        <xdr:cNvCxnSpPr/>
      </xdr:nvCxnSpPr>
      <xdr:spPr>
        <a:xfrm>
          <a:off x="3486150" y="312420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170</xdr:row>
      <xdr:rowOff>127000</xdr:rowOff>
    </xdr:from>
    <xdr:to>
      <xdr:col>5</xdr:col>
      <xdr:colOff>356810</xdr:colOff>
      <xdr:row>170</xdr:row>
      <xdr:rowOff>409912</xdr:rowOff>
    </xdr:to>
    <xdr:cxnSp macro="">
      <xdr:nvCxnSpPr>
        <xdr:cNvPr id="682" name="Straight Connector 681">
          <a:extLst>
            <a:ext uri="{FF2B5EF4-FFF2-40B4-BE49-F238E27FC236}">
              <a16:creationId xmlns:a16="http://schemas.microsoft.com/office/drawing/2014/main" id="{00000000-0008-0000-0600-0000AA020000}"/>
            </a:ext>
          </a:extLst>
        </xdr:cNvPr>
        <xdr:cNvCxnSpPr/>
      </xdr:nvCxnSpPr>
      <xdr:spPr>
        <a:xfrm flipH="1" flipV="1">
          <a:off x="3481009" y="312166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171</xdr:row>
      <xdr:rowOff>123824</xdr:rowOff>
    </xdr:from>
    <xdr:to>
      <xdr:col>5</xdr:col>
      <xdr:colOff>1428750</xdr:colOff>
      <xdr:row>171</xdr:row>
      <xdr:rowOff>1219199</xdr:rowOff>
    </xdr:to>
    <xdr:sp macro="" textlink="">
      <xdr:nvSpPr>
        <xdr:cNvPr id="683" name="Rounded Rectangle 682">
          <a:extLst>
            <a:ext uri="{FF2B5EF4-FFF2-40B4-BE49-F238E27FC236}">
              <a16:creationId xmlns:a16="http://schemas.microsoft.com/office/drawing/2014/main" id="{00000000-0008-0000-0600-0000AB020000}"/>
            </a:ext>
          </a:extLst>
        </xdr:cNvPr>
        <xdr:cNvSpPr/>
      </xdr:nvSpPr>
      <xdr:spPr>
        <a:xfrm>
          <a:off x="3745230" y="313963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171</xdr:row>
      <xdr:rowOff>238127</xdr:rowOff>
    </xdr:from>
    <xdr:to>
      <xdr:col>5</xdr:col>
      <xdr:colOff>790575</xdr:colOff>
      <xdr:row>171</xdr:row>
      <xdr:rowOff>361950</xdr:rowOff>
    </xdr:to>
    <xdr:cxnSp macro="">
      <xdr:nvCxnSpPr>
        <xdr:cNvPr id="684" name="Straight Connector 683">
          <a:extLst>
            <a:ext uri="{FF2B5EF4-FFF2-40B4-BE49-F238E27FC236}">
              <a16:creationId xmlns:a16="http://schemas.microsoft.com/office/drawing/2014/main" id="{00000000-0008-0000-0600-0000AC020000}"/>
            </a:ext>
          </a:extLst>
        </xdr:cNvPr>
        <xdr:cNvCxnSpPr/>
      </xdr:nvCxnSpPr>
      <xdr:spPr>
        <a:xfrm flipH="1" flipV="1">
          <a:off x="3749041" y="314572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171</xdr:row>
      <xdr:rowOff>133352</xdr:rowOff>
    </xdr:from>
    <xdr:to>
      <xdr:col>5</xdr:col>
      <xdr:colOff>885825</xdr:colOff>
      <xdr:row>171</xdr:row>
      <xdr:rowOff>257175</xdr:rowOff>
    </xdr:to>
    <xdr:cxnSp macro="">
      <xdr:nvCxnSpPr>
        <xdr:cNvPr id="685" name="Straight Connector 684">
          <a:extLst>
            <a:ext uri="{FF2B5EF4-FFF2-40B4-BE49-F238E27FC236}">
              <a16:creationId xmlns:a16="http://schemas.microsoft.com/office/drawing/2014/main" id="{00000000-0008-0000-0600-0000AD020000}"/>
            </a:ext>
          </a:extLst>
        </xdr:cNvPr>
        <xdr:cNvCxnSpPr/>
      </xdr:nvCxnSpPr>
      <xdr:spPr>
        <a:xfrm flipH="1" flipV="1">
          <a:off x="3745231" y="314058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174</xdr:row>
      <xdr:rowOff>127000</xdr:rowOff>
    </xdr:from>
    <xdr:to>
      <xdr:col>5</xdr:col>
      <xdr:colOff>356235</xdr:colOff>
      <xdr:row>174</xdr:row>
      <xdr:rowOff>309880</xdr:rowOff>
    </xdr:to>
    <xdr:cxnSp macro="">
      <xdr:nvCxnSpPr>
        <xdr:cNvPr id="686" name="Straight Connector 685">
          <a:extLst>
            <a:ext uri="{FF2B5EF4-FFF2-40B4-BE49-F238E27FC236}">
              <a16:creationId xmlns:a16="http://schemas.microsoft.com/office/drawing/2014/main" id="{00000000-0008-0000-0600-0000AE020000}"/>
            </a:ext>
          </a:extLst>
        </xdr:cNvPr>
        <xdr:cNvCxnSpPr/>
      </xdr:nvCxnSpPr>
      <xdr:spPr>
        <a:xfrm flipH="1" flipV="1">
          <a:off x="3480435" y="31948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174</xdr:row>
      <xdr:rowOff>400050</xdr:rowOff>
    </xdr:from>
    <xdr:to>
      <xdr:col>5</xdr:col>
      <xdr:colOff>1666875</xdr:colOff>
      <xdr:row>174</xdr:row>
      <xdr:rowOff>400050</xdr:rowOff>
    </xdr:to>
    <xdr:cxnSp macro="">
      <xdr:nvCxnSpPr>
        <xdr:cNvPr id="687" name="Straight Connector 686">
          <a:extLst>
            <a:ext uri="{FF2B5EF4-FFF2-40B4-BE49-F238E27FC236}">
              <a16:creationId xmlns:a16="http://schemas.microsoft.com/office/drawing/2014/main" id="{00000000-0008-0000-0600-0000AF020000}"/>
            </a:ext>
          </a:extLst>
        </xdr:cNvPr>
        <xdr:cNvCxnSpPr/>
      </xdr:nvCxnSpPr>
      <xdr:spPr>
        <a:xfrm>
          <a:off x="3476625" y="32000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174</xdr:row>
      <xdr:rowOff>127000</xdr:rowOff>
    </xdr:from>
    <xdr:to>
      <xdr:col>5</xdr:col>
      <xdr:colOff>356810</xdr:colOff>
      <xdr:row>174</xdr:row>
      <xdr:rowOff>409912</xdr:rowOff>
    </xdr:to>
    <xdr:cxnSp macro="">
      <xdr:nvCxnSpPr>
        <xdr:cNvPr id="688" name="Straight Connector 687">
          <a:extLst>
            <a:ext uri="{FF2B5EF4-FFF2-40B4-BE49-F238E27FC236}">
              <a16:creationId xmlns:a16="http://schemas.microsoft.com/office/drawing/2014/main" id="{00000000-0008-0000-0600-0000B0020000}"/>
            </a:ext>
          </a:extLst>
        </xdr:cNvPr>
        <xdr:cNvCxnSpPr/>
      </xdr:nvCxnSpPr>
      <xdr:spPr>
        <a:xfrm flipH="1" flipV="1">
          <a:off x="3481009" y="31948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174</xdr:row>
      <xdr:rowOff>134252</xdr:rowOff>
    </xdr:from>
    <xdr:to>
      <xdr:col>5</xdr:col>
      <xdr:colOff>1652211</xdr:colOff>
      <xdr:row>174</xdr:row>
      <xdr:rowOff>417164</xdr:rowOff>
    </xdr:to>
    <xdr:cxnSp macro="">
      <xdr:nvCxnSpPr>
        <xdr:cNvPr id="689" name="Straight Connector 688">
          <a:extLst>
            <a:ext uri="{FF2B5EF4-FFF2-40B4-BE49-F238E27FC236}">
              <a16:creationId xmlns:a16="http://schemas.microsoft.com/office/drawing/2014/main" id="{00000000-0008-0000-0600-0000B1020000}"/>
            </a:ext>
          </a:extLst>
        </xdr:cNvPr>
        <xdr:cNvCxnSpPr/>
      </xdr:nvCxnSpPr>
      <xdr:spPr>
        <a:xfrm flipH="1" flipV="1">
          <a:off x="3747710" y="31955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175</xdr:row>
      <xdr:rowOff>127000</xdr:rowOff>
    </xdr:from>
    <xdr:to>
      <xdr:col>5</xdr:col>
      <xdr:colOff>356235</xdr:colOff>
      <xdr:row>175</xdr:row>
      <xdr:rowOff>309880</xdr:rowOff>
    </xdr:to>
    <xdr:cxnSp macro="">
      <xdr:nvCxnSpPr>
        <xdr:cNvPr id="690" name="Straight Connector 689">
          <a:extLst>
            <a:ext uri="{FF2B5EF4-FFF2-40B4-BE49-F238E27FC236}">
              <a16:creationId xmlns:a16="http://schemas.microsoft.com/office/drawing/2014/main" id="{00000000-0008-0000-0600-0000B2020000}"/>
            </a:ext>
          </a:extLst>
        </xdr:cNvPr>
        <xdr:cNvCxnSpPr/>
      </xdr:nvCxnSpPr>
      <xdr:spPr>
        <a:xfrm flipH="1" flipV="1">
          <a:off x="3480435" y="32131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175</xdr:row>
      <xdr:rowOff>152400</xdr:rowOff>
    </xdr:from>
    <xdr:to>
      <xdr:col>5</xdr:col>
      <xdr:colOff>1676400</xdr:colOff>
      <xdr:row>175</xdr:row>
      <xdr:rowOff>152400</xdr:rowOff>
    </xdr:to>
    <xdr:cxnSp macro="">
      <xdr:nvCxnSpPr>
        <xdr:cNvPr id="691" name="Straight Connector 690">
          <a:extLst>
            <a:ext uri="{FF2B5EF4-FFF2-40B4-BE49-F238E27FC236}">
              <a16:creationId xmlns:a16="http://schemas.microsoft.com/office/drawing/2014/main" id="{00000000-0008-0000-0600-0000B3020000}"/>
            </a:ext>
          </a:extLst>
        </xdr:cNvPr>
        <xdr:cNvCxnSpPr/>
      </xdr:nvCxnSpPr>
      <xdr:spPr>
        <a:xfrm>
          <a:off x="3486150" y="32156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175</xdr:row>
      <xdr:rowOff>127000</xdr:rowOff>
    </xdr:from>
    <xdr:to>
      <xdr:col>5</xdr:col>
      <xdr:colOff>356810</xdr:colOff>
      <xdr:row>175</xdr:row>
      <xdr:rowOff>409912</xdr:rowOff>
    </xdr:to>
    <xdr:cxnSp macro="">
      <xdr:nvCxnSpPr>
        <xdr:cNvPr id="692" name="Straight Connector 691">
          <a:extLst>
            <a:ext uri="{FF2B5EF4-FFF2-40B4-BE49-F238E27FC236}">
              <a16:creationId xmlns:a16="http://schemas.microsoft.com/office/drawing/2014/main" id="{00000000-0008-0000-0600-0000B4020000}"/>
            </a:ext>
          </a:extLst>
        </xdr:cNvPr>
        <xdr:cNvCxnSpPr/>
      </xdr:nvCxnSpPr>
      <xdr:spPr>
        <a:xfrm flipH="1" flipV="1">
          <a:off x="3481009" y="32131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175</xdr:row>
      <xdr:rowOff>134252</xdr:rowOff>
    </xdr:from>
    <xdr:to>
      <xdr:col>5</xdr:col>
      <xdr:colOff>1652211</xdr:colOff>
      <xdr:row>175</xdr:row>
      <xdr:rowOff>417164</xdr:rowOff>
    </xdr:to>
    <xdr:cxnSp macro="">
      <xdr:nvCxnSpPr>
        <xdr:cNvPr id="693" name="Straight Connector 692">
          <a:extLst>
            <a:ext uri="{FF2B5EF4-FFF2-40B4-BE49-F238E27FC236}">
              <a16:creationId xmlns:a16="http://schemas.microsoft.com/office/drawing/2014/main" id="{00000000-0008-0000-0600-0000B5020000}"/>
            </a:ext>
          </a:extLst>
        </xdr:cNvPr>
        <xdr:cNvCxnSpPr/>
      </xdr:nvCxnSpPr>
      <xdr:spPr>
        <a:xfrm flipH="1" flipV="1">
          <a:off x="3747710" y="32138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176</xdr:row>
      <xdr:rowOff>123824</xdr:rowOff>
    </xdr:from>
    <xdr:to>
      <xdr:col>5</xdr:col>
      <xdr:colOff>1428750</xdr:colOff>
      <xdr:row>176</xdr:row>
      <xdr:rowOff>1219199</xdr:rowOff>
    </xdr:to>
    <xdr:sp macro="" textlink="">
      <xdr:nvSpPr>
        <xdr:cNvPr id="694" name="Rounded Rectangle 693">
          <a:extLst>
            <a:ext uri="{FF2B5EF4-FFF2-40B4-BE49-F238E27FC236}">
              <a16:creationId xmlns:a16="http://schemas.microsoft.com/office/drawing/2014/main" id="{00000000-0008-0000-0600-0000B6020000}"/>
            </a:ext>
          </a:extLst>
        </xdr:cNvPr>
        <xdr:cNvSpPr/>
      </xdr:nvSpPr>
      <xdr:spPr>
        <a:xfrm>
          <a:off x="3745230" y="32310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176</xdr:row>
      <xdr:rowOff>238127</xdr:rowOff>
    </xdr:from>
    <xdr:to>
      <xdr:col>5</xdr:col>
      <xdr:colOff>790575</xdr:colOff>
      <xdr:row>176</xdr:row>
      <xdr:rowOff>361950</xdr:rowOff>
    </xdr:to>
    <xdr:cxnSp macro="">
      <xdr:nvCxnSpPr>
        <xdr:cNvPr id="695" name="Straight Connector 694">
          <a:extLst>
            <a:ext uri="{FF2B5EF4-FFF2-40B4-BE49-F238E27FC236}">
              <a16:creationId xmlns:a16="http://schemas.microsoft.com/office/drawing/2014/main" id="{00000000-0008-0000-0600-0000B7020000}"/>
            </a:ext>
          </a:extLst>
        </xdr:cNvPr>
        <xdr:cNvCxnSpPr/>
      </xdr:nvCxnSpPr>
      <xdr:spPr>
        <a:xfrm flipH="1" flipV="1">
          <a:off x="3749041" y="32371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176</xdr:row>
      <xdr:rowOff>133352</xdr:rowOff>
    </xdr:from>
    <xdr:to>
      <xdr:col>5</xdr:col>
      <xdr:colOff>885825</xdr:colOff>
      <xdr:row>176</xdr:row>
      <xdr:rowOff>257175</xdr:rowOff>
    </xdr:to>
    <xdr:cxnSp macro="">
      <xdr:nvCxnSpPr>
        <xdr:cNvPr id="696" name="Straight Connector 695">
          <a:extLst>
            <a:ext uri="{FF2B5EF4-FFF2-40B4-BE49-F238E27FC236}">
              <a16:creationId xmlns:a16="http://schemas.microsoft.com/office/drawing/2014/main" id="{00000000-0008-0000-0600-0000B8020000}"/>
            </a:ext>
          </a:extLst>
        </xdr:cNvPr>
        <xdr:cNvCxnSpPr/>
      </xdr:nvCxnSpPr>
      <xdr:spPr>
        <a:xfrm flipH="1" flipV="1">
          <a:off x="3745231" y="32320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174</xdr:row>
      <xdr:rowOff>127000</xdr:rowOff>
    </xdr:from>
    <xdr:to>
      <xdr:col>5</xdr:col>
      <xdr:colOff>356235</xdr:colOff>
      <xdr:row>174</xdr:row>
      <xdr:rowOff>309880</xdr:rowOff>
    </xdr:to>
    <xdr:cxnSp macro="">
      <xdr:nvCxnSpPr>
        <xdr:cNvPr id="697" name="Straight Connector 696">
          <a:extLst>
            <a:ext uri="{FF2B5EF4-FFF2-40B4-BE49-F238E27FC236}">
              <a16:creationId xmlns:a16="http://schemas.microsoft.com/office/drawing/2014/main" id="{00000000-0008-0000-0600-0000B9020000}"/>
            </a:ext>
          </a:extLst>
        </xdr:cNvPr>
        <xdr:cNvCxnSpPr/>
      </xdr:nvCxnSpPr>
      <xdr:spPr>
        <a:xfrm flipH="1" flipV="1">
          <a:off x="3480435" y="31948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174</xdr:row>
      <xdr:rowOff>400050</xdr:rowOff>
    </xdr:from>
    <xdr:to>
      <xdr:col>5</xdr:col>
      <xdr:colOff>1666875</xdr:colOff>
      <xdr:row>174</xdr:row>
      <xdr:rowOff>400050</xdr:rowOff>
    </xdr:to>
    <xdr:cxnSp macro="">
      <xdr:nvCxnSpPr>
        <xdr:cNvPr id="698" name="Straight Connector 697">
          <a:extLst>
            <a:ext uri="{FF2B5EF4-FFF2-40B4-BE49-F238E27FC236}">
              <a16:creationId xmlns:a16="http://schemas.microsoft.com/office/drawing/2014/main" id="{00000000-0008-0000-0600-0000BA020000}"/>
            </a:ext>
          </a:extLst>
        </xdr:cNvPr>
        <xdr:cNvCxnSpPr/>
      </xdr:nvCxnSpPr>
      <xdr:spPr>
        <a:xfrm>
          <a:off x="3476625" y="32000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174</xdr:row>
      <xdr:rowOff>127000</xdr:rowOff>
    </xdr:from>
    <xdr:to>
      <xdr:col>5</xdr:col>
      <xdr:colOff>356810</xdr:colOff>
      <xdr:row>174</xdr:row>
      <xdr:rowOff>409912</xdr:rowOff>
    </xdr:to>
    <xdr:cxnSp macro="">
      <xdr:nvCxnSpPr>
        <xdr:cNvPr id="699" name="Straight Connector 698">
          <a:extLst>
            <a:ext uri="{FF2B5EF4-FFF2-40B4-BE49-F238E27FC236}">
              <a16:creationId xmlns:a16="http://schemas.microsoft.com/office/drawing/2014/main" id="{00000000-0008-0000-0600-0000BB020000}"/>
            </a:ext>
          </a:extLst>
        </xdr:cNvPr>
        <xdr:cNvCxnSpPr/>
      </xdr:nvCxnSpPr>
      <xdr:spPr>
        <a:xfrm flipH="1" flipV="1">
          <a:off x="3481009" y="31948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174</xdr:row>
      <xdr:rowOff>134252</xdr:rowOff>
    </xdr:from>
    <xdr:to>
      <xdr:col>5</xdr:col>
      <xdr:colOff>1652211</xdr:colOff>
      <xdr:row>174</xdr:row>
      <xdr:rowOff>417164</xdr:rowOff>
    </xdr:to>
    <xdr:cxnSp macro="">
      <xdr:nvCxnSpPr>
        <xdr:cNvPr id="700" name="Straight Connector 699">
          <a:extLst>
            <a:ext uri="{FF2B5EF4-FFF2-40B4-BE49-F238E27FC236}">
              <a16:creationId xmlns:a16="http://schemas.microsoft.com/office/drawing/2014/main" id="{00000000-0008-0000-0600-0000BC020000}"/>
            </a:ext>
          </a:extLst>
        </xdr:cNvPr>
        <xdr:cNvCxnSpPr/>
      </xdr:nvCxnSpPr>
      <xdr:spPr>
        <a:xfrm flipH="1" flipV="1">
          <a:off x="3747710" y="31955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175</xdr:row>
      <xdr:rowOff>127000</xdr:rowOff>
    </xdr:from>
    <xdr:to>
      <xdr:col>5</xdr:col>
      <xdr:colOff>356235</xdr:colOff>
      <xdr:row>175</xdr:row>
      <xdr:rowOff>309880</xdr:rowOff>
    </xdr:to>
    <xdr:cxnSp macro="">
      <xdr:nvCxnSpPr>
        <xdr:cNvPr id="701" name="Straight Connector 700">
          <a:extLst>
            <a:ext uri="{FF2B5EF4-FFF2-40B4-BE49-F238E27FC236}">
              <a16:creationId xmlns:a16="http://schemas.microsoft.com/office/drawing/2014/main" id="{00000000-0008-0000-0600-0000BD020000}"/>
            </a:ext>
          </a:extLst>
        </xdr:cNvPr>
        <xdr:cNvCxnSpPr/>
      </xdr:nvCxnSpPr>
      <xdr:spPr>
        <a:xfrm flipH="1" flipV="1">
          <a:off x="3480435" y="32131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175</xdr:row>
      <xdr:rowOff>152400</xdr:rowOff>
    </xdr:from>
    <xdr:to>
      <xdr:col>5</xdr:col>
      <xdr:colOff>1676400</xdr:colOff>
      <xdr:row>175</xdr:row>
      <xdr:rowOff>152400</xdr:rowOff>
    </xdr:to>
    <xdr:cxnSp macro="">
      <xdr:nvCxnSpPr>
        <xdr:cNvPr id="702" name="Straight Connector 701">
          <a:extLst>
            <a:ext uri="{FF2B5EF4-FFF2-40B4-BE49-F238E27FC236}">
              <a16:creationId xmlns:a16="http://schemas.microsoft.com/office/drawing/2014/main" id="{00000000-0008-0000-0600-0000BE020000}"/>
            </a:ext>
          </a:extLst>
        </xdr:cNvPr>
        <xdr:cNvCxnSpPr/>
      </xdr:nvCxnSpPr>
      <xdr:spPr>
        <a:xfrm>
          <a:off x="3486150" y="32156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175</xdr:row>
      <xdr:rowOff>127000</xdr:rowOff>
    </xdr:from>
    <xdr:to>
      <xdr:col>5</xdr:col>
      <xdr:colOff>356810</xdr:colOff>
      <xdr:row>175</xdr:row>
      <xdr:rowOff>409912</xdr:rowOff>
    </xdr:to>
    <xdr:cxnSp macro="">
      <xdr:nvCxnSpPr>
        <xdr:cNvPr id="703" name="Straight Connector 702">
          <a:extLst>
            <a:ext uri="{FF2B5EF4-FFF2-40B4-BE49-F238E27FC236}">
              <a16:creationId xmlns:a16="http://schemas.microsoft.com/office/drawing/2014/main" id="{00000000-0008-0000-0600-0000BF020000}"/>
            </a:ext>
          </a:extLst>
        </xdr:cNvPr>
        <xdr:cNvCxnSpPr/>
      </xdr:nvCxnSpPr>
      <xdr:spPr>
        <a:xfrm flipH="1" flipV="1">
          <a:off x="3481009" y="32131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175</xdr:row>
      <xdr:rowOff>134252</xdr:rowOff>
    </xdr:from>
    <xdr:to>
      <xdr:col>5</xdr:col>
      <xdr:colOff>1652211</xdr:colOff>
      <xdr:row>175</xdr:row>
      <xdr:rowOff>417164</xdr:rowOff>
    </xdr:to>
    <xdr:cxnSp macro="">
      <xdr:nvCxnSpPr>
        <xdr:cNvPr id="704" name="Straight Connector 703">
          <a:extLst>
            <a:ext uri="{FF2B5EF4-FFF2-40B4-BE49-F238E27FC236}">
              <a16:creationId xmlns:a16="http://schemas.microsoft.com/office/drawing/2014/main" id="{00000000-0008-0000-0600-0000C0020000}"/>
            </a:ext>
          </a:extLst>
        </xdr:cNvPr>
        <xdr:cNvCxnSpPr/>
      </xdr:nvCxnSpPr>
      <xdr:spPr>
        <a:xfrm flipH="1" flipV="1">
          <a:off x="3747710" y="32138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176</xdr:row>
      <xdr:rowOff>123824</xdr:rowOff>
    </xdr:from>
    <xdr:to>
      <xdr:col>5</xdr:col>
      <xdr:colOff>1428750</xdr:colOff>
      <xdr:row>176</xdr:row>
      <xdr:rowOff>1219199</xdr:rowOff>
    </xdr:to>
    <xdr:sp macro="" textlink="">
      <xdr:nvSpPr>
        <xdr:cNvPr id="705" name="Rounded Rectangle 704">
          <a:extLst>
            <a:ext uri="{FF2B5EF4-FFF2-40B4-BE49-F238E27FC236}">
              <a16:creationId xmlns:a16="http://schemas.microsoft.com/office/drawing/2014/main" id="{00000000-0008-0000-0600-0000C1020000}"/>
            </a:ext>
          </a:extLst>
        </xdr:cNvPr>
        <xdr:cNvSpPr/>
      </xdr:nvSpPr>
      <xdr:spPr>
        <a:xfrm>
          <a:off x="3745230" y="32310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176</xdr:row>
      <xdr:rowOff>238127</xdr:rowOff>
    </xdr:from>
    <xdr:to>
      <xdr:col>5</xdr:col>
      <xdr:colOff>790575</xdr:colOff>
      <xdr:row>176</xdr:row>
      <xdr:rowOff>361950</xdr:rowOff>
    </xdr:to>
    <xdr:cxnSp macro="">
      <xdr:nvCxnSpPr>
        <xdr:cNvPr id="706" name="Straight Connector 705">
          <a:extLst>
            <a:ext uri="{FF2B5EF4-FFF2-40B4-BE49-F238E27FC236}">
              <a16:creationId xmlns:a16="http://schemas.microsoft.com/office/drawing/2014/main" id="{00000000-0008-0000-0600-0000C2020000}"/>
            </a:ext>
          </a:extLst>
        </xdr:cNvPr>
        <xdr:cNvCxnSpPr/>
      </xdr:nvCxnSpPr>
      <xdr:spPr>
        <a:xfrm flipH="1" flipV="1">
          <a:off x="3749041" y="32371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176</xdr:row>
      <xdr:rowOff>133352</xdr:rowOff>
    </xdr:from>
    <xdr:to>
      <xdr:col>5</xdr:col>
      <xdr:colOff>885825</xdr:colOff>
      <xdr:row>176</xdr:row>
      <xdr:rowOff>257175</xdr:rowOff>
    </xdr:to>
    <xdr:cxnSp macro="">
      <xdr:nvCxnSpPr>
        <xdr:cNvPr id="707" name="Straight Connector 706">
          <a:extLst>
            <a:ext uri="{FF2B5EF4-FFF2-40B4-BE49-F238E27FC236}">
              <a16:creationId xmlns:a16="http://schemas.microsoft.com/office/drawing/2014/main" id="{00000000-0008-0000-0600-0000C3020000}"/>
            </a:ext>
          </a:extLst>
        </xdr:cNvPr>
        <xdr:cNvCxnSpPr/>
      </xdr:nvCxnSpPr>
      <xdr:spPr>
        <a:xfrm flipH="1" flipV="1">
          <a:off x="3745231" y="32320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174</xdr:row>
      <xdr:rowOff>127000</xdr:rowOff>
    </xdr:from>
    <xdr:to>
      <xdr:col>5</xdr:col>
      <xdr:colOff>356235</xdr:colOff>
      <xdr:row>174</xdr:row>
      <xdr:rowOff>309880</xdr:rowOff>
    </xdr:to>
    <xdr:cxnSp macro="">
      <xdr:nvCxnSpPr>
        <xdr:cNvPr id="708" name="Straight Connector 707">
          <a:extLst>
            <a:ext uri="{FF2B5EF4-FFF2-40B4-BE49-F238E27FC236}">
              <a16:creationId xmlns:a16="http://schemas.microsoft.com/office/drawing/2014/main" id="{00000000-0008-0000-0600-0000C4020000}"/>
            </a:ext>
          </a:extLst>
        </xdr:cNvPr>
        <xdr:cNvCxnSpPr/>
      </xdr:nvCxnSpPr>
      <xdr:spPr>
        <a:xfrm flipH="1" flipV="1">
          <a:off x="3480435" y="31948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174</xdr:row>
      <xdr:rowOff>400050</xdr:rowOff>
    </xdr:from>
    <xdr:to>
      <xdr:col>5</xdr:col>
      <xdr:colOff>1666875</xdr:colOff>
      <xdr:row>174</xdr:row>
      <xdr:rowOff>400050</xdr:rowOff>
    </xdr:to>
    <xdr:cxnSp macro="">
      <xdr:nvCxnSpPr>
        <xdr:cNvPr id="709" name="Straight Connector 708">
          <a:extLst>
            <a:ext uri="{FF2B5EF4-FFF2-40B4-BE49-F238E27FC236}">
              <a16:creationId xmlns:a16="http://schemas.microsoft.com/office/drawing/2014/main" id="{00000000-0008-0000-0600-0000C5020000}"/>
            </a:ext>
          </a:extLst>
        </xdr:cNvPr>
        <xdr:cNvCxnSpPr/>
      </xdr:nvCxnSpPr>
      <xdr:spPr>
        <a:xfrm>
          <a:off x="3476625" y="32000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174</xdr:row>
      <xdr:rowOff>127000</xdr:rowOff>
    </xdr:from>
    <xdr:to>
      <xdr:col>5</xdr:col>
      <xdr:colOff>356810</xdr:colOff>
      <xdr:row>174</xdr:row>
      <xdr:rowOff>409912</xdr:rowOff>
    </xdr:to>
    <xdr:cxnSp macro="">
      <xdr:nvCxnSpPr>
        <xdr:cNvPr id="710" name="Straight Connector 709">
          <a:extLst>
            <a:ext uri="{FF2B5EF4-FFF2-40B4-BE49-F238E27FC236}">
              <a16:creationId xmlns:a16="http://schemas.microsoft.com/office/drawing/2014/main" id="{00000000-0008-0000-0600-0000C6020000}"/>
            </a:ext>
          </a:extLst>
        </xdr:cNvPr>
        <xdr:cNvCxnSpPr/>
      </xdr:nvCxnSpPr>
      <xdr:spPr>
        <a:xfrm flipH="1" flipV="1">
          <a:off x="3481009" y="31948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174</xdr:row>
      <xdr:rowOff>134252</xdr:rowOff>
    </xdr:from>
    <xdr:to>
      <xdr:col>5</xdr:col>
      <xdr:colOff>1652211</xdr:colOff>
      <xdr:row>174</xdr:row>
      <xdr:rowOff>417164</xdr:rowOff>
    </xdr:to>
    <xdr:cxnSp macro="">
      <xdr:nvCxnSpPr>
        <xdr:cNvPr id="711" name="Straight Connector 710">
          <a:extLst>
            <a:ext uri="{FF2B5EF4-FFF2-40B4-BE49-F238E27FC236}">
              <a16:creationId xmlns:a16="http://schemas.microsoft.com/office/drawing/2014/main" id="{00000000-0008-0000-0600-0000C7020000}"/>
            </a:ext>
          </a:extLst>
        </xdr:cNvPr>
        <xdr:cNvCxnSpPr/>
      </xdr:nvCxnSpPr>
      <xdr:spPr>
        <a:xfrm flipH="1" flipV="1">
          <a:off x="3747710" y="31955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175</xdr:row>
      <xdr:rowOff>127000</xdr:rowOff>
    </xdr:from>
    <xdr:to>
      <xdr:col>5</xdr:col>
      <xdr:colOff>356235</xdr:colOff>
      <xdr:row>175</xdr:row>
      <xdr:rowOff>309880</xdr:rowOff>
    </xdr:to>
    <xdr:cxnSp macro="">
      <xdr:nvCxnSpPr>
        <xdr:cNvPr id="712" name="Straight Connector 711">
          <a:extLst>
            <a:ext uri="{FF2B5EF4-FFF2-40B4-BE49-F238E27FC236}">
              <a16:creationId xmlns:a16="http://schemas.microsoft.com/office/drawing/2014/main" id="{00000000-0008-0000-0600-0000C8020000}"/>
            </a:ext>
          </a:extLst>
        </xdr:cNvPr>
        <xdr:cNvCxnSpPr/>
      </xdr:nvCxnSpPr>
      <xdr:spPr>
        <a:xfrm flipH="1" flipV="1">
          <a:off x="3480435" y="32131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175</xdr:row>
      <xdr:rowOff>152400</xdr:rowOff>
    </xdr:from>
    <xdr:to>
      <xdr:col>5</xdr:col>
      <xdr:colOff>1676400</xdr:colOff>
      <xdr:row>175</xdr:row>
      <xdr:rowOff>152400</xdr:rowOff>
    </xdr:to>
    <xdr:cxnSp macro="">
      <xdr:nvCxnSpPr>
        <xdr:cNvPr id="713" name="Straight Connector 712">
          <a:extLst>
            <a:ext uri="{FF2B5EF4-FFF2-40B4-BE49-F238E27FC236}">
              <a16:creationId xmlns:a16="http://schemas.microsoft.com/office/drawing/2014/main" id="{00000000-0008-0000-0600-0000C9020000}"/>
            </a:ext>
          </a:extLst>
        </xdr:cNvPr>
        <xdr:cNvCxnSpPr/>
      </xdr:nvCxnSpPr>
      <xdr:spPr>
        <a:xfrm>
          <a:off x="3486150" y="32156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175</xdr:row>
      <xdr:rowOff>127000</xdr:rowOff>
    </xdr:from>
    <xdr:to>
      <xdr:col>5</xdr:col>
      <xdr:colOff>356810</xdr:colOff>
      <xdr:row>175</xdr:row>
      <xdr:rowOff>409912</xdr:rowOff>
    </xdr:to>
    <xdr:cxnSp macro="">
      <xdr:nvCxnSpPr>
        <xdr:cNvPr id="714" name="Straight Connector 713">
          <a:extLst>
            <a:ext uri="{FF2B5EF4-FFF2-40B4-BE49-F238E27FC236}">
              <a16:creationId xmlns:a16="http://schemas.microsoft.com/office/drawing/2014/main" id="{00000000-0008-0000-0600-0000CA020000}"/>
            </a:ext>
          </a:extLst>
        </xdr:cNvPr>
        <xdr:cNvCxnSpPr/>
      </xdr:nvCxnSpPr>
      <xdr:spPr>
        <a:xfrm flipH="1" flipV="1">
          <a:off x="3481009" y="32131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175</xdr:row>
      <xdr:rowOff>134252</xdr:rowOff>
    </xdr:from>
    <xdr:to>
      <xdr:col>5</xdr:col>
      <xdr:colOff>1652211</xdr:colOff>
      <xdr:row>175</xdr:row>
      <xdr:rowOff>417164</xdr:rowOff>
    </xdr:to>
    <xdr:cxnSp macro="">
      <xdr:nvCxnSpPr>
        <xdr:cNvPr id="715" name="Straight Connector 714">
          <a:extLst>
            <a:ext uri="{FF2B5EF4-FFF2-40B4-BE49-F238E27FC236}">
              <a16:creationId xmlns:a16="http://schemas.microsoft.com/office/drawing/2014/main" id="{00000000-0008-0000-0600-0000CB020000}"/>
            </a:ext>
          </a:extLst>
        </xdr:cNvPr>
        <xdr:cNvCxnSpPr/>
      </xdr:nvCxnSpPr>
      <xdr:spPr>
        <a:xfrm flipH="1" flipV="1">
          <a:off x="3747710" y="32138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176</xdr:row>
      <xdr:rowOff>123824</xdr:rowOff>
    </xdr:from>
    <xdr:to>
      <xdr:col>5</xdr:col>
      <xdr:colOff>1428750</xdr:colOff>
      <xdr:row>176</xdr:row>
      <xdr:rowOff>1219199</xdr:rowOff>
    </xdr:to>
    <xdr:sp macro="" textlink="">
      <xdr:nvSpPr>
        <xdr:cNvPr id="716" name="Rounded Rectangle 715">
          <a:extLst>
            <a:ext uri="{FF2B5EF4-FFF2-40B4-BE49-F238E27FC236}">
              <a16:creationId xmlns:a16="http://schemas.microsoft.com/office/drawing/2014/main" id="{00000000-0008-0000-0600-0000CC020000}"/>
            </a:ext>
          </a:extLst>
        </xdr:cNvPr>
        <xdr:cNvSpPr/>
      </xdr:nvSpPr>
      <xdr:spPr>
        <a:xfrm>
          <a:off x="3745230" y="32310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176</xdr:row>
      <xdr:rowOff>238127</xdr:rowOff>
    </xdr:from>
    <xdr:to>
      <xdr:col>5</xdr:col>
      <xdr:colOff>790575</xdr:colOff>
      <xdr:row>176</xdr:row>
      <xdr:rowOff>361950</xdr:rowOff>
    </xdr:to>
    <xdr:cxnSp macro="">
      <xdr:nvCxnSpPr>
        <xdr:cNvPr id="717" name="Straight Connector 716">
          <a:extLst>
            <a:ext uri="{FF2B5EF4-FFF2-40B4-BE49-F238E27FC236}">
              <a16:creationId xmlns:a16="http://schemas.microsoft.com/office/drawing/2014/main" id="{00000000-0008-0000-0600-0000CD020000}"/>
            </a:ext>
          </a:extLst>
        </xdr:cNvPr>
        <xdr:cNvCxnSpPr/>
      </xdr:nvCxnSpPr>
      <xdr:spPr>
        <a:xfrm flipH="1" flipV="1">
          <a:off x="3749041" y="32371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176</xdr:row>
      <xdr:rowOff>133352</xdr:rowOff>
    </xdr:from>
    <xdr:to>
      <xdr:col>5</xdr:col>
      <xdr:colOff>885825</xdr:colOff>
      <xdr:row>176</xdr:row>
      <xdr:rowOff>257175</xdr:rowOff>
    </xdr:to>
    <xdr:cxnSp macro="">
      <xdr:nvCxnSpPr>
        <xdr:cNvPr id="718" name="Straight Connector 717">
          <a:extLst>
            <a:ext uri="{FF2B5EF4-FFF2-40B4-BE49-F238E27FC236}">
              <a16:creationId xmlns:a16="http://schemas.microsoft.com/office/drawing/2014/main" id="{00000000-0008-0000-0600-0000CE020000}"/>
            </a:ext>
          </a:extLst>
        </xdr:cNvPr>
        <xdr:cNvCxnSpPr/>
      </xdr:nvCxnSpPr>
      <xdr:spPr>
        <a:xfrm flipH="1" flipV="1">
          <a:off x="3745231" y="32320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174</xdr:row>
      <xdr:rowOff>127000</xdr:rowOff>
    </xdr:from>
    <xdr:to>
      <xdr:col>5</xdr:col>
      <xdr:colOff>356235</xdr:colOff>
      <xdr:row>174</xdr:row>
      <xdr:rowOff>309880</xdr:rowOff>
    </xdr:to>
    <xdr:cxnSp macro="">
      <xdr:nvCxnSpPr>
        <xdr:cNvPr id="719" name="Straight Connector 718">
          <a:extLst>
            <a:ext uri="{FF2B5EF4-FFF2-40B4-BE49-F238E27FC236}">
              <a16:creationId xmlns:a16="http://schemas.microsoft.com/office/drawing/2014/main" id="{00000000-0008-0000-0600-0000CF020000}"/>
            </a:ext>
          </a:extLst>
        </xdr:cNvPr>
        <xdr:cNvCxnSpPr/>
      </xdr:nvCxnSpPr>
      <xdr:spPr>
        <a:xfrm flipH="1" flipV="1">
          <a:off x="3480435" y="31948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174</xdr:row>
      <xdr:rowOff>400050</xdr:rowOff>
    </xdr:from>
    <xdr:to>
      <xdr:col>5</xdr:col>
      <xdr:colOff>1666875</xdr:colOff>
      <xdr:row>174</xdr:row>
      <xdr:rowOff>400050</xdr:rowOff>
    </xdr:to>
    <xdr:cxnSp macro="">
      <xdr:nvCxnSpPr>
        <xdr:cNvPr id="720" name="Straight Connector 719">
          <a:extLst>
            <a:ext uri="{FF2B5EF4-FFF2-40B4-BE49-F238E27FC236}">
              <a16:creationId xmlns:a16="http://schemas.microsoft.com/office/drawing/2014/main" id="{00000000-0008-0000-0600-0000D0020000}"/>
            </a:ext>
          </a:extLst>
        </xdr:cNvPr>
        <xdr:cNvCxnSpPr/>
      </xdr:nvCxnSpPr>
      <xdr:spPr>
        <a:xfrm>
          <a:off x="3476625" y="32000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174</xdr:row>
      <xdr:rowOff>127000</xdr:rowOff>
    </xdr:from>
    <xdr:to>
      <xdr:col>5</xdr:col>
      <xdr:colOff>356810</xdr:colOff>
      <xdr:row>174</xdr:row>
      <xdr:rowOff>409912</xdr:rowOff>
    </xdr:to>
    <xdr:cxnSp macro="">
      <xdr:nvCxnSpPr>
        <xdr:cNvPr id="721" name="Straight Connector 720">
          <a:extLst>
            <a:ext uri="{FF2B5EF4-FFF2-40B4-BE49-F238E27FC236}">
              <a16:creationId xmlns:a16="http://schemas.microsoft.com/office/drawing/2014/main" id="{00000000-0008-0000-0600-0000D1020000}"/>
            </a:ext>
          </a:extLst>
        </xdr:cNvPr>
        <xdr:cNvCxnSpPr/>
      </xdr:nvCxnSpPr>
      <xdr:spPr>
        <a:xfrm flipH="1" flipV="1">
          <a:off x="3481009" y="31948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174</xdr:row>
      <xdr:rowOff>134252</xdr:rowOff>
    </xdr:from>
    <xdr:to>
      <xdr:col>5</xdr:col>
      <xdr:colOff>1652211</xdr:colOff>
      <xdr:row>174</xdr:row>
      <xdr:rowOff>417164</xdr:rowOff>
    </xdr:to>
    <xdr:cxnSp macro="">
      <xdr:nvCxnSpPr>
        <xdr:cNvPr id="722" name="Straight Connector 721">
          <a:extLst>
            <a:ext uri="{FF2B5EF4-FFF2-40B4-BE49-F238E27FC236}">
              <a16:creationId xmlns:a16="http://schemas.microsoft.com/office/drawing/2014/main" id="{00000000-0008-0000-0600-0000D2020000}"/>
            </a:ext>
          </a:extLst>
        </xdr:cNvPr>
        <xdr:cNvCxnSpPr/>
      </xdr:nvCxnSpPr>
      <xdr:spPr>
        <a:xfrm flipH="1" flipV="1">
          <a:off x="3747710" y="31955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175</xdr:row>
      <xdr:rowOff>127000</xdr:rowOff>
    </xdr:from>
    <xdr:to>
      <xdr:col>5</xdr:col>
      <xdr:colOff>356235</xdr:colOff>
      <xdr:row>175</xdr:row>
      <xdr:rowOff>309880</xdr:rowOff>
    </xdr:to>
    <xdr:cxnSp macro="">
      <xdr:nvCxnSpPr>
        <xdr:cNvPr id="723" name="Straight Connector 722">
          <a:extLst>
            <a:ext uri="{FF2B5EF4-FFF2-40B4-BE49-F238E27FC236}">
              <a16:creationId xmlns:a16="http://schemas.microsoft.com/office/drawing/2014/main" id="{00000000-0008-0000-0600-0000D3020000}"/>
            </a:ext>
          </a:extLst>
        </xdr:cNvPr>
        <xdr:cNvCxnSpPr/>
      </xdr:nvCxnSpPr>
      <xdr:spPr>
        <a:xfrm flipH="1" flipV="1">
          <a:off x="3480435" y="32131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175</xdr:row>
      <xdr:rowOff>152400</xdr:rowOff>
    </xdr:from>
    <xdr:to>
      <xdr:col>5</xdr:col>
      <xdr:colOff>1676400</xdr:colOff>
      <xdr:row>175</xdr:row>
      <xdr:rowOff>152400</xdr:rowOff>
    </xdr:to>
    <xdr:cxnSp macro="">
      <xdr:nvCxnSpPr>
        <xdr:cNvPr id="724" name="Straight Connector 723">
          <a:extLst>
            <a:ext uri="{FF2B5EF4-FFF2-40B4-BE49-F238E27FC236}">
              <a16:creationId xmlns:a16="http://schemas.microsoft.com/office/drawing/2014/main" id="{00000000-0008-0000-0600-0000D4020000}"/>
            </a:ext>
          </a:extLst>
        </xdr:cNvPr>
        <xdr:cNvCxnSpPr/>
      </xdr:nvCxnSpPr>
      <xdr:spPr>
        <a:xfrm>
          <a:off x="3486150" y="32156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175</xdr:row>
      <xdr:rowOff>127000</xdr:rowOff>
    </xdr:from>
    <xdr:to>
      <xdr:col>5</xdr:col>
      <xdr:colOff>356810</xdr:colOff>
      <xdr:row>175</xdr:row>
      <xdr:rowOff>409912</xdr:rowOff>
    </xdr:to>
    <xdr:cxnSp macro="">
      <xdr:nvCxnSpPr>
        <xdr:cNvPr id="725" name="Straight Connector 724">
          <a:extLst>
            <a:ext uri="{FF2B5EF4-FFF2-40B4-BE49-F238E27FC236}">
              <a16:creationId xmlns:a16="http://schemas.microsoft.com/office/drawing/2014/main" id="{00000000-0008-0000-0600-0000D5020000}"/>
            </a:ext>
          </a:extLst>
        </xdr:cNvPr>
        <xdr:cNvCxnSpPr/>
      </xdr:nvCxnSpPr>
      <xdr:spPr>
        <a:xfrm flipH="1" flipV="1">
          <a:off x="3481009" y="32131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176</xdr:row>
      <xdr:rowOff>123824</xdr:rowOff>
    </xdr:from>
    <xdr:to>
      <xdr:col>5</xdr:col>
      <xdr:colOff>1428750</xdr:colOff>
      <xdr:row>176</xdr:row>
      <xdr:rowOff>1219199</xdr:rowOff>
    </xdr:to>
    <xdr:sp macro="" textlink="">
      <xdr:nvSpPr>
        <xdr:cNvPr id="726" name="Rounded Rectangle 725">
          <a:extLst>
            <a:ext uri="{FF2B5EF4-FFF2-40B4-BE49-F238E27FC236}">
              <a16:creationId xmlns:a16="http://schemas.microsoft.com/office/drawing/2014/main" id="{00000000-0008-0000-0600-0000D6020000}"/>
            </a:ext>
          </a:extLst>
        </xdr:cNvPr>
        <xdr:cNvSpPr/>
      </xdr:nvSpPr>
      <xdr:spPr>
        <a:xfrm>
          <a:off x="3745230" y="32310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176</xdr:row>
      <xdr:rowOff>238127</xdr:rowOff>
    </xdr:from>
    <xdr:to>
      <xdr:col>5</xdr:col>
      <xdr:colOff>790575</xdr:colOff>
      <xdr:row>176</xdr:row>
      <xdr:rowOff>361950</xdr:rowOff>
    </xdr:to>
    <xdr:cxnSp macro="">
      <xdr:nvCxnSpPr>
        <xdr:cNvPr id="727" name="Straight Connector 726">
          <a:extLst>
            <a:ext uri="{FF2B5EF4-FFF2-40B4-BE49-F238E27FC236}">
              <a16:creationId xmlns:a16="http://schemas.microsoft.com/office/drawing/2014/main" id="{00000000-0008-0000-0600-0000D7020000}"/>
            </a:ext>
          </a:extLst>
        </xdr:cNvPr>
        <xdr:cNvCxnSpPr/>
      </xdr:nvCxnSpPr>
      <xdr:spPr>
        <a:xfrm flipH="1" flipV="1">
          <a:off x="3749041" y="32371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176</xdr:row>
      <xdr:rowOff>133352</xdr:rowOff>
    </xdr:from>
    <xdr:to>
      <xdr:col>5</xdr:col>
      <xdr:colOff>885825</xdr:colOff>
      <xdr:row>176</xdr:row>
      <xdr:rowOff>257175</xdr:rowOff>
    </xdr:to>
    <xdr:cxnSp macro="">
      <xdr:nvCxnSpPr>
        <xdr:cNvPr id="728" name="Straight Connector 727">
          <a:extLst>
            <a:ext uri="{FF2B5EF4-FFF2-40B4-BE49-F238E27FC236}">
              <a16:creationId xmlns:a16="http://schemas.microsoft.com/office/drawing/2014/main" id="{00000000-0008-0000-0600-0000D8020000}"/>
            </a:ext>
          </a:extLst>
        </xdr:cNvPr>
        <xdr:cNvCxnSpPr/>
      </xdr:nvCxnSpPr>
      <xdr:spPr>
        <a:xfrm flipH="1" flipV="1">
          <a:off x="3745231" y="32320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180</xdr:row>
      <xdr:rowOff>127000</xdr:rowOff>
    </xdr:from>
    <xdr:to>
      <xdr:col>5</xdr:col>
      <xdr:colOff>356235</xdr:colOff>
      <xdr:row>180</xdr:row>
      <xdr:rowOff>309880</xdr:rowOff>
    </xdr:to>
    <xdr:cxnSp macro="">
      <xdr:nvCxnSpPr>
        <xdr:cNvPr id="729" name="Straight Connector 728">
          <a:extLst>
            <a:ext uri="{FF2B5EF4-FFF2-40B4-BE49-F238E27FC236}">
              <a16:creationId xmlns:a16="http://schemas.microsoft.com/office/drawing/2014/main" id="{00000000-0008-0000-0600-0000D9020000}"/>
            </a:ext>
          </a:extLst>
        </xdr:cNvPr>
        <xdr:cNvCxnSpPr/>
      </xdr:nvCxnSpPr>
      <xdr:spPr>
        <a:xfrm flipH="1" flipV="1">
          <a:off x="3480435" y="33045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180</xdr:row>
      <xdr:rowOff>400050</xdr:rowOff>
    </xdr:from>
    <xdr:to>
      <xdr:col>5</xdr:col>
      <xdr:colOff>1666875</xdr:colOff>
      <xdr:row>180</xdr:row>
      <xdr:rowOff>400050</xdr:rowOff>
    </xdr:to>
    <xdr:cxnSp macro="">
      <xdr:nvCxnSpPr>
        <xdr:cNvPr id="730" name="Straight Connector 729">
          <a:extLst>
            <a:ext uri="{FF2B5EF4-FFF2-40B4-BE49-F238E27FC236}">
              <a16:creationId xmlns:a16="http://schemas.microsoft.com/office/drawing/2014/main" id="{00000000-0008-0000-0600-0000DA020000}"/>
            </a:ext>
          </a:extLst>
        </xdr:cNvPr>
        <xdr:cNvCxnSpPr/>
      </xdr:nvCxnSpPr>
      <xdr:spPr>
        <a:xfrm>
          <a:off x="3476625" y="33097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180</xdr:row>
      <xdr:rowOff>127000</xdr:rowOff>
    </xdr:from>
    <xdr:to>
      <xdr:col>5</xdr:col>
      <xdr:colOff>356810</xdr:colOff>
      <xdr:row>180</xdr:row>
      <xdr:rowOff>409912</xdr:rowOff>
    </xdr:to>
    <xdr:cxnSp macro="">
      <xdr:nvCxnSpPr>
        <xdr:cNvPr id="731" name="Straight Connector 730">
          <a:extLst>
            <a:ext uri="{FF2B5EF4-FFF2-40B4-BE49-F238E27FC236}">
              <a16:creationId xmlns:a16="http://schemas.microsoft.com/office/drawing/2014/main" id="{00000000-0008-0000-0600-0000DB020000}"/>
            </a:ext>
          </a:extLst>
        </xdr:cNvPr>
        <xdr:cNvCxnSpPr/>
      </xdr:nvCxnSpPr>
      <xdr:spPr>
        <a:xfrm flipH="1" flipV="1">
          <a:off x="3481009" y="33045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180</xdr:row>
      <xdr:rowOff>134252</xdr:rowOff>
    </xdr:from>
    <xdr:to>
      <xdr:col>5</xdr:col>
      <xdr:colOff>1652211</xdr:colOff>
      <xdr:row>180</xdr:row>
      <xdr:rowOff>417164</xdr:rowOff>
    </xdr:to>
    <xdr:cxnSp macro="">
      <xdr:nvCxnSpPr>
        <xdr:cNvPr id="732" name="Straight Connector 731">
          <a:extLst>
            <a:ext uri="{FF2B5EF4-FFF2-40B4-BE49-F238E27FC236}">
              <a16:creationId xmlns:a16="http://schemas.microsoft.com/office/drawing/2014/main" id="{00000000-0008-0000-0600-0000DC020000}"/>
            </a:ext>
          </a:extLst>
        </xdr:cNvPr>
        <xdr:cNvCxnSpPr/>
      </xdr:nvCxnSpPr>
      <xdr:spPr>
        <a:xfrm flipH="1" flipV="1">
          <a:off x="3747710" y="33052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181</xdr:row>
      <xdr:rowOff>127000</xdr:rowOff>
    </xdr:from>
    <xdr:to>
      <xdr:col>5</xdr:col>
      <xdr:colOff>356235</xdr:colOff>
      <xdr:row>181</xdr:row>
      <xdr:rowOff>309880</xdr:rowOff>
    </xdr:to>
    <xdr:cxnSp macro="">
      <xdr:nvCxnSpPr>
        <xdr:cNvPr id="733" name="Straight Connector 732">
          <a:extLst>
            <a:ext uri="{FF2B5EF4-FFF2-40B4-BE49-F238E27FC236}">
              <a16:creationId xmlns:a16="http://schemas.microsoft.com/office/drawing/2014/main" id="{00000000-0008-0000-0600-0000DD020000}"/>
            </a:ext>
          </a:extLst>
        </xdr:cNvPr>
        <xdr:cNvCxnSpPr/>
      </xdr:nvCxnSpPr>
      <xdr:spPr>
        <a:xfrm flipH="1" flipV="1">
          <a:off x="3480435" y="33228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181</xdr:row>
      <xdr:rowOff>152400</xdr:rowOff>
    </xdr:from>
    <xdr:to>
      <xdr:col>5</xdr:col>
      <xdr:colOff>1676400</xdr:colOff>
      <xdr:row>181</xdr:row>
      <xdr:rowOff>152400</xdr:rowOff>
    </xdr:to>
    <xdr:cxnSp macro="">
      <xdr:nvCxnSpPr>
        <xdr:cNvPr id="734" name="Straight Connector 733">
          <a:extLst>
            <a:ext uri="{FF2B5EF4-FFF2-40B4-BE49-F238E27FC236}">
              <a16:creationId xmlns:a16="http://schemas.microsoft.com/office/drawing/2014/main" id="{00000000-0008-0000-0600-0000DE020000}"/>
            </a:ext>
          </a:extLst>
        </xdr:cNvPr>
        <xdr:cNvCxnSpPr/>
      </xdr:nvCxnSpPr>
      <xdr:spPr>
        <a:xfrm>
          <a:off x="3486150" y="33253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181</xdr:row>
      <xdr:rowOff>127000</xdr:rowOff>
    </xdr:from>
    <xdr:to>
      <xdr:col>5</xdr:col>
      <xdr:colOff>356810</xdr:colOff>
      <xdr:row>181</xdr:row>
      <xdr:rowOff>409912</xdr:rowOff>
    </xdr:to>
    <xdr:cxnSp macro="">
      <xdr:nvCxnSpPr>
        <xdr:cNvPr id="735" name="Straight Connector 734">
          <a:extLst>
            <a:ext uri="{FF2B5EF4-FFF2-40B4-BE49-F238E27FC236}">
              <a16:creationId xmlns:a16="http://schemas.microsoft.com/office/drawing/2014/main" id="{00000000-0008-0000-0600-0000DF020000}"/>
            </a:ext>
          </a:extLst>
        </xdr:cNvPr>
        <xdr:cNvCxnSpPr/>
      </xdr:nvCxnSpPr>
      <xdr:spPr>
        <a:xfrm flipH="1" flipV="1">
          <a:off x="3481009" y="33228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181</xdr:row>
      <xdr:rowOff>134252</xdr:rowOff>
    </xdr:from>
    <xdr:to>
      <xdr:col>5</xdr:col>
      <xdr:colOff>1652211</xdr:colOff>
      <xdr:row>181</xdr:row>
      <xdr:rowOff>417164</xdr:rowOff>
    </xdr:to>
    <xdr:cxnSp macro="">
      <xdr:nvCxnSpPr>
        <xdr:cNvPr id="736" name="Straight Connector 735">
          <a:extLst>
            <a:ext uri="{FF2B5EF4-FFF2-40B4-BE49-F238E27FC236}">
              <a16:creationId xmlns:a16="http://schemas.microsoft.com/office/drawing/2014/main" id="{00000000-0008-0000-0600-0000E0020000}"/>
            </a:ext>
          </a:extLst>
        </xdr:cNvPr>
        <xdr:cNvCxnSpPr/>
      </xdr:nvCxnSpPr>
      <xdr:spPr>
        <a:xfrm flipH="1" flipV="1">
          <a:off x="3747710" y="33235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182</xdr:row>
      <xdr:rowOff>123824</xdr:rowOff>
    </xdr:from>
    <xdr:to>
      <xdr:col>5</xdr:col>
      <xdr:colOff>1428750</xdr:colOff>
      <xdr:row>182</xdr:row>
      <xdr:rowOff>1219199</xdr:rowOff>
    </xdr:to>
    <xdr:sp macro="" textlink="">
      <xdr:nvSpPr>
        <xdr:cNvPr id="737" name="Rounded Rectangle 736">
          <a:extLst>
            <a:ext uri="{FF2B5EF4-FFF2-40B4-BE49-F238E27FC236}">
              <a16:creationId xmlns:a16="http://schemas.microsoft.com/office/drawing/2014/main" id="{00000000-0008-0000-0600-0000E1020000}"/>
            </a:ext>
          </a:extLst>
        </xdr:cNvPr>
        <xdr:cNvSpPr/>
      </xdr:nvSpPr>
      <xdr:spPr>
        <a:xfrm>
          <a:off x="3745230" y="33407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182</xdr:row>
      <xdr:rowOff>238127</xdr:rowOff>
    </xdr:from>
    <xdr:to>
      <xdr:col>5</xdr:col>
      <xdr:colOff>790575</xdr:colOff>
      <xdr:row>182</xdr:row>
      <xdr:rowOff>361950</xdr:rowOff>
    </xdr:to>
    <xdr:cxnSp macro="">
      <xdr:nvCxnSpPr>
        <xdr:cNvPr id="738" name="Straight Connector 737">
          <a:extLst>
            <a:ext uri="{FF2B5EF4-FFF2-40B4-BE49-F238E27FC236}">
              <a16:creationId xmlns:a16="http://schemas.microsoft.com/office/drawing/2014/main" id="{00000000-0008-0000-0600-0000E2020000}"/>
            </a:ext>
          </a:extLst>
        </xdr:cNvPr>
        <xdr:cNvCxnSpPr/>
      </xdr:nvCxnSpPr>
      <xdr:spPr>
        <a:xfrm flipH="1" flipV="1">
          <a:off x="3749041" y="33468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182</xdr:row>
      <xdr:rowOff>133352</xdr:rowOff>
    </xdr:from>
    <xdr:to>
      <xdr:col>5</xdr:col>
      <xdr:colOff>885825</xdr:colOff>
      <xdr:row>182</xdr:row>
      <xdr:rowOff>257175</xdr:rowOff>
    </xdr:to>
    <xdr:cxnSp macro="">
      <xdr:nvCxnSpPr>
        <xdr:cNvPr id="739" name="Straight Connector 738">
          <a:extLst>
            <a:ext uri="{FF2B5EF4-FFF2-40B4-BE49-F238E27FC236}">
              <a16:creationId xmlns:a16="http://schemas.microsoft.com/office/drawing/2014/main" id="{00000000-0008-0000-0600-0000E3020000}"/>
            </a:ext>
          </a:extLst>
        </xdr:cNvPr>
        <xdr:cNvCxnSpPr/>
      </xdr:nvCxnSpPr>
      <xdr:spPr>
        <a:xfrm flipH="1" flipV="1">
          <a:off x="3745231" y="33417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180</xdr:row>
      <xdr:rowOff>127000</xdr:rowOff>
    </xdr:from>
    <xdr:to>
      <xdr:col>5</xdr:col>
      <xdr:colOff>356235</xdr:colOff>
      <xdr:row>180</xdr:row>
      <xdr:rowOff>309880</xdr:rowOff>
    </xdr:to>
    <xdr:cxnSp macro="">
      <xdr:nvCxnSpPr>
        <xdr:cNvPr id="740" name="Straight Connector 739">
          <a:extLst>
            <a:ext uri="{FF2B5EF4-FFF2-40B4-BE49-F238E27FC236}">
              <a16:creationId xmlns:a16="http://schemas.microsoft.com/office/drawing/2014/main" id="{00000000-0008-0000-0600-0000E4020000}"/>
            </a:ext>
          </a:extLst>
        </xdr:cNvPr>
        <xdr:cNvCxnSpPr/>
      </xdr:nvCxnSpPr>
      <xdr:spPr>
        <a:xfrm flipH="1" flipV="1">
          <a:off x="3480435" y="33045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180</xdr:row>
      <xdr:rowOff>400050</xdr:rowOff>
    </xdr:from>
    <xdr:to>
      <xdr:col>5</xdr:col>
      <xdr:colOff>1666875</xdr:colOff>
      <xdr:row>180</xdr:row>
      <xdr:rowOff>400050</xdr:rowOff>
    </xdr:to>
    <xdr:cxnSp macro="">
      <xdr:nvCxnSpPr>
        <xdr:cNvPr id="741" name="Straight Connector 740">
          <a:extLst>
            <a:ext uri="{FF2B5EF4-FFF2-40B4-BE49-F238E27FC236}">
              <a16:creationId xmlns:a16="http://schemas.microsoft.com/office/drawing/2014/main" id="{00000000-0008-0000-0600-0000E5020000}"/>
            </a:ext>
          </a:extLst>
        </xdr:cNvPr>
        <xdr:cNvCxnSpPr/>
      </xdr:nvCxnSpPr>
      <xdr:spPr>
        <a:xfrm>
          <a:off x="3476625" y="33097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180</xdr:row>
      <xdr:rowOff>127000</xdr:rowOff>
    </xdr:from>
    <xdr:to>
      <xdr:col>5</xdr:col>
      <xdr:colOff>356810</xdr:colOff>
      <xdr:row>180</xdr:row>
      <xdr:rowOff>409912</xdr:rowOff>
    </xdr:to>
    <xdr:cxnSp macro="">
      <xdr:nvCxnSpPr>
        <xdr:cNvPr id="742" name="Straight Connector 741">
          <a:extLst>
            <a:ext uri="{FF2B5EF4-FFF2-40B4-BE49-F238E27FC236}">
              <a16:creationId xmlns:a16="http://schemas.microsoft.com/office/drawing/2014/main" id="{00000000-0008-0000-0600-0000E6020000}"/>
            </a:ext>
          </a:extLst>
        </xdr:cNvPr>
        <xdr:cNvCxnSpPr/>
      </xdr:nvCxnSpPr>
      <xdr:spPr>
        <a:xfrm flipH="1" flipV="1">
          <a:off x="3481009" y="33045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180</xdr:row>
      <xdr:rowOff>134252</xdr:rowOff>
    </xdr:from>
    <xdr:to>
      <xdr:col>5</xdr:col>
      <xdr:colOff>1652211</xdr:colOff>
      <xdr:row>180</xdr:row>
      <xdr:rowOff>417164</xdr:rowOff>
    </xdr:to>
    <xdr:cxnSp macro="">
      <xdr:nvCxnSpPr>
        <xdr:cNvPr id="743" name="Straight Connector 742">
          <a:extLst>
            <a:ext uri="{FF2B5EF4-FFF2-40B4-BE49-F238E27FC236}">
              <a16:creationId xmlns:a16="http://schemas.microsoft.com/office/drawing/2014/main" id="{00000000-0008-0000-0600-0000E7020000}"/>
            </a:ext>
          </a:extLst>
        </xdr:cNvPr>
        <xdr:cNvCxnSpPr/>
      </xdr:nvCxnSpPr>
      <xdr:spPr>
        <a:xfrm flipH="1" flipV="1">
          <a:off x="3747710" y="33052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181</xdr:row>
      <xdr:rowOff>127000</xdr:rowOff>
    </xdr:from>
    <xdr:to>
      <xdr:col>5</xdr:col>
      <xdr:colOff>356235</xdr:colOff>
      <xdr:row>181</xdr:row>
      <xdr:rowOff>309880</xdr:rowOff>
    </xdr:to>
    <xdr:cxnSp macro="">
      <xdr:nvCxnSpPr>
        <xdr:cNvPr id="744" name="Straight Connector 743">
          <a:extLst>
            <a:ext uri="{FF2B5EF4-FFF2-40B4-BE49-F238E27FC236}">
              <a16:creationId xmlns:a16="http://schemas.microsoft.com/office/drawing/2014/main" id="{00000000-0008-0000-0600-0000E8020000}"/>
            </a:ext>
          </a:extLst>
        </xdr:cNvPr>
        <xdr:cNvCxnSpPr/>
      </xdr:nvCxnSpPr>
      <xdr:spPr>
        <a:xfrm flipH="1" flipV="1">
          <a:off x="3480435" y="33228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181</xdr:row>
      <xdr:rowOff>152400</xdr:rowOff>
    </xdr:from>
    <xdr:to>
      <xdr:col>5</xdr:col>
      <xdr:colOff>1676400</xdr:colOff>
      <xdr:row>181</xdr:row>
      <xdr:rowOff>152400</xdr:rowOff>
    </xdr:to>
    <xdr:cxnSp macro="">
      <xdr:nvCxnSpPr>
        <xdr:cNvPr id="745" name="Straight Connector 744">
          <a:extLst>
            <a:ext uri="{FF2B5EF4-FFF2-40B4-BE49-F238E27FC236}">
              <a16:creationId xmlns:a16="http://schemas.microsoft.com/office/drawing/2014/main" id="{00000000-0008-0000-0600-0000E9020000}"/>
            </a:ext>
          </a:extLst>
        </xdr:cNvPr>
        <xdr:cNvCxnSpPr/>
      </xdr:nvCxnSpPr>
      <xdr:spPr>
        <a:xfrm>
          <a:off x="3486150" y="33253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181</xdr:row>
      <xdr:rowOff>127000</xdr:rowOff>
    </xdr:from>
    <xdr:to>
      <xdr:col>5</xdr:col>
      <xdr:colOff>356810</xdr:colOff>
      <xdr:row>181</xdr:row>
      <xdr:rowOff>409912</xdr:rowOff>
    </xdr:to>
    <xdr:cxnSp macro="">
      <xdr:nvCxnSpPr>
        <xdr:cNvPr id="746" name="Straight Connector 745">
          <a:extLst>
            <a:ext uri="{FF2B5EF4-FFF2-40B4-BE49-F238E27FC236}">
              <a16:creationId xmlns:a16="http://schemas.microsoft.com/office/drawing/2014/main" id="{00000000-0008-0000-0600-0000EA020000}"/>
            </a:ext>
          </a:extLst>
        </xdr:cNvPr>
        <xdr:cNvCxnSpPr/>
      </xdr:nvCxnSpPr>
      <xdr:spPr>
        <a:xfrm flipH="1" flipV="1">
          <a:off x="3481009" y="33228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181</xdr:row>
      <xdr:rowOff>134252</xdr:rowOff>
    </xdr:from>
    <xdr:to>
      <xdr:col>5</xdr:col>
      <xdr:colOff>1652211</xdr:colOff>
      <xdr:row>181</xdr:row>
      <xdr:rowOff>417164</xdr:rowOff>
    </xdr:to>
    <xdr:cxnSp macro="">
      <xdr:nvCxnSpPr>
        <xdr:cNvPr id="747" name="Straight Connector 746">
          <a:extLst>
            <a:ext uri="{FF2B5EF4-FFF2-40B4-BE49-F238E27FC236}">
              <a16:creationId xmlns:a16="http://schemas.microsoft.com/office/drawing/2014/main" id="{00000000-0008-0000-0600-0000EB020000}"/>
            </a:ext>
          </a:extLst>
        </xdr:cNvPr>
        <xdr:cNvCxnSpPr/>
      </xdr:nvCxnSpPr>
      <xdr:spPr>
        <a:xfrm flipH="1" flipV="1">
          <a:off x="3747710" y="33235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182</xdr:row>
      <xdr:rowOff>123824</xdr:rowOff>
    </xdr:from>
    <xdr:to>
      <xdr:col>5</xdr:col>
      <xdr:colOff>1428750</xdr:colOff>
      <xdr:row>182</xdr:row>
      <xdr:rowOff>1219199</xdr:rowOff>
    </xdr:to>
    <xdr:sp macro="" textlink="">
      <xdr:nvSpPr>
        <xdr:cNvPr id="748" name="Rounded Rectangle 747">
          <a:extLst>
            <a:ext uri="{FF2B5EF4-FFF2-40B4-BE49-F238E27FC236}">
              <a16:creationId xmlns:a16="http://schemas.microsoft.com/office/drawing/2014/main" id="{00000000-0008-0000-0600-0000EC020000}"/>
            </a:ext>
          </a:extLst>
        </xdr:cNvPr>
        <xdr:cNvSpPr/>
      </xdr:nvSpPr>
      <xdr:spPr>
        <a:xfrm>
          <a:off x="3745230" y="33407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182</xdr:row>
      <xdr:rowOff>238127</xdr:rowOff>
    </xdr:from>
    <xdr:to>
      <xdr:col>5</xdr:col>
      <xdr:colOff>790575</xdr:colOff>
      <xdr:row>182</xdr:row>
      <xdr:rowOff>361950</xdr:rowOff>
    </xdr:to>
    <xdr:cxnSp macro="">
      <xdr:nvCxnSpPr>
        <xdr:cNvPr id="749" name="Straight Connector 748">
          <a:extLst>
            <a:ext uri="{FF2B5EF4-FFF2-40B4-BE49-F238E27FC236}">
              <a16:creationId xmlns:a16="http://schemas.microsoft.com/office/drawing/2014/main" id="{00000000-0008-0000-0600-0000ED020000}"/>
            </a:ext>
          </a:extLst>
        </xdr:cNvPr>
        <xdr:cNvCxnSpPr/>
      </xdr:nvCxnSpPr>
      <xdr:spPr>
        <a:xfrm flipH="1" flipV="1">
          <a:off x="3749041" y="33468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182</xdr:row>
      <xdr:rowOff>133352</xdr:rowOff>
    </xdr:from>
    <xdr:to>
      <xdr:col>5</xdr:col>
      <xdr:colOff>885825</xdr:colOff>
      <xdr:row>182</xdr:row>
      <xdr:rowOff>257175</xdr:rowOff>
    </xdr:to>
    <xdr:cxnSp macro="">
      <xdr:nvCxnSpPr>
        <xdr:cNvPr id="750" name="Straight Connector 749">
          <a:extLst>
            <a:ext uri="{FF2B5EF4-FFF2-40B4-BE49-F238E27FC236}">
              <a16:creationId xmlns:a16="http://schemas.microsoft.com/office/drawing/2014/main" id="{00000000-0008-0000-0600-0000EE020000}"/>
            </a:ext>
          </a:extLst>
        </xdr:cNvPr>
        <xdr:cNvCxnSpPr/>
      </xdr:nvCxnSpPr>
      <xdr:spPr>
        <a:xfrm flipH="1" flipV="1">
          <a:off x="3745231" y="33417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180</xdr:row>
      <xdr:rowOff>127000</xdr:rowOff>
    </xdr:from>
    <xdr:to>
      <xdr:col>5</xdr:col>
      <xdr:colOff>356235</xdr:colOff>
      <xdr:row>180</xdr:row>
      <xdr:rowOff>309880</xdr:rowOff>
    </xdr:to>
    <xdr:cxnSp macro="">
      <xdr:nvCxnSpPr>
        <xdr:cNvPr id="751" name="Straight Connector 750">
          <a:extLst>
            <a:ext uri="{FF2B5EF4-FFF2-40B4-BE49-F238E27FC236}">
              <a16:creationId xmlns:a16="http://schemas.microsoft.com/office/drawing/2014/main" id="{00000000-0008-0000-0600-0000EF020000}"/>
            </a:ext>
          </a:extLst>
        </xdr:cNvPr>
        <xdr:cNvCxnSpPr/>
      </xdr:nvCxnSpPr>
      <xdr:spPr>
        <a:xfrm flipH="1" flipV="1">
          <a:off x="3480435" y="33045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180</xdr:row>
      <xdr:rowOff>400050</xdr:rowOff>
    </xdr:from>
    <xdr:to>
      <xdr:col>5</xdr:col>
      <xdr:colOff>1666875</xdr:colOff>
      <xdr:row>180</xdr:row>
      <xdr:rowOff>400050</xdr:rowOff>
    </xdr:to>
    <xdr:cxnSp macro="">
      <xdr:nvCxnSpPr>
        <xdr:cNvPr id="752" name="Straight Connector 751">
          <a:extLst>
            <a:ext uri="{FF2B5EF4-FFF2-40B4-BE49-F238E27FC236}">
              <a16:creationId xmlns:a16="http://schemas.microsoft.com/office/drawing/2014/main" id="{00000000-0008-0000-0600-0000F0020000}"/>
            </a:ext>
          </a:extLst>
        </xdr:cNvPr>
        <xdr:cNvCxnSpPr/>
      </xdr:nvCxnSpPr>
      <xdr:spPr>
        <a:xfrm>
          <a:off x="3476625" y="33097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180</xdr:row>
      <xdr:rowOff>127000</xdr:rowOff>
    </xdr:from>
    <xdr:to>
      <xdr:col>5</xdr:col>
      <xdr:colOff>356810</xdr:colOff>
      <xdr:row>180</xdr:row>
      <xdr:rowOff>409912</xdr:rowOff>
    </xdr:to>
    <xdr:cxnSp macro="">
      <xdr:nvCxnSpPr>
        <xdr:cNvPr id="753" name="Straight Connector 752">
          <a:extLst>
            <a:ext uri="{FF2B5EF4-FFF2-40B4-BE49-F238E27FC236}">
              <a16:creationId xmlns:a16="http://schemas.microsoft.com/office/drawing/2014/main" id="{00000000-0008-0000-0600-0000F1020000}"/>
            </a:ext>
          </a:extLst>
        </xdr:cNvPr>
        <xdr:cNvCxnSpPr/>
      </xdr:nvCxnSpPr>
      <xdr:spPr>
        <a:xfrm flipH="1" flipV="1">
          <a:off x="3481009" y="33045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180</xdr:row>
      <xdr:rowOff>134252</xdr:rowOff>
    </xdr:from>
    <xdr:to>
      <xdr:col>5</xdr:col>
      <xdr:colOff>1652211</xdr:colOff>
      <xdr:row>180</xdr:row>
      <xdr:rowOff>417164</xdr:rowOff>
    </xdr:to>
    <xdr:cxnSp macro="">
      <xdr:nvCxnSpPr>
        <xdr:cNvPr id="754" name="Straight Connector 753">
          <a:extLst>
            <a:ext uri="{FF2B5EF4-FFF2-40B4-BE49-F238E27FC236}">
              <a16:creationId xmlns:a16="http://schemas.microsoft.com/office/drawing/2014/main" id="{00000000-0008-0000-0600-0000F2020000}"/>
            </a:ext>
          </a:extLst>
        </xdr:cNvPr>
        <xdr:cNvCxnSpPr/>
      </xdr:nvCxnSpPr>
      <xdr:spPr>
        <a:xfrm flipH="1" flipV="1">
          <a:off x="3747710" y="33052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181</xdr:row>
      <xdr:rowOff>127000</xdr:rowOff>
    </xdr:from>
    <xdr:to>
      <xdr:col>5</xdr:col>
      <xdr:colOff>356235</xdr:colOff>
      <xdr:row>181</xdr:row>
      <xdr:rowOff>309880</xdr:rowOff>
    </xdr:to>
    <xdr:cxnSp macro="">
      <xdr:nvCxnSpPr>
        <xdr:cNvPr id="755" name="Straight Connector 754">
          <a:extLst>
            <a:ext uri="{FF2B5EF4-FFF2-40B4-BE49-F238E27FC236}">
              <a16:creationId xmlns:a16="http://schemas.microsoft.com/office/drawing/2014/main" id="{00000000-0008-0000-0600-0000F3020000}"/>
            </a:ext>
          </a:extLst>
        </xdr:cNvPr>
        <xdr:cNvCxnSpPr/>
      </xdr:nvCxnSpPr>
      <xdr:spPr>
        <a:xfrm flipH="1" flipV="1">
          <a:off x="3480435" y="33228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181</xdr:row>
      <xdr:rowOff>152400</xdr:rowOff>
    </xdr:from>
    <xdr:to>
      <xdr:col>5</xdr:col>
      <xdr:colOff>1676400</xdr:colOff>
      <xdr:row>181</xdr:row>
      <xdr:rowOff>152400</xdr:rowOff>
    </xdr:to>
    <xdr:cxnSp macro="">
      <xdr:nvCxnSpPr>
        <xdr:cNvPr id="756" name="Straight Connector 755">
          <a:extLst>
            <a:ext uri="{FF2B5EF4-FFF2-40B4-BE49-F238E27FC236}">
              <a16:creationId xmlns:a16="http://schemas.microsoft.com/office/drawing/2014/main" id="{00000000-0008-0000-0600-0000F4020000}"/>
            </a:ext>
          </a:extLst>
        </xdr:cNvPr>
        <xdr:cNvCxnSpPr/>
      </xdr:nvCxnSpPr>
      <xdr:spPr>
        <a:xfrm>
          <a:off x="3486150" y="33253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181</xdr:row>
      <xdr:rowOff>127000</xdr:rowOff>
    </xdr:from>
    <xdr:to>
      <xdr:col>5</xdr:col>
      <xdr:colOff>356810</xdr:colOff>
      <xdr:row>181</xdr:row>
      <xdr:rowOff>409912</xdr:rowOff>
    </xdr:to>
    <xdr:cxnSp macro="">
      <xdr:nvCxnSpPr>
        <xdr:cNvPr id="757" name="Straight Connector 756">
          <a:extLst>
            <a:ext uri="{FF2B5EF4-FFF2-40B4-BE49-F238E27FC236}">
              <a16:creationId xmlns:a16="http://schemas.microsoft.com/office/drawing/2014/main" id="{00000000-0008-0000-0600-0000F5020000}"/>
            </a:ext>
          </a:extLst>
        </xdr:cNvPr>
        <xdr:cNvCxnSpPr/>
      </xdr:nvCxnSpPr>
      <xdr:spPr>
        <a:xfrm flipH="1" flipV="1">
          <a:off x="3481009" y="33228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181</xdr:row>
      <xdr:rowOff>134252</xdr:rowOff>
    </xdr:from>
    <xdr:to>
      <xdr:col>5</xdr:col>
      <xdr:colOff>1652211</xdr:colOff>
      <xdr:row>181</xdr:row>
      <xdr:rowOff>417164</xdr:rowOff>
    </xdr:to>
    <xdr:cxnSp macro="">
      <xdr:nvCxnSpPr>
        <xdr:cNvPr id="758" name="Straight Connector 757">
          <a:extLst>
            <a:ext uri="{FF2B5EF4-FFF2-40B4-BE49-F238E27FC236}">
              <a16:creationId xmlns:a16="http://schemas.microsoft.com/office/drawing/2014/main" id="{00000000-0008-0000-0600-0000F6020000}"/>
            </a:ext>
          </a:extLst>
        </xdr:cNvPr>
        <xdr:cNvCxnSpPr/>
      </xdr:nvCxnSpPr>
      <xdr:spPr>
        <a:xfrm flipH="1" flipV="1">
          <a:off x="3747710" y="33235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182</xdr:row>
      <xdr:rowOff>123824</xdr:rowOff>
    </xdr:from>
    <xdr:to>
      <xdr:col>5</xdr:col>
      <xdr:colOff>1428750</xdr:colOff>
      <xdr:row>182</xdr:row>
      <xdr:rowOff>1219199</xdr:rowOff>
    </xdr:to>
    <xdr:sp macro="" textlink="">
      <xdr:nvSpPr>
        <xdr:cNvPr id="759" name="Rounded Rectangle 758">
          <a:extLst>
            <a:ext uri="{FF2B5EF4-FFF2-40B4-BE49-F238E27FC236}">
              <a16:creationId xmlns:a16="http://schemas.microsoft.com/office/drawing/2014/main" id="{00000000-0008-0000-0600-0000F7020000}"/>
            </a:ext>
          </a:extLst>
        </xdr:cNvPr>
        <xdr:cNvSpPr/>
      </xdr:nvSpPr>
      <xdr:spPr>
        <a:xfrm>
          <a:off x="3745230" y="33407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182</xdr:row>
      <xdr:rowOff>238127</xdr:rowOff>
    </xdr:from>
    <xdr:to>
      <xdr:col>5</xdr:col>
      <xdr:colOff>790575</xdr:colOff>
      <xdr:row>182</xdr:row>
      <xdr:rowOff>361950</xdr:rowOff>
    </xdr:to>
    <xdr:cxnSp macro="">
      <xdr:nvCxnSpPr>
        <xdr:cNvPr id="760" name="Straight Connector 759">
          <a:extLst>
            <a:ext uri="{FF2B5EF4-FFF2-40B4-BE49-F238E27FC236}">
              <a16:creationId xmlns:a16="http://schemas.microsoft.com/office/drawing/2014/main" id="{00000000-0008-0000-0600-0000F8020000}"/>
            </a:ext>
          </a:extLst>
        </xdr:cNvPr>
        <xdr:cNvCxnSpPr/>
      </xdr:nvCxnSpPr>
      <xdr:spPr>
        <a:xfrm flipH="1" flipV="1">
          <a:off x="3749041" y="33468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182</xdr:row>
      <xdr:rowOff>133352</xdr:rowOff>
    </xdr:from>
    <xdr:to>
      <xdr:col>5</xdr:col>
      <xdr:colOff>885825</xdr:colOff>
      <xdr:row>182</xdr:row>
      <xdr:rowOff>257175</xdr:rowOff>
    </xdr:to>
    <xdr:cxnSp macro="">
      <xdr:nvCxnSpPr>
        <xdr:cNvPr id="761" name="Straight Connector 760">
          <a:extLst>
            <a:ext uri="{FF2B5EF4-FFF2-40B4-BE49-F238E27FC236}">
              <a16:creationId xmlns:a16="http://schemas.microsoft.com/office/drawing/2014/main" id="{00000000-0008-0000-0600-0000F9020000}"/>
            </a:ext>
          </a:extLst>
        </xdr:cNvPr>
        <xdr:cNvCxnSpPr/>
      </xdr:nvCxnSpPr>
      <xdr:spPr>
        <a:xfrm flipH="1" flipV="1">
          <a:off x="3745231" y="33417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180</xdr:row>
      <xdr:rowOff>127000</xdr:rowOff>
    </xdr:from>
    <xdr:to>
      <xdr:col>5</xdr:col>
      <xdr:colOff>356235</xdr:colOff>
      <xdr:row>180</xdr:row>
      <xdr:rowOff>309880</xdr:rowOff>
    </xdr:to>
    <xdr:cxnSp macro="">
      <xdr:nvCxnSpPr>
        <xdr:cNvPr id="762" name="Straight Connector 761">
          <a:extLst>
            <a:ext uri="{FF2B5EF4-FFF2-40B4-BE49-F238E27FC236}">
              <a16:creationId xmlns:a16="http://schemas.microsoft.com/office/drawing/2014/main" id="{00000000-0008-0000-0600-0000FA020000}"/>
            </a:ext>
          </a:extLst>
        </xdr:cNvPr>
        <xdr:cNvCxnSpPr/>
      </xdr:nvCxnSpPr>
      <xdr:spPr>
        <a:xfrm flipH="1" flipV="1">
          <a:off x="3480435" y="33045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180</xdr:row>
      <xdr:rowOff>400050</xdr:rowOff>
    </xdr:from>
    <xdr:to>
      <xdr:col>5</xdr:col>
      <xdr:colOff>1666875</xdr:colOff>
      <xdr:row>180</xdr:row>
      <xdr:rowOff>400050</xdr:rowOff>
    </xdr:to>
    <xdr:cxnSp macro="">
      <xdr:nvCxnSpPr>
        <xdr:cNvPr id="763" name="Straight Connector 762">
          <a:extLst>
            <a:ext uri="{FF2B5EF4-FFF2-40B4-BE49-F238E27FC236}">
              <a16:creationId xmlns:a16="http://schemas.microsoft.com/office/drawing/2014/main" id="{00000000-0008-0000-0600-0000FB020000}"/>
            </a:ext>
          </a:extLst>
        </xdr:cNvPr>
        <xdr:cNvCxnSpPr/>
      </xdr:nvCxnSpPr>
      <xdr:spPr>
        <a:xfrm>
          <a:off x="3476625" y="33097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180</xdr:row>
      <xdr:rowOff>127000</xdr:rowOff>
    </xdr:from>
    <xdr:to>
      <xdr:col>5</xdr:col>
      <xdr:colOff>356810</xdr:colOff>
      <xdr:row>180</xdr:row>
      <xdr:rowOff>409912</xdr:rowOff>
    </xdr:to>
    <xdr:cxnSp macro="">
      <xdr:nvCxnSpPr>
        <xdr:cNvPr id="764" name="Straight Connector 763">
          <a:extLst>
            <a:ext uri="{FF2B5EF4-FFF2-40B4-BE49-F238E27FC236}">
              <a16:creationId xmlns:a16="http://schemas.microsoft.com/office/drawing/2014/main" id="{00000000-0008-0000-0600-0000FC020000}"/>
            </a:ext>
          </a:extLst>
        </xdr:cNvPr>
        <xdr:cNvCxnSpPr/>
      </xdr:nvCxnSpPr>
      <xdr:spPr>
        <a:xfrm flipH="1" flipV="1">
          <a:off x="3481009" y="33045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180</xdr:row>
      <xdr:rowOff>134252</xdr:rowOff>
    </xdr:from>
    <xdr:to>
      <xdr:col>5</xdr:col>
      <xdr:colOff>1652211</xdr:colOff>
      <xdr:row>180</xdr:row>
      <xdr:rowOff>417164</xdr:rowOff>
    </xdr:to>
    <xdr:cxnSp macro="">
      <xdr:nvCxnSpPr>
        <xdr:cNvPr id="765" name="Straight Connector 764">
          <a:extLst>
            <a:ext uri="{FF2B5EF4-FFF2-40B4-BE49-F238E27FC236}">
              <a16:creationId xmlns:a16="http://schemas.microsoft.com/office/drawing/2014/main" id="{00000000-0008-0000-0600-0000FD020000}"/>
            </a:ext>
          </a:extLst>
        </xdr:cNvPr>
        <xdr:cNvCxnSpPr/>
      </xdr:nvCxnSpPr>
      <xdr:spPr>
        <a:xfrm flipH="1" flipV="1">
          <a:off x="3747710" y="33052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181</xdr:row>
      <xdr:rowOff>127000</xdr:rowOff>
    </xdr:from>
    <xdr:to>
      <xdr:col>5</xdr:col>
      <xdr:colOff>356235</xdr:colOff>
      <xdr:row>181</xdr:row>
      <xdr:rowOff>309880</xdr:rowOff>
    </xdr:to>
    <xdr:cxnSp macro="">
      <xdr:nvCxnSpPr>
        <xdr:cNvPr id="766" name="Straight Connector 765">
          <a:extLst>
            <a:ext uri="{FF2B5EF4-FFF2-40B4-BE49-F238E27FC236}">
              <a16:creationId xmlns:a16="http://schemas.microsoft.com/office/drawing/2014/main" id="{00000000-0008-0000-0600-0000FE020000}"/>
            </a:ext>
          </a:extLst>
        </xdr:cNvPr>
        <xdr:cNvCxnSpPr/>
      </xdr:nvCxnSpPr>
      <xdr:spPr>
        <a:xfrm flipH="1" flipV="1">
          <a:off x="3480435" y="33228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181</xdr:row>
      <xdr:rowOff>152400</xdr:rowOff>
    </xdr:from>
    <xdr:to>
      <xdr:col>5</xdr:col>
      <xdr:colOff>1676400</xdr:colOff>
      <xdr:row>181</xdr:row>
      <xdr:rowOff>152400</xdr:rowOff>
    </xdr:to>
    <xdr:cxnSp macro="">
      <xdr:nvCxnSpPr>
        <xdr:cNvPr id="767" name="Straight Connector 766">
          <a:extLst>
            <a:ext uri="{FF2B5EF4-FFF2-40B4-BE49-F238E27FC236}">
              <a16:creationId xmlns:a16="http://schemas.microsoft.com/office/drawing/2014/main" id="{00000000-0008-0000-0600-0000FF020000}"/>
            </a:ext>
          </a:extLst>
        </xdr:cNvPr>
        <xdr:cNvCxnSpPr/>
      </xdr:nvCxnSpPr>
      <xdr:spPr>
        <a:xfrm>
          <a:off x="3486150" y="33253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181</xdr:row>
      <xdr:rowOff>127000</xdr:rowOff>
    </xdr:from>
    <xdr:to>
      <xdr:col>5</xdr:col>
      <xdr:colOff>356810</xdr:colOff>
      <xdr:row>181</xdr:row>
      <xdr:rowOff>409912</xdr:rowOff>
    </xdr:to>
    <xdr:cxnSp macro="">
      <xdr:nvCxnSpPr>
        <xdr:cNvPr id="768" name="Straight Connector 767">
          <a:extLst>
            <a:ext uri="{FF2B5EF4-FFF2-40B4-BE49-F238E27FC236}">
              <a16:creationId xmlns:a16="http://schemas.microsoft.com/office/drawing/2014/main" id="{00000000-0008-0000-0600-000000030000}"/>
            </a:ext>
          </a:extLst>
        </xdr:cNvPr>
        <xdr:cNvCxnSpPr/>
      </xdr:nvCxnSpPr>
      <xdr:spPr>
        <a:xfrm flipH="1" flipV="1">
          <a:off x="3481009" y="33228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182</xdr:row>
      <xdr:rowOff>123824</xdr:rowOff>
    </xdr:from>
    <xdr:to>
      <xdr:col>5</xdr:col>
      <xdr:colOff>1428750</xdr:colOff>
      <xdr:row>182</xdr:row>
      <xdr:rowOff>1219199</xdr:rowOff>
    </xdr:to>
    <xdr:sp macro="" textlink="">
      <xdr:nvSpPr>
        <xdr:cNvPr id="769" name="Rounded Rectangle 768">
          <a:extLst>
            <a:ext uri="{FF2B5EF4-FFF2-40B4-BE49-F238E27FC236}">
              <a16:creationId xmlns:a16="http://schemas.microsoft.com/office/drawing/2014/main" id="{00000000-0008-0000-0600-000001030000}"/>
            </a:ext>
          </a:extLst>
        </xdr:cNvPr>
        <xdr:cNvSpPr/>
      </xdr:nvSpPr>
      <xdr:spPr>
        <a:xfrm>
          <a:off x="3745230" y="33407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182</xdr:row>
      <xdr:rowOff>238127</xdr:rowOff>
    </xdr:from>
    <xdr:to>
      <xdr:col>5</xdr:col>
      <xdr:colOff>790575</xdr:colOff>
      <xdr:row>182</xdr:row>
      <xdr:rowOff>361950</xdr:rowOff>
    </xdr:to>
    <xdr:cxnSp macro="">
      <xdr:nvCxnSpPr>
        <xdr:cNvPr id="770" name="Straight Connector 769">
          <a:extLst>
            <a:ext uri="{FF2B5EF4-FFF2-40B4-BE49-F238E27FC236}">
              <a16:creationId xmlns:a16="http://schemas.microsoft.com/office/drawing/2014/main" id="{00000000-0008-0000-0600-000002030000}"/>
            </a:ext>
          </a:extLst>
        </xdr:cNvPr>
        <xdr:cNvCxnSpPr/>
      </xdr:nvCxnSpPr>
      <xdr:spPr>
        <a:xfrm flipH="1" flipV="1">
          <a:off x="3749041" y="33468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182</xdr:row>
      <xdr:rowOff>133352</xdr:rowOff>
    </xdr:from>
    <xdr:to>
      <xdr:col>5</xdr:col>
      <xdr:colOff>885825</xdr:colOff>
      <xdr:row>182</xdr:row>
      <xdr:rowOff>257175</xdr:rowOff>
    </xdr:to>
    <xdr:cxnSp macro="">
      <xdr:nvCxnSpPr>
        <xdr:cNvPr id="771" name="Straight Connector 770">
          <a:extLst>
            <a:ext uri="{FF2B5EF4-FFF2-40B4-BE49-F238E27FC236}">
              <a16:creationId xmlns:a16="http://schemas.microsoft.com/office/drawing/2014/main" id="{00000000-0008-0000-0600-000003030000}"/>
            </a:ext>
          </a:extLst>
        </xdr:cNvPr>
        <xdr:cNvCxnSpPr/>
      </xdr:nvCxnSpPr>
      <xdr:spPr>
        <a:xfrm flipH="1" flipV="1">
          <a:off x="3745231" y="33417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187</xdr:row>
      <xdr:rowOff>127000</xdr:rowOff>
    </xdr:from>
    <xdr:to>
      <xdr:col>5</xdr:col>
      <xdr:colOff>356235</xdr:colOff>
      <xdr:row>187</xdr:row>
      <xdr:rowOff>309880</xdr:rowOff>
    </xdr:to>
    <xdr:cxnSp macro="">
      <xdr:nvCxnSpPr>
        <xdr:cNvPr id="772" name="Straight Connector 771">
          <a:extLst>
            <a:ext uri="{FF2B5EF4-FFF2-40B4-BE49-F238E27FC236}">
              <a16:creationId xmlns:a16="http://schemas.microsoft.com/office/drawing/2014/main" id="{00000000-0008-0000-0600-000004030000}"/>
            </a:ext>
          </a:extLst>
        </xdr:cNvPr>
        <xdr:cNvCxnSpPr/>
      </xdr:nvCxnSpPr>
      <xdr:spPr>
        <a:xfrm flipH="1" flipV="1">
          <a:off x="3480435" y="34325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187</xdr:row>
      <xdr:rowOff>400050</xdr:rowOff>
    </xdr:from>
    <xdr:to>
      <xdr:col>5</xdr:col>
      <xdr:colOff>1666875</xdr:colOff>
      <xdr:row>187</xdr:row>
      <xdr:rowOff>400050</xdr:rowOff>
    </xdr:to>
    <xdr:cxnSp macro="">
      <xdr:nvCxnSpPr>
        <xdr:cNvPr id="773" name="Straight Connector 772">
          <a:extLst>
            <a:ext uri="{FF2B5EF4-FFF2-40B4-BE49-F238E27FC236}">
              <a16:creationId xmlns:a16="http://schemas.microsoft.com/office/drawing/2014/main" id="{00000000-0008-0000-0600-000005030000}"/>
            </a:ext>
          </a:extLst>
        </xdr:cNvPr>
        <xdr:cNvCxnSpPr/>
      </xdr:nvCxnSpPr>
      <xdr:spPr>
        <a:xfrm>
          <a:off x="3476625" y="34377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187</xdr:row>
      <xdr:rowOff>127000</xdr:rowOff>
    </xdr:from>
    <xdr:to>
      <xdr:col>5</xdr:col>
      <xdr:colOff>356810</xdr:colOff>
      <xdr:row>187</xdr:row>
      <xdr:rowOff>409912</xdr:rowOff>
    </xdr:to>
    <xdr:cxnSp macro="">
      <xdr:nvCxnSpPr>
        <xdr:cNvPr id="774" name="Straight Connector 773">
          <a:extLst>
            <a:ext uri="{FF2B5EF4-FFF2-40B4-BE49-F238E27FC236}">
              <a16:creationId xmlns:a16="http://schemas.microsoft.com/office/drawing/2014/main" id="{00000000-0008-0000-0600-000006030000}"/>
            </a:ext>
          </a:extLst>
        </xdr:cNvPr>
        <xdr:cNvCxnSpPr/>
      </xdr:nvCxnSpPr>
      <xdr:spPr>
        <a:xfrm flipH="1" flipV="1">
          <a:off x="3481009" y="34325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187</xdr:row>
      <xdr:rowOff>134252</xdr:rowOff>
    </xdr:from>
    <xdr:to>
      <xdr:col>5</xdr:col>
      <xdr:colOff>1652211</xdr:colOff>
      <xdr:row>187</xdr:row>
      <xdr:rowOff>417164</xdr:rowOff>
    </xdr:to>
    <xdr:cxnSp macro="">
      <xdr:nvCxnSpPr>
        <xdr:cNvPr id="775" name="Straight Connector 774">
          <a:extLst>
            <a:ext uri="{FF2B5EF4-FFF2-40B4-BE49-F238E27FC236}">
              <a16:creationId xmlns:a16="http://schemas.microsoft.com/office/drawing/2014/main" id="{00000000-0008-0000-0600-000007030000}"/>
            </a:ext>
          </a:extLst>
        </xdr:cNvPr>
        <xdr:cNvCxnSpPr/>
      </xdr:nvCxnSpPr>
      <xdr:spPr>
        <a:xfrm flipH="1" flipV="1">
          <a:off x="3747710" y="34332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188</xdr:row>
      <xdr:rowOff>127000</xdr:rowOff>
    </xdr:from>
    <xdr:to>
      <xdr:col>5</xdr:col>
      <xdr:colOff>356235</xdr:colOff>
      <xdr:row>188</xdr:row>
      <xdr:rowOff>309880</xdr:rowOff>
    </xdr:to>
    <xdr:cxnSp macro="">
      <xdr:nvCxnSpPr>
        <xdr:cNvPr id="776" name="Straight Connector 775">
          <a:extLst>
            <a:ext uri="{FF2B5EF4-FFF2-40B4-BE49-F238E27FC236}">
              <a16:creationId xmlns:a16="http://schemas.microsoft.com/office/drawing/2014/main" id="{00000000-0008-0000-0600-000008030000}"/>
            </a:ext>
          </a:extLst>
        </xdr:cNvPr>
        <xdr:cNvCxnSpPr/>
      </xdr:nvCxnSpPr>
      <xdr:spPr>
        <a:xfrm flipH="1" flipV="1">
          <a:off x="3480435" y="34508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188</xdr:row>
      <xdr:rowOff>152400</xdr:rowOff>
    </xdr:from>
    <xdr:to>
      <xdr:col>5</xdr:col>
      <xdr:colOff>1676400</xdr:colOff>
      <xdr:row>188</xdr:row>
      <xdr:rowOff>152400</xdr:rowOff>
    </xdr:to>
    <xdr:cxnSp macro="">
      <xdr:nvCxnSpPr>
        <xdr:cNvPr id="777" name="Straight Connector 776">
          <a:extLst>
            <a:ext uri="{FF2B5EF4-FFF2-40B4-BE49-F238E27FC236}">
              <a16:creationId xmlns:a16="http://schemas.microsoft.com/office/drawing/2014/main" id="{00000000-0008-0000-0600-000009030000}"/>
            </a:ext>
          </a:extLst>
        </xdr:cNvPr>
        <xdr:cNvCxnSpPr/>
      </xdr:nvCxnSpPr>
      <xdr:spPr>
        <a:xfrm>
          <a:off x="3486150" y="34533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188</xdr:row>
      <xdr:rowOff>127000</xdr:rowOff>
    </xdr:from>
    <xdr:to>
      <xdr:col>5</xdr:col>
      <xdr:colOff>356810</xdr:colOff>
      <xdr:row>188</xdr:row>
      <xdr:rowOff>409912</xdr:rowOff>
    </xdr:to>
    <xdr:cxnSp macro="">
      <xdr:nvCxnSpPr>
        <xdr:cNvPr id="778" name="Straight Connector 777">
          <a:extLst>
            <a:ext uri="{FF2B5EF4-FFF2-40B4-BE49-F238E27FC236}">
              <a16:creationId xmlns:a16="http://schemas.microsoft.com/office/drawing/2014/main" id="{00000000-0008-0000-0600-00000A030000}"/>
            </a:ext>
          </a:extLst>
        </xdr:cNvPr>
        <xdr:cNvCxnSpPr/>
      </xdr:nvCxnSpPr>
      <xdr:spPr>
        <a:xfrm flipH="1" flipV="1">
          <a:off x="3481009" y="34508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188</xdr:row>
      <xdr:rowOff>134252</xdr:rowOff>
    </xdr:from>
    <xdr:to>
      <xdr:col>5</xdr:col>
      <xdr:colOff>1652211</xdr:colOff>
      <xdr:row>188</xdr:row>
      <xdr:rowOff>417164</xdr:rowOff>
    </xdr:to>
    <xdr:cxnSp macro="">
      <xdr:nvCxnSpPr>
        <xdr:cNvPr id="779" name="Straight Connector 778">
          <a:extLst>
            <a:ext uri="{FF2B5EF4-FFF2-40B4-BE49-F238E27FC236}">
              <a16:creationId xmlns:a16="http://schemas.microsoft.com/office/drawing/2014/main" id="{00000000-0008-0000-0600-00000B030000}"/>
            </a:ext>
          </a:extLst>
        </xdr:cNvPr>
        <xdr:cNvCxnSpPr/>
      </xdr:nvCxnSpPr>
      <xdr:spPr>
        <a:xfrm flipH="1" flipV="1">
          <a:off x="3747710" y="34515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189</xdr:row>
      <xdr:rowOff>123824</xdr:rowOff>
    </xdr:from>
    <xdr:to>
      <xdr:col>5</xdr:col>
      <xdr:colOff>1428750</xdr:colOff>
      <xdr:row>189</xdr:row>
      <xdr:rowOff>1219199</xdr:rowOff>
    </xdr:to>
    <xdr:sp macro="" textlink="">
      <xdr:nvSpPr>
        <xdr:cNvPr id="780" name="Rounded Rectangle 779">
          <a:extLst>
            <a:ext uri="{FF2B5EF4-FFF2-40B4-BE49-F238E27FC236}">
              <a16:creationId xmlns:a16="http://schemas.microsoft.com/office/drawing/2014/main" id="{00000000-0008-0000-0600-00000C030000}"/>
            </a:ext>
          </a:extLst>
        </xdr:cNvPr>
        <xdr:cNvSpPr/>
      </xdr:nvSpPr>
      <xdr:spPr>
        <a:xfrm>
          <a:off x="3745230" y="34688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189</xdr:row>
      <xdr:rowOff>238127</xdr:rowOff>
    </xdr:from>
    <xdr:to>
      <xdr:col>5</xdr:col>
      <xdr:colOff>790575</xdr:colOff>
      <xdr:row>189</xdr:row>
      <xdr:rowOff>361950</xdr:rowOff>
    </xdr:to>
    <xdr:cxnSp macro="">
      <xdr:nvCxnSpPr>
        <xdr:cNvPr id="781" name="Straight Connector 780">
          <a:extLst>
            <a:ext uri="{FF2B5EF4-FFF2-40B4-BE49-F238E27FC236}">
              <a16:creationId xmlns:a16="http://schemas.microsoft.com/office/drawing/2014/main" id="{00000000-0008-0000-0600-00000D030000}"/>
            </a:ext>
          </a:extLst>
        </xdr:cNvPr>
        <xdr:cNvCxnSpPr/>
      </xdr:nvCxnSpPr>
      <xdr:spPr>
        <a:xfrm flipH="1" flipV="1">
          <a:off x="3749041" y="34749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189</xdr:row>
      <xdr:rowOff>133352</xdr:rowOff>
    </xdr:from>
    <xdr:to>
      <xdr:col>5</xdr:col>
      <xdr:colOff>885825</xdr:colOff>
      <xdr:row>189</xdr:row>
      <xdr:rowOff>257175</xdr:rowOff>
    </xdr:to>
    <xdr:cxnSp macro="">
      <xdr:nvCxnSpPr>
        <xdr:cNvPr id="782" name="Straight Connector 781">
          <a:extLst>
            <a:ext uri="{FF2B5EF4-FFF2-40B4-BE49-F238E27FC236}">
              <a16:creationId xmlns:a16="http://schemas.microsoft.com/office/drawing/2014/main" id="{00000000-0008-0000-0600-00000E030000}"/>
            </a:ext>
          </a:extLst>
        </xdr:cNvPr>
        <xdr:cNvCxnSpPr/>
      </xdr:nvCxnSpPr>
      <xdr:spPr>
        <a:xfrm flipH="1" flipV="1">
          <a:off x="3745231" y="34697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187</xdr:row>
      <xdr:rowOff>127000</xdr:rowOff>
    </xdr:from>
    <xdr:to>
      <xdr:col>5</xdr:col>
      <xdr:colOff>356235</xdr:colOff>
      <xdr:row>187</xdr:row>
      <xdr:rowOff>309880</xdr:rowOff>
    </xdr:to>
    <xdr:cxnSp macro="">
      <xdr:nvCxnSpPr>
        <xdr:cNvPr id="783" name="Straight Connector 782">
          <a:extLst>
            <a:ext uri="{FF2B5EF4-FFF2-40B4-BE49-F238E27FC236}">
              <a16:creationId xmlns:a16="http://schemas.microsoft.com/office/drawing/2014/main" id="{00000000-0008-0000-0600-00000F030000}"/>
            </a:ext>
          </a:extLst>
        </xdr:cNvPr>
        <xdr:cNvCxnSpPr/>
      </xdr:nvCxnSpPr>
      <xdr:spPr>
        <a:xfrm flipH="1" flipV="1">
          <a:off x="3480435" y="34325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187</xdr:row>
      <xdr:rowOff>400050</xdr:rowOff>
    </xdr:from>
    <xdr:to>
      <xdr:col>5</xdr:col>
      <xdr:colOff>1666875</xdr:colOff>
      <xdr:row>187</xdr:row>
      <xdr:rowOff>400050</xdr:rowOff>
    </xdr:to>
    <xdr:cxnSp macro="">
      <xdr:nvCxnSpPr>
        <xdr:cNvPr id="784" name="Straight Connector 783">
          <a:extLst>
            <a:ext uri="{FF2B5EF4-FFF2-40B4-BE49-F238E27FC236}">
              <a16:creationId xmlns:a16="http://schemas.microsoft.com/office/drawing/2014/main" id="{00000000-0008-0000-0600-000010030000}"/>
            </a:ext>
          </a:extLst>
        </xdr:cNvPr>
        <xdr:cNvCxnSpPr/>
      </xdr:nvCxnSpPr>
      <xdr:spPr>
        <a:xfrm>
          <a:off x="3476625" y="34377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187</xdr:row>
      <xdr:rowOff>127000</xdr:rowOff>
    </xdr:from>
    <xdr:to>
      <xdr:col>5</xdr:col>
      <xdr:colOff>356810</xdr:colOff>
      <xdr:row>187</xdr:row>
      <xdr:rowOff>409912</xdr:rowOff>
    </xdr:to>
    <xdr:cxnSp macro="">
      <xdr:nvCxnSpPr>
        <xdr:cNvPr id="785" name="Straight Connector 784">
          <a:extLst>
            <a:ext uri="{FF2B5EF4-FFF2-40B4-BE49-F238E27FC236}">
              <a16:creationId xmlns:a16="http://schemas.microsoft.com/office/drawing/2014/main" id="{00000000-0008-0000-0600-000011030000}"/>
            </a:ext>
          </a:extLst>
        </xdr:cNvPr>
        <xdr:cNvCxnSpPr/>
      </xdr:nvCxnSpPr>
      <xdr:spPr>
        <a:xfrm flipH="1" flipV="1">
          <a:off x="3481009" y="34325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187</xdr:row>
      <xdr:rowOff>134252</xdr:rowOff>
    </xdr:from>
    <xdr:to>
      <xdr:col>5</xdr:col>
      <xdr:colOff>1652211</xdr:colOff>
      <xdr:row>187</xdr:row>
      <xdr:rowOff>417164</xdr:rowOff>
    </xdr:to>
    <xdr:cxnSp macro="">
      <xdr:nvCxnSpPr>
        <xdr:cNvPr id="786" name="Straight Connector 785">
          <a:extLst>
            <a:ext uri="{FF2B5EF4-FFF2-40B4-BE49-F238E27FC236}">
              <a16:creationId xmlns:a16="http://schemas.microsoft.com/office/drawing/2014/main" id="{00000000-0008-0000-0600-000012030000}"/>
            </a:ext>
          </a:extLst>
        </xdr:cNvPr>
        <xdr:cNvCxnSpPr/>
      </xdr:nvCxnSpPr>
      <xdr:spPr>
        <a:xfrm flipH="1" flipV="1">
          <a:off x="3747710" y="34332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188</xdr:row>
      <xdr:rowOff>127000</xdr:rowOff>
    </xdr:from>
    <xdr:to>
      <xdr:col>5</xdr:col>
      <xdr:colOff>356235</xdr:colOff>
      <xdr:row>188</xdr:row>
      <xdr:rowOff>309880</xdr:rowOff>
    </xdr:to>
    <xdr:cxnSp macro="">
      <xdr:nvCxnSpPr>
        <xdr:cNvPr id="787" name="Straight Connector 786">
          <a:extLst>
            <a:ext uri="{FF2B5EF4-FFF2-40B4-BE49-F238E27FC236}">
              <a16:creationId xmlns:a16="http://schemas.microsoft.com/office/drawing/2014/main" id="{00000000-0008-0000-0600-000013030000}"/>
            </a:ext>
          </a:extLst>
        </xdr:cNvPr>
        <xdr:cNvCxnSpPr/>
      </xdr:nvCxnSpPr>
      <xdr:spPr>
        <a:xfrm flipH="1" flipV="1">
          <a:off x="3480435" y="34508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188</xdr:row>
      <xdr:rowOff>152400</xdr:rowOff>
    </xdr:from>
    <xdr:to>
      <xdr:col>5</xdr:col>
      <xdr:colOff>1676400</xdr:colOff>
      <xdr:row>188</xdr:row>
      <xdr:rowOff>152400</xdr:rowOff>
    </xdr:to>
    <xdr:cxnSp macro="">
      <xdr:nvCxnSpPr>
        <xdr:cNvPr id="788" name="Straight Connector 787">
          <a:extLst>
            <a:ext uri="{FF2B5EF4-FFF2-40B4-BE49-F238E27FC236}">
              <a16:creationId xmlns:a16="http://schemas.microsoft.com/office/drawing/2014/main" id="{00000000-0008-0000-0600-000014030000}"/>
            </a:ext>
          </a:extLst>
        </xdr:cNvPr>
        <xdr:cNvCxnSpPr/>
      </xdr:nvCxnSpPr>
      <xdr:spPr>
        <a:xfrm>
          <a:off x="3486150" y="34533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188</xdr:row>
      <xdr:rowOff>127000</xdr:rowOff>
    </xdr:from>
    <xdr:to>
      <xdr:col>5</xdr:col>
      <xdr:colOff>356810</xdr:colOff>
      <xdr:row>188</xdr:row>
      <xdr:rowOff>409912</xdr:rowOff>
    </xdr:to>
    <xdr:cxnSp macro="">
      <xdr:nvCxnSpPr>
        <xdr:cNvPr id="789" name="Straight Connector 788">
          <a:extLst>
            <a:ext uri="{FF2B5EF4-FFF2-40B4-BE49-F238E27FC236}">
              <a16:creationId xmlns:a16="http://schemas.microsoft.com/office/drawing/2014/main" id="{00000000-0008-0000-0600-000015030000}"/>
            </a:ext>
          </a:extLst>
        </xdr:cNvPr>
        <xdr:cNvCxnSpPr/>
      </xdr:nvCxnSpPr>
      <xdr:spPr>
        <a:xfrm flipH="1" flipV="1">
          <a:off x="3481009" y="34508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188</xdr:row>
      <xdr:rowOff>134252</xdr:rowOff>
    </xdr:from>
    <xdr:to>
      <xdr:col>5</xdr:col>
      <xdr:colOff>1652211</xdr:colOff>
      <xdr:row>188</xdr:row>
      <xdr:rowOff>417164</xdr:rowOff>
    </xdr:to>
    <xdr:cxnSp macro="">
      <xdr:nvCxnSpPr>
        <xdr:cNvPr id="790" name="Straight Connector 789">
          <a:extLst>
            <a:ext uri="{FF2B5EF4-FFF2-40B4-BE49-F238E27FC236}">
              <a16:creationId xmlns:a16="http://schemas.microsoft.com/office/drawing/2014/main" id="{00000000-0008-0000-0600-000016030000}"/>
            </a:ext>
          </a:extLst>
        </xdr:cNvPr>
        <xdr:cNvCxnSpPr/>
      </xdr:nvCxnSpPr>
      <xdr:spPr>
        <a:xfrm flipH="1" flipV="1">
          <a:off x="3747710" y="34515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189</xdr:row>
      <xdr:rowOff>123824</xdr:rowOff>
    </xdr:from>
    <xdr:to>
      <xdr:col>5</xdr:col>
      <xdr:colOff>1428750</xdr:colOff>
      <xdr:row>189</xdr:row>
      <xdr:rowOff>1219199</xdr:rowOff>
    </xdr:to>
    <xdr:sp macro="" textlink="">
      <xdr:nvSpPr>
        <xdr:cNvPr id="791" name="Rounded Rectangle 790">
          <a:extLst>
            <a:ext uri="{FF2B5EF4-FFF2-40B4-BE49-F238E27FC236}">
              <a16:creationId xmlns:a16="http://schemas.microsoft.com/office/drawing/2014/main" id="{00000000-0008-0000-0600-000017030000}"/>
            </a:ext>
          </a:extLst>
        </xdr:cNvPr>
        <xdr:cNvSpPr/>
      </xdr:nvSpPr>
      <xdr:spPr>
        <a:xfrm>
          <a:off x="3745230" y="34688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189</xdr:row>
      <xdr:rowOff>238127</xdr:rowOff>
    </xdr:from>
    <xdr:to>
      <xdr:col>5</xdr:col>
      <xdr:colOff>790575</xdr:colOff>
      <xdr:row>189</xdr:row>
      <xdr:rowOff>361950</xdr:rowOff>
    </xdr:to>
    <xdr:cxnSp macro="">
      <xdr:nvCxnSpPr>
        <xdr:cNvPr id="792" name="Straight Connector 791">
          <a:extLst>
            <a:ext uri="{FF2B5EF4-FFF2-40B4-BE49-F238E27FC236}">
              <a16:creationId xmlns:a16="http://schemas.microsoft.com/office/drawing/2014/main" id="{00000000-0008-0000-0600-000018030000}"/>
            </a:ext>
          </a:extLst>
        </xdr:cNvPr>
        <xdr:cNvCxnSpPr/>
      </xdr:nvCxnSpPr>
      <xdr:spPr>
        <a:xfrm flipH="1" flipV="1">
          <a:off x="3749041" y="34749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189</xdr:row>
      <xdr:rowOff>133352</xdr:rowOff>
    </xdr:from>
    <xdr:to>
      <xdr:col>5</xdr:col>
      <xdr:colOff>885825</xdr:colOff>
      <xdr:row>189</xdr:row>
      <xdr:rowOff>257175</xdr:rowOff>
    </xdr:to>
    <xdr:cxnSp macro="">
      <xdr:nvCxnSpPr>
        <xdr:cNvPr id="793" name="Straight Connector 792">
          <a:extLst>
            <a:ext uri="{FF2B5EF4-FFF2-40B4-BE49-F238E27FC236}">
              <a16:creationId xmlns:a16="http://schemas.microsoft.com/office/drawing/2014/main" id="{00000000-0008-0000-0600-000019030000}"/>
            </a:ext>
          </a:extLst>
        </xdr:cNvPr>
        <xdr:cNvCxnSpPr/>
      </xdr:nvCxnSpPr>
      <xdr:spPr>
        <a:xfrm flipH="1" flipV="1">
          <a:off x="3745231" y="34697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187</xdr:row>
      <xdr:rowOff>127000</xdr:rowOff>
    </xdr:from>
    <xdr:to>
      <xdr:col>5</xdr:col>
      <xdr:colOff>356235</xdr:colOff>
      <xdr:row>187</xdr:row>
      <xdr:rowOff>309880</xdr:rowOff>
    </xdr:to>
    <xdr:cxnSp macro="">
      <xdr:nvCxnSpPr>
        <xdr:cNvPr id="794" name="Straight Connector 793">
          <a:extLst>
            <a:ext uri="{FF2B5EF4-FFF2-40B4-BE49-F238E27FC236}">
              <a16:creationId xmlns:a16="http://schemas.microsoft.com/office/drawing/2014/main" id="{00000000-0008-0000-0600-00001A030000}"/>
            </a:ext>
          </a:extLst>
        </xdr:cNvPr>
        <xdr:cNvCxnSpPr/>
      </xdr:nvCxnSpPr>
      <xdr:spPr>
        <a:xfrm flipH="1" flipV="1">
          <a:off x="3480435" y="34325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187</xdr:row>
      <xdr:rowOff>400050</xdr:rowOff>
    </xdr:from>
    <xdr:to>
      <xdr:col>5</xdr:col>
      <xdr:colOff>1666875</xdr:colOff>
      <xdr:row>187</xdr:row>
      <xdr:rowOff>400050</xdr:rowOff>
    </xdr:to>
    <xdr:cxnSp macro="">
      <xdr:nvCxnSpPr>
        <xdr:cNvPr id="795" name="Straight Connector 794">
          <a:extLst>
            <a:ext uri="{FF2B5EF4-FFF2-40B4-BE49-F238E27FC236}">
              <a16:creationId xmlns:a16="http://schemas.microsoft.com/office/drawing/2014/main" id="{00000000-0008-0000-0600-00001B030000}"/>
            </a:ext>
          </a:extLst>
        </xdr:cNvPr>
        <xdr:cNvCxnSpPr/>
      </xdr:nvCxnSpPr>
      <xdr:spPr>
        <a:xfrm>
          <a:off x="3476625" y="34377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187</xdr:row>
      <xdr:rowOff>127000</xdr:rowOff>
    </xdr:from>
    <xdr:to>
      <xdr:col>5</xdr:col>
      <xdr:colOff>356810</xdr:colOff>
      <xdr:row>187</xdr:row>
      <xdr:rowOff>409912</xdr:rowOff>
    </xdr:to>
    <xdr:cxnSp macro="">
      <xdr:nvCxnSpPr>
        <xdr:cNvPr id="796" name="Straight Connector 795">
          <a:extLst>
            <a:ext uri="{FF2B5EF4-FFF2-40B4-BE49-F238E27FC236}">
              <a16:creationId xmlns:a16="http://schemas.microsoft.com/office/drawing/2014/main" id="{00000000-0008-0000-0600-00001C030000}"/>
            </a:ext>
          </a:extLst>
        </xdr:cNvPr>
        <xdr:cNvCxnSpPr/>
      </xdr:nvCxnSpPr>
      <xdr:spPr>
        <a:xfrm flipH="1" flipV="1">
          <a:off x="3481009" y="34325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187</xdr:row>
      <xdr:rowOff>134252</xdr:rowOff>
    </xdr:from>
    <xdr:to>
      <xdr:col>5</xdr:col>
      <xdr:colOff>1652211</xdr:colOff>
      <xdr:row>187</xdr:row>
      <xdr:rowOff>417164</xdr:rowOff>
    </xdr:to>
    <xdr:cxnSp macro="">
      <xdr:nvCxnSpPr>
        <xdr:cNvPr id="797" name="Straight Connector 796">
          <a:extLst>
            <a:ext uri="{FF2B5EF4-FFF2-40B4-BE49-F238E27FC236}">
              <a16:creationId xmlns:a16="http://schemas.microsoft.com/office/drawing/2014/main" id="{00000000-0008-0000-0600-00001D030000}"/>
            </a:ext>
          </a:extLst>
        </xdr:cNvPr>
        <xdr:cNvCxnSpPr/>
      </xdr:nvCxnSpPr>
      <xdr:spPr>
        <a:xfrm flipH="1" flipV="1">
          <a:off x="3747710" y="34332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188</xdr:row>
      <xdr:rowOff>127000</xdr:rowOff>
    </xdr:from>
    <xdr:to>
      <xdr:col>5</xdr:col>
      <xdr:colOff>356235</xdr:colOff>
      <xdr:row>188</xdr:row>
      <xdr:rowOff>309880</xdr:rowOff>
    </xdr:to>
    <xdr:cxnSp macro="">
      <xdr:nvCxnSpPr>
        <xdr:cNvPr id="798" name="Straight Connector 797">
          <a:extLst>
            <a:ext uri="{FF2B5EF4-FFF2-40B4-BE49-F238E27FC236}">
              <a16:creationId xmlns:a16="http://schemas.microsoft.com/office/drawing/2014/main" id="{00000000-0008-0000-0600-00001E030000}"/>
            </a:ext>
          </a:extLst>
        </xdr:cNvPr>
        <xdr:cNvCxnSpPr/>
      </xdr:nvCxnSpPr>
      <xdr:spPr>
        <a:xfrm flipH="1" flipV="1">
          <a:off x="3480435" y="34508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188</xdr:row>
      <xdr:rowOff>152400</xdr:rowOff>
    </xdr:from>
    <xdr:to>
      <xdr:col>5</xdr:col>
      <xdr:colOff>1676400</xdr:colOff>
      <xdr:row>188</xdr:row>
      <xdr:rowOff>152400</xdr:rowOff>
    </xdr:to>
    <xdr:cxnSp macro="">
      <xdr:nvCxnSpPr>
        <xdr:cNvPr id="799" name="Straight Connector 798">
          <a:extLst>
            <a:ext uri="{FF2B5EF4-FFF2-40B4-BE49-F238E27FC236}">
              <a16:creationId xmlns:a16="http://schemas.microsoft.com/office/drawing/2014/main" id="{00000000-0008-0000-0600-00001F030000}"/>
            </a:ext>
          </a:extLst>
        </xdr:cNvPr>
        <xdr:cNvCxnSpPr/>
      </xdr:nvCxnSpPr>
      <xdr:spPr>
        <a:xfrm>
          <a:off x="3486150" y="34533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188</xdr:row>
      <xdr:rowOff>127000</xdr:rowOff>
    </xdr:from>
    <xdr:to>
      <xdr:col>5</xdr:col>
      <xdr:colOff>356810</xdr:colOff>
      <xdr:row>188</xdr:row>
      <xdr:rowOff>409912</xdr:rowOff>
    </xdr:to>
    <xdr:cxnSp macro="">
      <xdr:nvCxnSpPr>
        <xdr:cNvPr id="800" name="Straight Connector 799">
          <a:extLst>
            <a:ext uri="{FF2B5EF4-FFF2-40B4-BE49-F238E27FC236}">
              <a16:creationId xmlns:a16="http://schemas.microsoft.com/office/drawing/2014/main" id="{00000000-0008-0000-0600-000020030000}"/>
            </a:ext>
          </a:extLst>
        </xdr:cNvPr>
        <xdr:cNvCxnSpPr/>
      </xdr:nvCxnSpPr>
      <xdr:spPr>
        <a:xfrm flipH="1" flipV="1">
          <a:off x="3481009" y="34508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188</xdr:row>
      <xdr:rowOff>134252</xdr:rowOff>
    </xdr:from>
    <xdr:to>
      <xdr:col>5</xdr:col>
      <xdr:colOff>1652211</xdr:colOff>
      <xdr:row>188</xdr:row>
      <xdr:rowOff>417164</xdr:rowOff>
    </xdr:to>
    <xdr:cxnSp macro="">
      <xdr:nvCxnSpPr>
        <xdr:cNvPr id="801" name="Straight Connector 800">
          <a:extLst>
            <a:ext uri="{FF2B5EF4-FFF2-40B4-BE49-F238E27FC236}">
              <a16:creationId xmlns:a16="http://schemas.microsoft.com/office/drawing/2014/main" id="{00000000-0008-0000-0600-000021030000}"/>
            </a:ext>
          </a:extLst>
        </xdr:cNvPr>
        <xdr:cNvCxnSpPr/>
      </xdr:nvCxnSpPr>
      <xdr:spPr>
        <a:xfrm flipH="1" flipV="1">
          <a:off x="3747710" y="34515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189</xdr:row>
      <xdr:rowOff>123824</xdr:rowOff>
    </xdr:from>
    <xdr:to>
      <xdr:col>5</xdr:col>
      <xdr:colOff>1428750</xdr:colOff>
      <xdr:row>189</xdr:row>
      <xdr:rowOff>1219199</xdr:rowOff>
    </xdr:to>
    <xdr:sp macro="" textlink="">
      <xdr:nvSpPr>
        <xdr:cNvPr id="802" name="Rounded Rectangle 801">
          <a:extLst>
            <a:ext uri="{FF2B5EF4-FFF2-40B4-BE49-F238E27FC236}">
              <a16:creationId xmlns:a16="http://schemas.microsoft.com/office/drawing/2014/main" id="{00000000-0008-0000-0600-000022030000}"/>
            </a:ext>
          </a:extLst>
        </xdr:cNvPr>
        <xdr:cNvSpPr/>
      </xdr:nvSpPr>
      <xdr:spPr>
        <a:xfrm>
          <a:off x="3745230" y="34688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189</xdr:row>
      <xdr:rowOff>238127</xdr:rowOff>
    </xdr:from>
    <xdr:to>
      <xdr:col>5</xdr:col>
      <xdr:colOff>790575</xdr:colOff>
      <xdr:row>189</xdr:row>
      <xdr:rowOff>361950</xdr:rowOff>
    </xdr:to>
    <xdr:cxnSp macro="">
      <xdr:nvCxnSpPr>
        <xdr:cNvPr id="803" name="Straight Connector 802">
          <a:extLst>
            <a:ext uri="{FF2B5EF4-FFF2-40B4-BE49-F238E27FC236}">
              <a16:creationId xmlns:a16="http://schemas.microsoft.com/office/drawing/2014/main" id="{00000000-0008-0000-0600-000023030000}"/>
            </a:ext>
          </a:extLst>
        </xdr:cNvPr>
        <xdr:cNvCxnSpPr/>
      </xdr:nvCxnSpPr>
      <xdr:spPr>
        <a:xfrm flipH="1" flipV="1">
          <a:off x="3749041" y="34749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189</xdr:row>
      <xdr:rowOff>133352</xdr:rowOff>
    </xdr:from>
    <xdr:to>
      <xdr:col>5</xdr:col>
      <xdr:colOff>885825</xdr:colOff>
      <xdr:row>189</xdr:row>
      <xdr:rowOff>257175</xdr:rowOff>
    </xdr:to>
    <xdr:cxnSp macro="">
      <xdr:nvCxnSpPr>
        <xdr:cNvPr id="804" name="Straight Connector 803">
          <a:extLst>
            <a:ext uri="{FF2B5EF4-FFF2-40B4-BE49-F238E27FC236}">
              <a16:creationId xmlns:a16="http://schemas.microsoft.com/office/drawing/2014/main" id="{00000000-0008-0000-0600-000024030000}"/>
            </a:ext>
          </a:extLst>
        </xdr:cNvPr>
        <xdr:cNvCxnSpPr/>
      </xdr:nvCxnSpPr>
      <xdr:spPr>
        <a:xfrm flipH="1" flipV="1">
          <a:off x="3745231" y="34697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187</xdr:row>
      <xdr:rowOff>127000</xdr:rowOff>
    </xdr:from>
    <xdr:to>
      <xdr:col>5</xdr:col>
      <xdr:colOff>356235</xdr:colOff>
      <xdr:row>187</xdr:row>
      <xdr:rowOff>309880</xdr:rowOff>
    </xdr:to>
    <xdr:cxnSp macro="">
      <xdr:nvCxnSpPr>
        <xdr:cNvPr id="805" name="Straight Connector 804">
          <a:extLst>
            <a:ext uri="{FF2B5EF4-FFF2-40B4-BE49-F238E27FC236}">
              <a16:creationId xmlns:a16="http://schemas.microsoft.com/office/drawing/2014/main" id="{00000000-0008-0000-0600-000025030000}"/>
            </a:ext>
          </a:extLst>
        </xdr:cNvPr>
        <xdr:cNvCxnSpPr/>
      </xdr:nvCxnSpPr>
      <xdr:spPr>
        <a:xfrm flipH="1" flipV="1">
          <a:off x="3480435" y="34325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187</xdr:row>
      <xdr:rowOff>400050</xdr:rowOff>
    </xdr:from>
    <xdr:to>
      <xdr:col>5</xdr:col>
      <xdr:colOff>1666875</xdr:colOff>
      <xdr:row>187</xdr:row>
      <xdr:rowOff>400050</xdr:rowOff>
    </xdr:to>
    <xdr:cxnSp macro="">
      <xdr:nvCxnSpPr>
        <xdr:cNvPr id="806" name="Straight Connector 805">
          <a:extLst>
            <a:ext uri="{FF2B5EF4-FFF2-40B4-BE49-F238E27FC236}">
              <a16:creationId xmlns:a16="http://schemas.microsoft.com/office/drawing/2014/main" id="{00000000-0008-0000-0600-000026030000}"/>
            </a:ext>
          </a:extLst>
        </xdr:cNvPr>
        <xdr:cNvCxnSpPr/>
      </xdr:nvCxnSpPr>
      <xdr:spPr>
        <a:xfrm>
          <a:off x="3476625" y="34377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187</xdr:row>
      <xdr:rowOff>127000</xdr:rowOff>
    </xdr:from>
    <xdr:to>
      <xdr:col>5</xdr:col>
      <xdr:colOff>356810</xdr:colOff>
      <xdr:row>187</xdr:row>
      <xdr:rowOff>409912</xdr:rowOff>
    </xdr:to>
    <xdr:cxnSp macro="">
      <xdr:nvCxnSpPr>
        <xdr:cNvPr id="807" name="Straight Connector 806">
          <a:extLst>
            <a:ext uri="{FF2B5EF4-FFF2-40B4-BE49-F238E27FC236}">
              <a16:creationId xmlns:a16="http://schemas.microsoft.com/office/drawing/2014/main" id="{00000000-0008-0000-0600-000027030000}"/>
            </a:ext>
          </a:extLst>
        </xdr:cNvPr>
        <xdr:cNvCxnSpPr/>
      </xdr:nvCxnSpPr>
      <xdr:spPr>
        <a:xfrm flipH="1" flipV="1">
          <a:off x="3481009" y="34325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187</xdr:row>
      <xdr:rowOff>134252</xdr:rowOff>
    </xdr:from>
    <xdr:to>
      <xdr:col>5</xdr:col>
      <xdr:colOff>1652211</xdr:colOff>
      <xdr:row>187</xdr:row>
      <xdr:rowOff>417164</xdr:rowOff>
    </xdr:to>
    <xdr:cxnSp macro="">
      <xdr:nvCxnSpPr>
        <xdr:cNvPr id="808" name="Straight Connector 807">
          <a:extLst>
            <a:ext uri="{FF2B5EF4-FFF2-40B4-BE49-F238E27FC236}">
              <a16:creationId xmlns:a16="http://schemas.microsoft.com/office/drawing/2014/main" id="{00000000-0008-0000-0600-000028030000}"/>
            </a:ext>
          </a:extLst>
        </xdr:cNvPr>
        <xdr:cNvCxnSpPr/>
      </xdr:nvCxnSpPr>
      <xdr:spPr>
        <a:xfrm flipH="1" flipV="1">
          <a:off x="3747710" y="34332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188</xdr:row>
      <xdr:rowOff>127000</xdr:rowOff>
    </xdr:from>
    <xdr:to>
      <xdr:col>5</xdr:col>
      <xdr:colOff>356235</xdr:colOff>
      <xdr:row>188</xdr:row>
      <xdr:rowOff>309880</xdr:rowOff>
    </xdr:to>
    <xdr:cxnSp macro="">
      <xdr:nvCxnSpPr>
        <xdr:cNvPr id="809" name="Straight Connector 808">
          <a:extLst>
            <a:ext uri="{FF2B5EF4-FFF2-40B4-BE49-F238E27FC236}">
              <a16:creationId xmlns:a16="http://schemas.microsoft.com/office/drawing/2014/main" id="{00000000-0008-0000-0600-000029030000}"/>
            </a:ext>
          </a:extLst>
        </xdr:cNvPr>
        <xdr:cNvCxnSpPr/>
      </xdr:nvCxnSpPr>
      <xdr:spPr>
        <a:xfrm flipH="1" flipV="1">
          <a:off x="3480435" y="34508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188</xdr:row>
      <xdr:rowOff>152400</xdr:rowOff>
    </xdr:from>
    <xdr:to>
      <xdr:col>5</xdr:col>
      <xdr:colOff>1676400</xdr:colOff>
      <xdr:row>188</xdr:row>
      <xdr:rowOff>152400</xdr:rowOff>
    </xdr:to>
    <xdr:cxnSp macro="">
      <xdr:nvCxnSpPr>
        <xdr:cNvPr id="810" name="Straight Connector 809">
          <a:extLst>
            <a:ext uri="{FF2B5EF4-FFF2-40B4-BE49-F238E27FC236}">
              <a16:creationId xmlns:a16="http://schemas.microsoft.com/office/drawing/2014/main" id="{00000000-0008-0000-0600-00002A030000}"/>
            </a:ext>
          </a:extLst>
        </xdr:cNvPr>
        <xdr:cNvCxnSpPr/>
      </xdr:nvCxnSpPr>
      <xdr:spPr>
        <a:xfrm>
          <a:off x="3486150" y="34533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188</xdr:row>
      <xdr:rowOff>127000</xdr:rowOff>
    </xdr:from>
    <xdr:to>
      <xdr:col>5</xdr:col>
      <xdr:colOff>356810</xdr:colOff>
      <xdr:row>188</xdr:row>
      <xdr:rowOff>409912</xdr:rowOff>
    </xdr:to>
    <xdr:cxnSp macro="">
      <xdr:nvCxnSpPr>
        <xdr:cNvPr id="811" name="Straight Connector 810">
          <a:extLst>
            <a:ext uri="{FF2B5EF4-FFF2-40B4-BE49-F238E27FC236}">
              <a16:creationId xmlns:a16="http://schemas.microsoft.com/office/drawing/2014/main" id="{00000000-0008-0000-0600-00002B030000}"/>
            </a:ext>
          </a:extLst>
        </xdr:cNvPr>
        <xdr:cNvCxnSpPr/>
      </xdr:nvCxnSpPr>
      <xdr:spPr>
        <a:xfrm flipH="1" flipV="1">
          <a:off x="3481009" y="34508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189</xdr:row>
      <xdr:rowOff>123824</xdr:rowOff>
    </xdr:from>
    <xdr:to>
      <xdr:col>5</xdr:col>
      <xdr:colOff>1428750</xdr:colOff>
      <xdr:row>189</xdr:row>
      <xdr:rowOff>1219199</xdr:rowOff>
    </xdr:to>
    <xdr:sp macro="" textlink="">
      <xdr:nvSpPr>
        <xdr:cNvPr id="812" name="Rounded Rectangle 811">
          <a:extLst>
            <a:ext uri="{FF2B5EF4-FFF2-40B4-BE49-F238E27FC236}">
              <a16:creationId xmlns:a16="http://schemas.microsoft.com/office/drawing/2014/main" id="{00000000-0008-0000-0600-00002C030000}"/>
            </a:ext>
          </a:extLst>
        </xdr:cNvPr>
        <xdr:cNvSpPr/>
      </xdr:nvSpPr>
      <xdr:spPr>
        <a:xfrm>
          <a:off x="3745230" y="34688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189</xdr:row>
      <xdr:rowOff>238127</xdr:rowOff>
    </xdr:from>
    <xdr:to>
      <xdr:col>5</xdr:col>
      <xdr:colOff>790575</xdr:colOff>
      <xdr:row>189</xdr:row>
      <xdr:rowOff>361950</xdr:rowOff>
    </xdr:to>
    <xdr:cxnSp macro="">
      <xdr:nvCxnSpPr>
        <xdr:cNvPr id="813" name="Straight Connector 812">
          <a:extLst>
            <a:ext uri="{FF2B5EF4-FFF2-40B4-BE49-F238E27FC236}">
              <a16:creationId xmlns:a16="http://schemas.microsoft.com/office/drawing/2014/main" id="{00000000-0008-0000-0600-00002D030000}"/>
            </a:ext>
          </a:extLst>
        </xdr:cNvPr>
        <xdr:cNvCxnSpPr/>
      </xdr:nvCxnSpPr>
      <xdr:spPr>
        <a:xfrm flipH="1" flipV="1">
          <a:off x="3749041" y="34749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189</xdr:row>
      <xdr:rowOff>133352</xdr:rowOff>
    </xdr:from>
    <xdr:to>
      <xdr:col>5</xdr:col>
      <xdr:colOff>885825</xdr:colOff>
      <xdr:row>189</xdr:row>
      <xdr:rowOff>257175</xdr:rowOff>
    </xdr:to>
    <xdr:cxnSp macro="">
      <xdr:nvCxnSpPr>
        <xdr:cNvPr id="814" name="Straight Connector 813">
          <a:extLst>
            <a:ext uri="{FF2B5EF4-FFF2-40B4-BE49-F238E27FC236}">
              <a16:creationId xmlns:a16="http://schemas.microsoft.com/office/drawing/2014/main" id="{00000000-0008-0000-0600-00002E030000}"/>
            </a:ext>
          </a:extLst>
        </xdr:cNvPr>
        <xdr:cNvCxnSpPr/>
      </xdr:nvCxnSpPr>
      <xdr:spPr>
        <a:xfrm flipH="1" flipV="1">
          <a:off x="3745231" y="34697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193</xdr:row>
      <xdr:rowOff>127000</xdr:rowOff>
    </xdr:from>
    <xdr:to>
      <xdr:col>5</xdr:col>
      <xdr:colOff>356235</xdr:colOff>
      <xdr:row>193</xdr:row>
      <xdr:rowOff>309880</xdr:rowOff>
    </xdr:to>
    <xdr:cxnSp macro="">
      <xdr:nvCxnSpPr>
        <xdr:cNvPr id="815" name="Straight Connector 814">
          <a:extLst>
            <a:ext uri="{FF2B5EF4-FFF2-40B4-BE49-F238E27FC236}">
              <a16:creationId xmlns:a16="http://schemas.microsoft.com/office/drawing/2014/main" id="{00000000-0008-0000-0600-00002F030000}"/>
            </a:ext>
          </a:extLst>
        </xdr:cNvPr>
        <xdr:cNvCxnSpPr/>
      </xdr:nvCxnSpPr>
      <xdr:spPr>
        <a:xfrm flipH="1" flipV="1">
          <a:off x="3480435" y="35422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193</xdr:row>
      <xdr:rowOff>400050</xdr:rowOff>
    </xdr:from>
    <xdr:to>
      <xdr:col>5</xdr:col>
      <xdr:colOff>1666875</xdr:colOff>
      <xdr:row>193</xdr:row>
      <xdr:rowOff>400050</xdr:rowOff>
    </xdr:to>
    <xdr:cxnSp macro="">
      <xdr:nvCxnSpPr>
        <xdr:cNvPr id="816" name="Straight Connector 815">
          <a:extLst>
            <a:ext uri="{FF2B5EF4-FFF2-40B4-BE49-F238E27FC236}">
              <a16:creationId xmlns:a16="http://schemas.microsoft.com/office/drawing/2014/main" id="{00000000-0008-0000-0600-000030030000}"/>
            </a:ext>
          </a:extLst>
        </xdr:cNvPr>
        <xdr:cNvCxnSpPr/>
      </xdr:nvCxnSpPr>
      <xdr:spPr>
        <a:xfrm>
          <a:off x="3476625" y="35474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193</xdr:row>
      <xdr:rowOff>127000</xdr:rowOff>
    </xdr:from>
    <xdr:to>
      <xdr:col>5</xdr:col>
      <xdr:colOff>356810</xdr:colOff>
      <xdr:row>193</xdr:row>
      <xdr:rowOff>409912</xdr:rowOff>
    </xdr:to>
    <xdr:cxnSp macro="">
      <xdr:nvCxnSpPr>
        <xdr:cNvPr id="817" name="Straight Connector 816">
          <a:extLst>
            <a:ext uri="{FF2B5EF4-FFF2-40B4-BE49-F238E27FC236}">
              <a16:creationId xmlns:a16="http://schemas.microsoft.com/office/drawing/2014/main" id="{00000000-0008-0000-0600-000031030000}"/>
            </a:ext>
          </a:extLst>
        </xdr:cNvPr>
        <xdr:cNvCxnSpPr/>
      </xdr:nvCxnSpPr>
      <xdr:spPr>
        <a:xfrm flipH="1" flipV="1">
          <a:off x="3481009" y="35422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193</xdr:row>
      <xdr:rowOff>134252</xdr:rowOff>
    </xdr:from>
    <xdr:to>
      <xdr:col>5</xdr:col>
      <xdr:colOff>1652211</xdr:colOff>
      <xdr:row>193</xdr:row>
      <xdr:rowOff>417164</xdr:rowOff>
    </xdr:to>
    <xdr:cxnSp macro="">
      <xdr:nvCxnSpPr>
        <xdr:cNvPr id="818" name="Straight Connector 817">
          <a:extLst>
            <a:ext uri="{FF2B5EF4-FFF2-40B4-BE49-F238E27FC236}">
              <a16:creationId xmlns:a16="http://schemas.microsoft.com/office/drawing/2014/main" id="{00000000-0008-0000-0600-000032030000}"/>
            </a:ext>
          </a:extLst>
        </xdr:cNvPr>
        <xdr:cNvCxnSpPr/>
      </xdr:nvCxnSpPr>
      <xdr:spPr>
        <a:xfrm flipH="1" flipV="1">
          <a:off x="3747710" y="35430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194</xdr:row>
      <xdr:rowOff>127000</xdr:rowOff>
    </xdr:from>
    <xdr:to>
      <xdr:col>5</xdr:col>
      <xdr:colOff>356235</xdr:colOff>
      <xdr:row>194</xdr:row>
      <xdr:rowOff>309880</xdr:rowOff>
    </xdr:to>
    <xdr:cxnSp macro="">
      <xdr:nvCxnSpPr>
        <xdr:cNvPr id="819" name="Straight Connector 818">
          <a:extLst>
            <a:ext uri="{FF2B5EF4-FFF2-40B4-BE49-F238E27FC236}">
              <a16:creationId xmlns:a16="http://schemas.microsoft.com/office/drawing/2014/main" id="{00000000-0008-0000-0600-000033030000}"/>
            </a:ext>
          </a:extLst>
        </xdr:cNvPr>
        <xdr:cNvCxnSpPr/>
      </xdr:nvCxnSpPr>
      <xdr:spPr>
        <a:xfrm flipH="1" flipV="1">
          <a:off x="3480435" y="35605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194</xdr:row>
      <xdr:rowOff>152400</xdr:rowOff>
    </xdr:from>
    <xdr:to>
      <xdr:col>5</xdr:col>
      <xdr:colOff>1676400</xdr:colOff>
      <xdr:row>194</xdr:row>
      <xdr:rowOff>152400</xdr:rowOff>
    </xdr:to>
    <xdr:cxnSp macro="">
      <xdr:nvCxnSpPr>
        <xdr:cNvPr id="820" name="Straight Connector 819">
          <a:extLst>
            <a:ext uri="{FF2B5EF4-FFF2-40B4-BE49-F238E27FC236}">
              <a16:creationId xmlns:a16="http://schemas.microsoft.com/office/drawing/2014/main" id="{00000000-0008-0000-0600-000034030000}"/>
            </a:ext>
          </a:extLst>
        </xdr:cNvPr>
        <xdr:cNvCxnSpPr/>
      </xdr:nvCxnSpPr>
      <xdr:spPr>
        <a:xfrm>
          <a:off x="3486150" y="35631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194</xdr:row>
      <xdr:rowOff>127000</xdr:rowOff>
    </xdr:from>
    <xdr:to>
      <xdr:col>5</xdr:col>
      <xdr:colOff>356810</xdr:colOff>
      <xdr:row>194</xdr:row>
      <xdr:rowOff>409912</xdr:rowOff>
    </xdr:to>
    <xdr:cxnSp macro="">
      <xdr:nvCxnSpPr>
        <xdr:cNvPr id="821" name="Straight Connector 820">
          <a:extLst>
            <a:ext uri="{FF2B5EF4-FFF2-40B4-BE49-F238E27FC236}">
              <a16:creationId xmlns:a16="http://schemas.microsoft.com/office/drawing/2014/main" id="{00000000-0008-0000-0600-000035030000}"/>
            </a:ext>
          </a:extLst>
        </xdr:cNvPr>
        <xdr:cNvCxnSpPr/>
      </xdr:nvCxnSpPr>
      <xdr:spPr>
        <a:xfrm flipH="1" flipV="1">
          <a:off x="3481009" y="35605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194</xdr:row>
      <xdr:rowOff>134252</xdr:rowOff>
    </xdr:from>
    <xdr:to>
      <xdr:col>5</xdr:col>
      <xdr:colOff>1652211</xdr:colOff>
      <xdr:row>194</xdr:row>
      <xdr:rowOff>417164</xdr:rowOff>
    </xdr:to>
    <xdr:cxnSp macro="">
      <xdr:nvCxnSpPr>
        <xdr:cNvPr id="822" name="Straight Connector 821">
          <a:extLst>
            <a:ext uri="{FF2B5EF4-FFF2-40B4-BE49-F238E27FC236}">
              <a16:creationId xmlns:a16="http://schemas.microsoft.com/office/drawing/2014/main" id="{00000000-0008-0000-0600-000036030000}"/>
            </a:ext>
          </a:extLst>
        </xdr:cNvPr>
        <xdr:cNvCxnSpPr/>
      </xdr:nvCxnSpPr>
      <xdr:spPr>
        <a:xfrm flipH="1" flipV="1">
          <a:off x="3747710" y="35612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195</xdr:row>
      <xdr:rowOff>123824</xdr:rowOff>
    </xdr:from>
    <xdr:to>
      <xdr:col>5</xdr:col>
      <xdr:colOff>1428750</xdr:colOff>
      <xdr:row>195</xdr:row>
      <xdr:rowOff>1219199</xdr:rowOff>
    </xdr:to>
    <xdr:sp macro="" textlink="">
      <xdr:nvSpPr>
        <xdr:cNvPr id="823" name="Rounded Rectangle 822">
          <a:extLst>
            <a:ext uri="{FF2B5EF4-FFF2-40B4-BE49-F238E27FC236}">
              <a16:creationId xmlns:a16="http://schemas.microsoft.com/office/drawing/2014/main" id="{00000000-0008-0000-0600-000037030000}"/>
            </a:ext>
          </a:extLst>
        </xdr:cNvPr>
        <xdr:cNvSpPr/>
      </xdr:nvSpPr>
      <xdr:spPr>
        <a:xfrm>
          <a:off x="3745230" y="35785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195</xdr:row>
      <xdr:rowOff>238127</xdr:rowOff>
    </xdr:from>
    <xdr:to>
      <xdr:col>5</xdr:col>
      <xdr:colOff>790575</xdr:colOff>
      <xdr:row>195</xdr:row>
      <xdr:rowOff>361950</xdr:rowOff>
    </xdr:to>
    <xdr:cxnSp macro="">
      <xdr:nvCxnSpPr>
        <xdr:cNvPr id="824" name="Straight Connector 823">
          <a:extLst>
            <a:ext uri="{FF2B5EF4-FFF2-40B4-BE49-F238E27FC236}">
              <a16:creationId xmlns:a16="http://schemas.microsoft.com/office/drawing/2014/main" id="{00000000-0008-0000-0600-000038030000}"/>
            </a:ext>
          </a:extLst>
        </xdr:cNvPr>
        <xdr:cNvCxnSpPr/>
      </xdr:nvCxnSpPr>
      <xdr:spPr>
        <a:xfrm flipH="1" flipV="1">
          <a:off x="3749041" y="35846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195</xdr:row>
      <xdr:rowOff>133352</xdr:rowOff>
    </xdr:from>
    <xdr:to>
      <xdr:col>5</xdr:col>
      <xdr:colOff>885825</xdr:colOff>
      <xdr:row>195</xdr:row>
      <xdr:rowOff>257175</xdr:rowOff>
    </xdr:to>
    <xdr:cxnSp macro="">
      <xdr:nvCxnSpPr>
        <xdr:cNvPr id="825" name="Straight Connector 824">
          <a:extLst>
            <a:ext uri="{FF2B5EF4-FFF2-40B4-BE49-F238E27FC236}">
              <a16:creationId xmlns:a16="http://schemas.microsoft.com/office/drawing/2014/main" id="{00000000-0008-0000-0600-000039030000}"/>
            </a:ext>
          </a:extLst>
        </xdr:cNvPr>
        <xdr:cNvCxnSpPr/>
      </xdr:nvCxnSpPr>
      <xdr:spPr>
        <a:xfrm flipH="1" flipV="1">
          <a:off x="3745231" y="35794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193</xdr:row>
      <xdr:rowOff>127000</xdr:rowOff>
    </xdr:from>
    <xdr:to>
      <xdr:col>5</xdr:col>
      <xdr:colOff>356235</xdr:colOff>
      <xdr:row>193</xdr:row>
      <xdr:rowOff>309880</xdr:rowOff>
    </xdr:to>
    <xdr:cxnSp macro="">
      <xdr:nvCxnSpPr>
        <xdr:cNvPr id="826" name="Straight Connector 825">
          <a:extLst>
            <a:ext uri="{FF2B5EF4-FFF2-40B4-BE49-F238E27FC236}">
              <a16:creationId xmlns:a16="http://schemas.microsoft.com/office/drawing/2014/main" id="{00000000-0008-0000-0600-00003A030000}"/>
            </a:ext>
          </a:extLst>
        </xdr:cNvPr>
        <xdr:cNvCxnSpPr/>
      </xdr:nvCxnSpPr>
      <xdr:spPr>
        <a:xfrm flipH="1" flipV="1">
          <a:off x="3480435" y="35422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193</xdr:row>
      <xdr:rowOff>400050</xdr:rowOff>
    </xdr:from>
    <xdr:to>
      <xdr:col>5</xdr:col>
      <xdr:colOff>1666875</xdr:colOff>
      <xdr:row>193</xdr:row>
      <xdr:rowOff>400050</xdr:rowOff>
    </xdr:to>
    <xdr:cxnSp macro="">
      <xdr:nvCxnSpPr>
        <xdr:cNvPr id="827" name="Straight Connector 826">
          <a:extLst>
            <a:ext uri="{FF2B5EF4-FFF2-40B4-BE49-F238E27FC236}">
              <a16:creationId xmlns:a16="http://schemas.microsoft.com/office/drawing/2014/main" id="{00000000-0008-0000-0600-00003B030000}"/>
            </a:ext>
          </a:extLst>
        </xdr:cNvPr>
        <xdr:cNvCxnSpPr/>
      </xdr:nvCxnSpPr>
      <xdr:spPr>
        <a:xfrm>
          <a:off x="3476625" y="35474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193</xdr:row>
      <xdr:rowOff>127000</xdr:rowOff>
    </xdr:from>
    <xdr:to>
      <xdr:col>5</xdr:col>
      <xdr:colOff>356810</xdr:colOff>
      <xdr:row>193</xdr:row>
      <xdr:rowOff>409912</xdr:rowOff>
    </xdr:to>
    <xdr:cxnSp macro="">
      <xdr:nvCxnSpPr>
        <xdr:cNvPr id="828" name="Straight Connector 827">
          <a:extLst>
            <a:ext uri="{FF2B5EF4-FFF2-40B4-BE49-F238E27FC236}">
              <a16:creationId xmlns:a16="http://schemas.microsoft.com/office/drawing/2014/main" id="{00000000-0008-0000-0600-00003C030000}"/>
            </a:ext>
          </a:extLst>
        </xdr:cNvPr>
        <xdr:cNvCxnSpPr/>
      </xdr:nvCxnSpPr>
      <xdr:spPr>
        <a:xfrm flipH="1" flipV="1">
          <a:off x="3481009" y="35422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193</xdr:row>
      <xdr:rowOff>134252</xdr:rowOff>
    </xdr:from>
    <xdr:to>
      <xdr:col>5</xdr:col>
      <xdr:colOff>1652211</xdr:colOff>
      <xdr:row>193</xdr:row>
      <xdr:rowOff>417164</xdr:rowOff>
    </xdr:to>
    <xdr:cxnSp macro="">
      <xdr:nvCxnSpPr>
        <xdr:cNvPr id="829" name="Straight Connector 828">
          <a:extLst>
            <a:ext uri="{FF2B5EF4-FFF2-40B4-BE49-F238E27FC236}">
              <a16:creationId xmlns:a16="http://schemas.microsoft.com/office/drawing/2014/main" id="{00000000-0008-0000-0600-00003D030000}"/>
            </a:ext>
          </a:extLst>
        </xdr:cNvPr>
        <xdr:cNvCxnSpPr/>
      </xdr:nvCxnSpPr>
      <xdr:spPr>
        <a:xfrm flipH="1" flipV="1">
          <a:off x="3747710" y="35430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194</xdr:row>
      <xdr:rowOff>127000</xdr:rowOff>
    </xdr:from>
    <xdr:to>
      <xdr:col>5</xdr:col>
      <xdr:colOff>356235</xdr:colOff>
      <xdr:row>194</xdr:row>
      <xdr:rowOff>309880</xdr:rowOff>
    </xdr:to>
    <xdr:cxnSp macro="">
      <xdr:nvCxnSpPr>
        <xdr:cNvPr id="830" name="Straight Connector 829">
          <a:extLst>
            <a:ext uri="{FF2B5EF4-FFF2-40B4-BE49-F238E27FC236}">
              <a16:creationId xmlns:a16="http://schemas.microsoft.com/office/drawing/2014/main" id="{00000000-0008-0000-0600-00003E030000}"/>
            </a:ext>
          </a:extLst>
        </xdr:cNvPr>
        <xdr:cNvCxnSpPr/>
      </xdr:nvCxnSpPr>
      <xdr:spPr>
        <a:xfrm flipH="1" flipV="1">
          <a:off x="3480435" y="35605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194</xdr:row>
      <xdr:rowOff>152400</xdr:rowOff>
    </xdr:from>
    <xdr:to>
      <xdr:col>5</xdr:col>
      <xdr:colOff>1676400</xdr:colOff>
      <xdr:row>194</xdr:row>
      <xdr:rowOff>152400</xdr:rowOff>
    </xdr:to>
    <xdr:cxnSp macro="">
      <xdr:nvCxnSpPr>
        <xdr:cNvPr id="831" name="Straight Connector 830">
          <a:extLst>
            <a:ext uri="{FF2B5EF4-FFF2-40B4-BE49-F238E27FC236}">
              <a16:creationId xmlns:a16="http://schemas.microsoft.com/office/drawing/2014/main" id="{00000000-0008-0000-0600-00003F030000}"/>
            </a:ext>
          </a:extLst>
        </xdr:cNvPr>
        <xdr:cNvCxnSpPr/>
      </xdr:nvCxnSpPr>
      <xdr:spPr>
        <a:xfrm>
          <a:off x="3486150" y="35631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194</xdr:row>
      <xdr:rowOff>127000</xdr:rowOff>
    </xdr:from>
    <xdr:to>
      <xdr:col>5</xdr:col>
      <xdr:colOff>356810</xdr:colOff>
      <xdr:row>194</xdr:row>
      <xdr:rowOff>409912</xdr:rowOff>
    </xdr:to>
    <xdr:cxnSp macro="">
      <xdr:nvCxnSpPr>
        <xdr:cNvPr id="832" name="Straight Connector 831">
          <a:extLst>
            <a:ext uri="{FF2B5EF4-FFF2-40B4-BE49-F238E27FC236}">
              <a16:creationId xmlns:a16="http://schemas.microsoft.com/office/drawing/2014/main" id="{00000000-0008-0000-0600-000040030000}"/>
            </a:ext>
          </a:extLst>
        </xdr:cNvPr>
        <xdr:cNvCxnSpPr/>
      </xdr:nvCxnSpPr>
      <xdr:spPr>
        <a:xfrm flipH="1" flipV="1">
          <a:off x="3481009" y="35605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194</xdr:row>
      <xdr:rowOff>134252</xdr:rowOff>
    </xdr:from>
    <xdr:to>
      <xdr:col>5</xdr:col>
      <xdr:colOff>1652211</xdr:colOff>
      <xdr:row>194</xdr:row>
      <xdr:rowOff>417164</xdr:rowOff>
    </xdr:to>
    <xdr:cxnSp macro="">
      <xdr:nvCxnSpPr>
        <xdr:cNvPr id="833" name="Straight Connector 832">
          <a:extLst>
            <a:ext uri="{FF2B5EF4-FFF2-40B4-BE49-F238E27FC236}">
              <a16:creationId xmlns:a16="http://schemas.microsoft.com/office/drawing/2014/main" id="{00000000-0008-0000-0600-000041030000}"/>
            </a:ext>
          </a:extLst>
        </xdr:cNvPr>
        <xdr:cNvCxnSpPr/>
      </xdr:nvCxnSpPr>
      <xdr:spPr>
        <a:xfrm flipH="1" flipV="1">
          <a:off x="3747710" y="35612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195</xdr:row>
      <xdr:rowOff>123824</xdr:rowOff>
    </xdr:from>
    <xdr:to>
      <xdr:col>5</xdr:col>
      <xdr:colOff>1428750</xdr:colOff>
      <xdr:row>195</xdr:row>
      <xdr:rowOff>1219199</xdr:rowOff>
    </xdr:to>
    <xdr:sp macro="" textlink="">
      <xdr:nvSpPr>
        <xdr:cNvPr id="834" name="Rounded Rectangle 833">
          <a:extLst>
            <a:ext uri="{FF2B5EF4-FFF2-40B4-BE49-F238E27FC236}">
              <a16:creationId xmlns:a16="http://schemas.microsoft.com/office/drawing/2014/main" id="{00000000-0008-0000-0600-000042030000}"/>
            </a:ext>
          </a:extLst>
        </xdr:cNvPr>
        <xdr:cNvSpPr/>
      </xdr:nvSpPr>
      <xdr:spPr>
        <a:xfrm>
          <a:off x="3745230" y="35785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195</xdr:row>
      <xdr:rowOff>238127</xdr:rowOff>
    </xdr:from>
    <xdr:to>
      <xdr:col>5</xdr:col>
      <xdr:colOff>790575</xdr:colOff>
      <xdr:row>195</xdr:row>
      <xdr:rowOff>361950</xdr:rowOff>
    </xdr:to>
    <xdr:cxnSp macro="">
      <xdr:nvCxnSpPr>
        <xdr:cNvPr id="835" name="Straight Connector 834">
          <a:extLst>
            <a:ext uri="{FF2B5EF4-FFF2-40B4-BE49-F238E27FC236}">
              <a16:creationId xmlns:a16="http://schemas.microsoft.com/office/drawing/2014/main" id="{00000000-0008-0000-0600-000043030000}"/>
            </a:ext>
          </a:extLst>
        </xdr:cNvPr>
        <xdr:cNvCxnSpPr/>
      </xdr:nvCxnSpPr>
      <xdr:spPr>
        <a:xfrm flipH="1" flipV="1">
          <a:off x="3749041" y="35846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195</xdr:row>
      <xdr:rowOff>133352</xdr:rowOff>
    </xdr:from>
    <xdr:to>
      <xdr:col>5</xdr:col>
      <xdr:colOff>885825</xdr:colOff>
      <xdr:row>195</xdr:row>
      <xdr:rowOff>257175</xdr:rowOff>
    </xdr:to>
    <xdr:cxnSp macro="">
      <xdr:nvCxnSpPr>
        <xdr:cNvPr id="836" name="Straight Connector 835">
          <a:extLst>
            <a:ext uri="{FF2B5EF4-FFF2-40B4-BE49-F238E27FC236}">
              <a16:creationId xmlns:a16="http://schemas.microsoft.com/office/drawing/2014/main" id="{00000000-0008-0000-0600-000044030000}"/>
            </a:ext>
          </a:extLst>
        </xdr:cNvPr>
        <xdr:cNvCxnSpPr/>
      </xdr:nvCxnSpPr>
      <xdr:spPr>
        <a:xfrm flipH="1" flipV="1">
          <a:off x="3745231" y="35794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193</xdr:row>
      <xdr:rowOff>127000</xdr:rowOff>
    </xdr:from>
    <xdr:to>
      <xdr:col>5</xdr:col>
      <xdr:colOff>356235</xdr:colOff>
      <xdr:row>193</xdr:row>
      <xdr:rowOff>309880</xdr:rowOff>
    </xdr:to>
    <xdr:cxnSp macro="">
      <xdr:nvCxnSpPr>
        <xdr:cNvPr id="837" name="Straight Connector 836">
          <a:extLst>
            <a:ext uri="{FF2B5EF4-FFF2-40B4-BE49-F238E27FC236}">
              <a16:creationId xmlns:a16="http://schemas.microsoft.com/office/drawing/2014/main" id="{00000000-0008-0000-0600-000045030000}"/>
            </a:ext>
          </a:extLst>
        </xdr:cNvPr>
        <xdr:cNvCxnSpPr/>
      </xdr:nvCxnSpPr>
      <xdr:spPr>
        <a:xfrm flipH="1" flipV="1">
          <a:off x="3480435" y="35422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193</xdr:row>
      <xdr:rowOff>400050</xdr:rowOff>
    </xdr:from>
    <xdr:to>
      <xdr:col>5</xdr:col>
      <xdr:colOff>1666875</xdr:colOff>
      <xdr:row>193</xdr:row>
      <xdr:rowOff>400050</xdr:rowOff>
    </xdr:to>
    <xdr:cxnSp macro="">
      <xdr:nvCxnSpPr>
        <xdr:cNvPr id="838" name="Straight Connector 837">
          <a:extLst>
            <a:ext uri="{FF2B5EF4-FFF2-40B4-BE49-F238E27FC236}">
              <a16:creationId xmlns:a16="http://schemas.microsoft.com/office/drawing/2014/main" id="{00000000-0008-0000-0600-000046030000}"/>
            </a:ext>
          </a:extLst>
        </xdr:cNvPr>
        <xdr:cNvCxnSpPr/>
      </xdr:nvCxnSpPr>
      <xdr:spPr>
        <a:xfrm>
          <a:off x="3476625" y="35474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193</xdr:row>
      <xdr:rowOff>127000</xdr:rowOff>
    </xdr:from>
    <xdr:to>
      <xdr:col>5</xdr:col>
      <xdr:colOff>356810</xdr:colOff>
      <xdr:row>193</xdr:row>
      <xdr:rowOff>409912</xdr:rowOff>
    </xdr:to>
    <xdr:cxnSp macro="">
      <xdr:nvCxnSpPr>
        <xdr:cNvPr id="839" name="Straight Connector 838">
          <a:extLst>
            <a:ext uri="{FF2B5EF4-FFF2-40B4-BE49-F238E27FC236}">
              <a16:creationId xmlns:a16="http://schemas.microsoft.com/office/drawing/2014/main" id="{00000000-0008-0000-0600-000047030000}"/>
            </a:ext>
          </a:extLst>
        </xdr:cNvPr>
        <xdr:cNvCxnSpPr/>
      </xdr:nvCxnSpPr>
      <xdr:spPr>
        <a:xfrm flipH="1" flipV="1">
          <a:off x="3481009" y="35422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193</xdr:row>
      <xdr:rowOff>134252</xdr:rowOff>
    </xdr:from>
    <xdr:to>
      <xdr:col>5</xdr:col>
      <xdr:colOff>1652211</xdr:colOff>
      <xdr:row>193</xdr:row>
      <xdr:rowOff>417164</xdr:rowOff>
    </xdr:to>
    <xdr:cxnSp macro="">
      <xdr:nvCxnSpPr>
        <xdr:cNvPr id="840" name="Straight Connector 839">
          <a:extLst>
            <a:ext uri="{FF2B5EF4-FFF2-40B4-BE49-F238E27FC236}">
              <a16:creationId xmlns:a16="http://schemas.microsoft.com/office/drawing/2014/main" id="{00000000-0008-0000-0600-000048030000}"/>
            </a:ext>
          </a:extLst>
        </xdr:cNvPr>
        <xdr:cNvCxnSpPr/>
      </xdr:nvCxnSpPr>
      <xdr:spPr>
        <a:xfrm flipH="1" flipV="1">
          <a:off x="3747710" y="35430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194</xdr:row>
      <xdr:rowOff>127000</xdr:rowOff>
    </xdr:from>
    <xdr:to>
      <xdr:col>5</xdr:col>
      <xdr:colOff>356235</xdr:colOff>
      <xdr:row>194</xdr:row>
      <xdr:rowOff>309880</xdr:rowOff>
    </xdr:to>
    <xdr:cxnSp macro="">
      <xdr:nvCxnSpPr>
        <xdr:cNvPr id="841" name="Straight Connector 840">
          <a:extLst>
            <a:ext uri="{FF2B5EF4-FFF2-40B4-BE49-F238E27FC236}">
              <a16:creationId xmlns:a16="http://schemas.microsoft.com/office/drawing/2014/main" id="{00000000-0008-0000-0600-000049030000}"/>
            </a:ext>
          </a:extLst>
        </xdr:cNvPr>
        <xdr:cNvCxnSpPr/>
      </xdr:nvCxnSpPr>
      <xdr:spPr>
        <a:xfrm flipH="1" flipV="1">
          <a:off x="3480435" y="35605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194</xdr:row>
      <xdr:rowOff>152400</xdr:rowOff>
    </xdr:from>
    <xdr:to>
      <xdr:col>5</xdr:col>
      <xdr:colOff>1676400</xdr:colOff>
      <xdr:row>194</xdr:row>
      <xdr:rowOff>152400</xdr:rowOff>
    </xdr:to>
    <xdr:cxnSp macro="">
      <xdr:nvCxnSpPr>
        <xdr:cNvPr id="842" name="Straight Connector 841">
          <a:extLst>
            <a:ext uri="{FF2B5EF4-FFF2-40B4-BE49-F238E27FC236}">
              <a16:creationId xmlns:a16="http://schemas.microsoft.com/office/drawing/2014/main" id="{00000000-0008-0000-0600-00004A030000}"/>
            </a:ext>
          </a:extLst>
        </xdr:cNvPr>
        <xdr:cNvCxnSpPr/>
      </xdr:nvCxnSpPr>
      <xdr:spPr>
        <a:xfrm>
          <a:off x="3486150" y="35631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194</xdr:row>
      <xdr:rowOff>127000</xdr:rowOff>
    </xdr:from>
    <xdr:to>
      <xdr:col>5</xdr:col>
      <xdr:colOff>356810</xdr:colOff>
      <xdr:row>194</xdr:row>
      <xdr:rowOff>409912</xdr:rowOff>
    </xdr:to>
    <xdr:cxnSp macro="">
      <xdr:nvCxnSpPr>
        <xdr:cNvPr id="843" name="Straight Connector 842">
          <a:extLst>
            <a:ext uri="{FF2B5EF4-FFF2-40B4-BE49-F238E27FC236}">
              <a16:creationId xmlns:a16="http://schemas.microsoft.com/office/drawing/2014/main" id="{00000000-0008-0000-0600-00004B030000}"/>
            </a:ext>
          </a:extLst>
        </xdr:cNvPr>
        <xdr:cNvCxnSpPr/>
      </xdr:nvCxnSpPr>
      <xdr:spPr>
        <a:xfrm flipH="1" flipV="1">
          <a:off x="3481009" y="35605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194</xdr:row>
      <xdr:rowOff>134252</xdr:rowOff>
    </xdr:from>
    <xdr:to>
      <xdr:col>5</xdr:col>
      <xdr:colOff>1652211</xdr:colOff>
      <xdr:row>194</xdr:row>
      <xdr:rowOff>417164</xdr:rowOff>
    </xdr:to>
    <xdr:cxnSp macro="">
      <xdr:nvCxnSpPr>
        <xdr:cNvPr id="844" name="Straight Connector 843">
          <a:extLst>
            <a:ext uri="{FF2B5EF4-FFF2-40B4-BE49-F238E27FC236}">
              <a16:creationId xmlns:a16="http://schemas.microsoft.com/office/drawing/2014/main" id="{00000000-0008-0000-0600-00004C030000}"/>
            </a:ext>
          </a:extLst>
        </xdr:cNvPr>
        <xdr:cNvCxnSpPr/>
      </xdr:nvCxnSpPr>
      <xdr:spPr>
        <a:xfrm flipH="1" flipV="1">
          <a:off x="3747710" y="35612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195</xdr:row>
      <xdr:rowOff>123824</xdr:rowOff>
    </xdr:from>
    <xdr:to>
      <xdr:col>5</xdr:col>
      <xdr:colOff>1428750</xdr:colOff>
      <xdr:row>195</xdr:row>
      <xdr:rowOff>1219199</xdr:rowOff>
    </xdr:to>
    <xdr:sp macro="" textlink="">
      <xdr:nvSpPr>
        <xdr:cNvPr id="845" name="Rounded Rectangle 844">
          <a:extLst>
            <a:ext uri="{FF2B5EF4-FFF2-40B4-BE49-F238E27FC236}">
              <a16:creationId xmlns:a16="http://schemas.microsoft.com/office/drawing/2014/main" id="{00000000-0008-0000-0600-00004D030000}"/>
            </a:ext>
          </a:extLst>
        </xdr:cNvPr>
        <xdr:cNvSpPr/>
      </xdr:nvSpPr>
      <xdr:spPr>
        <a:xfrm>
          <a:off x="3745230" y="35785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195</xdr:row>
      <xdr:rowOff>238127</xdr:rowOff>
    </xdr:from>
    <xdr:to>
      <xdr:col>5</xdr:col>
      <xdr:colOff>790575</xdr:colOff>
      <xdr:row>195</xdr:row>
      <xdr:rowOff>361950</xdr:rowOff>
    </xdr:to>
    <xdr:cxnSp macro="">
      <xdr:nvCxnSpPr>
        <xdr:cNvPr id="846" name="Straight Connector 845">
          <a:extLst>
            <a:ext uri="{FF2B5EF4-FFF2-40B4-BE49-F238E27FC236}">
              <a16:creationId xmlns:a16="http://schemas.microsoft.com/office/drawing/2014/main" id="{00000000-0008-0000-0600-00004E030000}"/>
            </a:ext>
          </a:extLst>
        </xdr:cNvPr>
        <xdr:cNvCxnSpPr/>
      </xdr:nvCxnSpPr>
      <xdr:spPr>
        <a:xfrm flipH="1" flipV="1">
          <a:off x="3749041" y="35846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195</xdr:row>
      <xdr:rowOff>133352</xdr:rowOff>
    </xdr:from>
    <xdr:to>
      <xdr:col>5</xdr:col>
      <xdr:colOff>885825</xdr:colOff>
      <xdr:row>195</xdr:row>
      <xdr:rowOff>257175</xdr:rowOff>
    </xdr:to>
    <xdr:cxnSp macro="">
      <xdr:nvCxnSpPr>
        <xdr:cNvPr id="847" name="Straight Connector 846">
          <a:extLst>
            <a:ext uri="{FF2B5EF4-FFF2-40B4-BE49-F238E27FC236}">
              <a16:creationId xmlns:a16="http://schemas.microsoft.com/office/drawing/2014/main" id="{00000000-0008-0000-0600-00004F030000}"/>
            </a:ext>
          </a:extLst>
        </xdr:cNvPr>
        <xdr:cNvCxnSpPr/>
      </xdr:nvCxnSpPr>
      <xdr:spPr>
        <a:xfrm flipH="1" flipV="1">
          <a:off x="3745231" y="35794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193</xdr:row>
      <xdr:rowOff>127000</xdr:rowOff>
    </xdr:from>
    <xdr:to>
      <xdr:col>5</xdr:col>
      <xdr:colOff>356235</xdr:colOff>
      <xdr:row>193</xdr:row>
      <xdr:rowOff>309880</xdr:rowOff>
    </xdr:to>
    <xdr:cxnSp macro="">
      <xdr:nvCxnSpPr>
        <xdr:cNvPr id="848" name="Straight Connector 847">
          <a:extLst>
            <a:ext uri="{FF2B5EF4-FFF2-40B4-BE49-F238E27FC236}">
              <a16:creationId xmlns:a16="http://schemas.microsoft.com/office/drawing/2014/main" id="{00000000-0008-0000-0600-000050030000}"/>
            </a:ext>
          </a:extLst>
        </xdr:cNvPr>
        <xdr:cNvCxnSpPr/>
      </xdr:nvCxnSpPr>
      <xdr:spPr>
        <a:xfrm flipH="1" flipV="1">
          <a:off x="3480435" y="35422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193</xdr:row>
      <xdr:rowOff>400050</xdr:rowOff>
    </xdr:from>
    <xdr:to>
      <xdr:col>5</xdr:col>
      <xdr:colOff>1666875</xdr:colOff>
      <xdr:row>193</xdr:row>
      <xdr:rowOff>400050</xdr:rowOff>
    </xdr:to>
    <xdr:cxnSp macro="">
      <xdr:nvCxnSpPr>
        <xdr:cNvPr id="849" name="Straight Connector 848">
          <a:extLst>
            <a:ext uri="{FF2B5EF4-FFF2-40B4-BE49-F238E27FC236}">
              <a16:creationId xmlns:a16="http://schemas.microsoft.com/office/drawing/2014/main" id="{00000000-0008-0000-0600-000051030000}"/>
            </a:ext>
          </a:extLst>
        </xdr:cNvPr>
        <xdr:cNvCxnSpPr/>
      </xdr:nvCxnSpPr>
      <xdr:spPr>
        <a:xfrm>
          <a:off x="3476625" y="35474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193</xdr:row>
      <xdr:rowOff>127000</xdr:rowOff>
    </xdr:from>
    <xdr:to>
      <xdr:col>5</xdr:col>
      <xdr:colOff>356810</xdr:colOff>
      <xdr:row>193</xdr:row>
      <xdr:rowOff>409912</xdr:rowOff>
    </xdr:to>
    <xdr:cxnSp macro="">
      <xdr:nvCxnSpPr>
        <xdr:cNvPr id="850" name="Straight Connector 849">
          <a:extLst>
            <a:ext uri="{FF2B5EF4-FFF2-40B4-BE49-F238E27FC236}">
              <a16:creationId xmlns:a16="http://schemas.microsoft.com/office/drawing/2014/main" id="{00000000-0008-0000-0600-000052030000}"/>
            </a:ext>
          </a:extLst>
        </xdr:cNvPr>
        <xdr:cNvCxnSpPr/>
      </xdr:nvCxnSpPr>
      <xdr:spPr>
        <a:xfrm flipH="1" flipV="1">
          <a:off x="3481009" y="35422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193</xdr:row>
      <xdr:rowOff>134252</xdr:rowOff>
    </xdr:from>
    <xdr:to>
      <xdr:col>5</xdr:col>
      <xdr:colOff>1652211</xdr:colOff>
      <xdr:row>193</xdr:row>
      <xdr:rowOff>417164</xdr:rowOff>
    </xdr:to>
    <xdr:cxnSp macro="">
      <xdr:nvCxnSpPr>
        <xdr:cNvPr id="851" name="Straight Connector 850">
          <a:extLst>
            <a:ext uri="{FF2B5EF4-FFF2-40B4-BE49-F238E27FC236}">
              <a16:creationId xmlns:a16="http://schemas.microsoft.com/office/drawing/2014/main" id="{00000000-0008-0000-0600-000053030000}"/>
            </a:ext>
          </a:extLst>
        </xdr:cNvPr>
        <xdr:cNvCxnSpPr/>
      </xdr:nvCxnSpPr>
      <xdr:spPr>
        <a:xfrm flipH="1" flipV="1">
          <a:off x="3747710" y="35430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194</xdr:row>
      <xdr:rowOff>127000</xdr:rowOff>
    </xdr:from>
    <xdr:to>
      <xdr:col>5</xdr:col>
      <xdr:colOff>356235</xdr:colOff>
      <xdr:row>194</xdr:row>
      <xdr:rowOff>309880</xdr:rowOff>
    </xdr:to>
    <xdr:cxnSp macro="">
      <xdr:nvCxnSpPr>
        <xdr:cNvPr id="852" name="Straight Connector 851">
          <a:extLst>
            <a:ext uri="{FF2B5EF4-FFF2-40B4-BE49-F238E27FC236}">
              <a16:creationId xmlns:a16="http://schemas.microsoft.com/office/drawing/2014/main" id="{00000000-0008-0000-0600-000054030000}"/>
            </a:ext>
          </a:extLst>
        </xdr:cNvPr>
        <xdr:cNvCxnSpPr/>
      </xdr:nvCxnSpPr>
      <xdr:spPr>
        <a:xfrm flipH="1" flipV="1">
          <a:off x="3480435" y="35605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194</xdr:row>
      <xdr:rowOff>152400</xdr:rowOff>
    </xdr:from>
    <xdr:to>
      <xdr:col>5</xdr:col>
      <xdr:colOff>1676400</xdr:colOff>
      <xdr:row>194</xdr:row>
      <xdr:rowOff>152400</xdr:rowOff>
    </xdr:to>
    <xdr:cxnSp macro="">
      <xdr:nvCxnSpPr>
        <xdr:cNvPr id="853" name="Straight Connector 852">
          <a:extLst>
            <a:ext uri="{FF2B5EF4-FFF2-40B4-BE49-F238E27FC236}">
              <a16:creationId xmlns:a16="http://schemas.microsoft.com/office/drawing/2014/main" id="{00000000-0008-0000-0600-000055030000}"/>
            </a:ext>
          </a:extLst>
        </xdr:cNvPr>
        <xdr:cNvCxnSpPr/>
      </xdr:nvCxnSpPr>
      <xdr:spPr>
        <a:xfrm>
          <a:off x="3486150" y="35631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194</xdr:row>
      <xdr:rowOff>127000</xdr:rowOff>
    </xdr:from>
    <xdr:to>
      <xdr:col>5</xdr:col>
      <xdr:colOff>356810</xdr:colOff>
      <xdr:row>194</xdr:row>
      <xdr:rowOff>409912</xdr:rowOff>
    </xdr:to>
    <xdr:cxnSp macro="">
      <xdr:nvCxnSpPr>
        <xdr:cNvPr id="854" name="Straight Connector 853">
          <a:extLst>
            <a:ext uri="{FF2B5EF4-FFF2-40B4-BE49-F238E27FC236}">
              <a16:creationId xmlns:a16="http://schemas.microsoft.com/office/drawing/2014/main" id="{00000000-0008-0000-0600-000056030000}"/>
            </a:ext>
          </a:extLst>
        </xdr:cNvPr>
        <xdr:cNvCxnSpPr/>
      </xdr:nvCxnSpPr>
      <xdr:spPr>
        <a:xfrm flipH="1" flipV="1">
          <a:off x="3481009" y="35605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195</xdr:row>
      <xdr:rowOff>123824</xdr:rowOff>
    </xdr:from>
    <xdr:to>
      <xdr:col>5</xdr:col>
      <xdr:colOff>1428750</xdr:colOff>
      <xdr:row>195</xdr:row>
      <xdr:rowOff>1219199</xdr:rowOff>
    </xdr:to>
    <xdr:sp macro="" textlink="">
      <xdr:nvSpPr>
        <xdr:cNvPr id="855" name="Rounded Rectangle 854">
          <a:extLst>
            <a:ext uri="{FF2B5EF4-FFF2-40B4-BE49-F238E27FC236}">
              <a16:creationId xmlns:a16="http://schemas.microsoft.com/office/drawing/2014/main" id="{00000000-0008-0000-0600-000057030000}"/>
            </a:ext>
          </a:extLst>
        </xdr:cNvPr>
        <xdr:cNvSpPr/>
      </xdr:nvSpPr>
      <xdr:spPr>
        <a:xfrm>
          <a:off x="3745230" y="35785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195</xdr:row>
      <xdr:rowOff>238127</xdr:rowOff>
    </xdr:from>
    <xdr:to>
      <xdr:col>5</xdr:col>
      <xdr:colOff>790575</xdr:colOff>
      <xdr:row>195</xdr:row>
      <xdr:rowOff>361950</xdr:rowOff>
    </xdr:to>
    <xdr:cxnSp macro="">
      <xdr:nvCxnSpPr>
        <xdr:cNvPr id="856" name="Straight Connector 855">
          <a:extLst>
            <a:ext uri="{FF2B5EF4-FFF2-40B4-BE49-F238E27FC236}">
              <a16:creationId xmlns:a16="http://schemas.microsoft.com/office/drawing/2014/main" id="{00000000-0008-0000-0600-000058030000}"/>
            </a:ext>
          </a:extLst>
        </xdr:cNvPr>
        <xdr:cNvCxnSpPr/>
      </xdr:nvCxnSpPr>
      <xdr:spPr>
        <a:xfrm flipH="1" flipV="1">
          <a:off x="3749041" y="35846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195</xdr:row>
      <xdr:rowOff>133352</xdr:rowOff>
    </xdr:from>
    <xdr:to>
      <xdr:col>5</xdr:col>
      <xdr:colOff>885825</xdr:colOff>
      <xdr:row>195</xdr:row>
      <xdr:rowOff>257175</xdr:rowOff>
    </xdr:to>
    <xdr:cxnSp macro="">
      <xdr:nvCxnSpPr>
        <xdr:cNvPr id="857" name="Straight Connector 856">
          <a:extLst>
            <a:ext uri="{FF2B5EF4-FFF2-40B4-BE49-F238E27FC236}">
              <a16:creationId xmlns:a16="http://schemas.microsoft.com/office/drawing/2014/main" id="{00000000-0008-0000-0600-000059030000}"/>
            </a:ext>
          </a:extLst>
        </xdr:cNvPr>
        <xdr:cNvCxnSpPr/>
      </xdr:nvCxnSpPr>
      <xdr:spPr>
        <a:xfrm flipH="1" flipV="1">
          <a:off x="3745231" y="35794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200</xdr:row>
      <xdr:rowOff>127000</xdr:rowOff>
    </xdr:from>
    <xdr:to>
      <xdr:col>5</xdr:col>
      <xdr:colOff>356235</xdr:colOff>
      <xdr:row>200</xdr:row>
      <xdr:rowOff>309880</xdr:rowOff>
    </xdr:to>
    <xdr:cxnSp macro="">
      <xdr:nvCxnSpPr>
        <xdr:cNvPr id="858" name="Straight Connector 857">
          <a:extLst>
            <a:ext uri="{FF2B5EF4-FFF2-40B4-BE49-F238E27FC236}">
              <a16:creationId xmlns:a16="http://schemas.microsoft.com/office/drawing/2014/main" id="{00000000-0008-0000-0600-00005A030000}"/>
            </a:ext>
          </a:extLst>
        </xdr:cNvPr>
        <xdr:cNvCxnSpPr/>
      </xdr:nvCxnSpPr>
      <xdr:spPr>
        <a:xfrm flipH="1" flipV="1">
          <a:off x="3480435" y="3670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200</xdr:row>
      <xdr:rowOff>400050</xdr:rowOff>
    </xdr:from>
    <xdr:to>
      <xdr:col>5</xdr:col>
      <xdr:colOff>1666875</xdr:colOff>
      <xdr:row>200</xdr:row>
      <xdr:rowOff>400050</xdr:rowOff>
    </xdr:to>
    <xdr:cxnSp macro="">
      <xdr:nvCxnSpPr>
        <xdr:cNvPr id="859" name="Straight Connector 858">
          <a:extLst>
            <a:ext uri="{FF2B5EF4-FFF2-40B4-BE49-F238E27FC236}">
              <a16:creationId xmlns:a16="http://schemas.microsoft.com/office/drawing/2014/main" id="{00000000-0008-0000-0600-00005B030000}"/>
            </a:ext>
          </a:extLst>
        </xdr:cNvPr>
        <xdr:cNvCxnSpPr/>
      </xdr:nvCxnSpPr>
      <xdr:spPr>
        <a:xfrm>
          <a:off x="3476625" y="36755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200</xdr:row>
      <xdr:rowOff>127000</xdr:rowOff>
    </xdr:from>
    <xdr:to>
      <xdr:col>5</xdr:col>
      <xdr:colOff>356810</xdr:colOff>
      <xdr:row>200</xdr:row>
      <xdr:rowOff>409912</xdr:rowOff>
    </xdr:to>
    <xdr:cxnSp macro="">
      <xdr:nvCxnSpPr>
        <xdr:cNvPr id="860" name="Straight Connector 859">
          <a:extLst>
            <a:ext uri="{FF2B5EF4-FFF2-40B4-BE49-F238E27FC236}">
              <a16:creationId xmlns:a16="http://schemas.microsoft.com/office/drawing/2014/main" id="{00000000-0008-0000-0600-00005C030000}"/>
            </a:ext>
          </a:extLst>
        </xdr:cNvPr>
        <xdr:cNvCxnSpPr/>
      </xdr:nvCxnSpPr>
      <xdr:spPr>
        <a:xfrm flipH="1" flipV="1">
          <a:off x="3481009" y="3670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200</xdr:row>
      <xdr:rowOff>134252</xdr:rowOff>
    </xdr:from>
    <xdr:to>
      <xdr:col>5</xdr:col>
      <xdr:colOff>1652211</xdr:colOff>
      <xdr:row>200</xdr:row>
      <xdr:rowOff>417164</xdr:rowOff>
    </xdr:to>
    <xdr:cxnSp macro="">
      <xdr:nvCxnSpPr>
        <xdr:cNvPr id="861" name="Straight Connector 860">
          <a:extLst>
            <a:ext uri="{FF2B5EF4-FFF2-40B4-BE49-F238E27FC236}">
              <a16:creationId xmlns:a16="http://schemas.microsoft.com/office/drawing/2014/main" id="{00000000-0008-0000-0600-00005D030000}"/>
            </a:ext>
          </a:extLst>
        </xdr:cNvPr>
        <xdr:cNvCxnSpPr/>
      </xdr:nvCxnSpPr>
      <xdr:spPr>
        <a:xfrm flipH="1" flipV="1">
          <a:off x="3747710" y="3671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201</xdr:row>
      <xdr:rowOff>127000</xdr:rowOff>
    </xdr:from>
    <xdr:to>
      <xdr:col>5</xdr:col>
      <xdr:colOff>356235</xdr:colOff>
      <xdr:row>201</xdr:row>
      <xdr:rowOff>309880</xdr:rowOff>
    </xdr:to>
    <xdr:cxnSp macro="">
      <xdr:nvCxnSpPr>
        <xdr:cNvPr id="862" name="Straight Connector 861">
          <a:extLst>
            <a:ext uri="{FF2B5EF4-FFF2-40B4-BE49-F238E27FC236}">
              <a16:creationId xmlns:a16="http://schemas.microsoft.com/office/drawing/2014/main" id="{00000000-0008-0000-0600-00005E030000}"/>
            </a:ext>
          </a:extLst>
        </xdr:cNvPr>
        <xdr:cNvCxnSpPr/>
      </xdr:nvCxnSpPr>
      <xdr:spPr>
        <a:xfrm flipH="1" flipV="1">
          <a:off x="3480435" y="368858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201</xdr:row>
      <xdr:rowOff>152400</xdr:rowOff>
    </xdr:from>
    <xdr:to>
      <xdr:col>5</xdr:col>
      <xdr:colOff>1676400</xdr:colOff>
      <xdr:row>201</xdr:row>
      <xdr:rowOff>152400</xdr:rowOff>
    </xdr:to>
    <xdr:cxnSp macro="">
      <xdr:nvCxnSpPr>
        <xdr:cNvPr id="863" name="Straight Connector 862">
          <a:extLst>
            <a:ext uri="{FF2B5EF4-FFF2-40B4-BE49-F238E27FC236}">
              <a16:creationId xmlns:a16="http://schemas.microsoft.com/office/drawing/2014/main" id="{00000000-0008-0000-0600-00005F030000}"/>
            </a:ext>
          </a:extLst>
        </xdr:cNvPr>
        <xdr:cNvCxnSpPr/>
      </xdr:nvCxnSpPr>
      <xdr:spPr>
        <a:xfrm>
          <a:off x="3486150" y="369112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201</xdr:row>
      <xdr:rowOff>127000</xdr:rowOff>
    </xdr:from>
    <xdr:to>
      <xdr:col>5</xdr:col>
      <xdr:colOff>356810</xdr:colOff>
      <xdr:row>201</xdr:row>
      <xdr:rowOff>409912</xdr:rowOff>
    </xdr:to>
    <xdr:cxnSp macro="">
      <xdr:nvCxnSpPr>
        <xdr:cNvPr id="864" name="Straight Connector 863">
          <a:extLst>
            <a:ext uri="{FF2B5EF4-FFF2-40B4-BE49-F238E27FC236}">
              <a16:creationId xmlns:a16="http://schemas.microsoft.com/office/drawing/2014/main" id="{00000000-0008-0000-0600-000060030000}"/>
            </a:ext>
          </a:extLst>
        </xdr:cNvPr>
        <xdr:cNvCxnSpPr/>
      </xdr:nvCxnSpPr>
      <xdr:spPr>
        <a:xfrm flipH="1" flipV="1">
          <a:off x="3481009" y="368858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201</xdr:row>
      <xdr:rowOff>134252</xdr:rowOff>
    </xdr:from>
    <xdr:to>
      <xdr:col>5</xdr:col>
      <xdr:colOff>1652211</xdr:colOff>
      <xdr:row>201</xdr:row>
      <xdr:rowOff>417164</xdr:rowOff>
    </xdr:to>
    <xdr:cxnSp macro="">
      <xdr:nvCxnSpPr>
        <xdr:cNvPr id="865" name="Straight Connector 864">
          <a:extLst>
            <a:ext uri="{FF2B5EF4-FFF2-40B4-BE49-F238E27FC236}">
              <a16:creationId xmlns:a16="http://schemas.microsoft.com/office/drawing/2014/main" id="{00000000-0008-0000-0600-000061030000}"/>
            </a:ext>
          </a:extLst>
        </xdr:cNvPr>
        <xdr:cNvCxnSpPr/>
      </xdr:nvCxnSpPr>
      <xdr:spPr>
        <a:xfrm flipH="1" flipV="1">
          <a:off x="3747710" y="368931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202</xdr:row>
      <xdr:rowOff>123824</xdr:rowOff>
    </xdr:from>
    <xdr:to>
      <xdr:col>5</xdr:col>
      <xdr:colOff>1428750</xdr:colOff>
      <xdr:row>202</xdr:row>
      <xdr:rowOff>1219199</xdr:rowOff>
    </xdr:to>
    <xdr:sp macro="" textlink="">
      <xdr:nvSpPr>
        <xdr:cNvPr id="866" name="Rounded Rectangle 865">
          <a:extLst>
            <a:ext uri="{FF2B5EF4-FFF2-40B4-BE49-F238E27FC236}">
              <a16:creationId xmlns:a16="http://schemas.microsoft.com/office/drawing/2014/main" id="{00000000-0008-0000-0600-000062030000}"/>
            </a:ext>
          </a:extLst>
        </xdr:cNvPr>
        <xdr:cNvSpPr/>
      </xdr:nvSpPr>
      <xdr:spPr>
        <a:xfrm>
          <a:off x="3745230" y="370655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202</xdr:row>
      <xdr:rowOff>238127</xdr:rowOff>
    </xdr:from>
    <xdr:to>
      <xdr:col>5</xdr:col>
      <xdr:colOff>790575</xdr:colOff>
      <xdr:row>202</xdr:row>
      <xdr:rowOff>361950</xdr:rowOff>
    </xdr:to>
    <xdr:cxnSp macro="">
      <xdr:nvCxnSpPr>
        <xdr:cNvPr id="867" name="Straight Connector 866">
          <a:extLst>
            <a:ext uri="{FF2B5EF4-FFF2-40B4-BE49-F238E27FC236}">
              <a16:creationId xmlns:a16="http://schemas.microsoft.com/office/drawing/2014/main" id="{00000000-0008-0000-0600-000063030000}"/>
            </a:ext>
          </a:extLst>
        </xdr:cNvPr>
        <xdr:cNvCxnSpPr/>
      </xdr:nvCxnSpPr>
      <xdr:spPr>
        <a:xfrm flipH="1" flipV="1">
          <a:off x="3749041" y="371265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202</xdr:row>
      <xdr:rowOff>133352</xdr:rowOff>
    </xdr:from>
    <xdr:to>
      <xdr:col>5</xdr:col>
      <xdr:colOff>885825</xdr:colOff>
      <xdr:row>202</xdr:row>
      <xdr:rowOff>257175</xdr:rowOff>
    </xdr:to>
    <xdr:cxnSp macro="">
      <xdr:nvCxnSpPr>
        <xdr:cNvPr id="868" name="Straight Connector 867">
          <a:extLst>
            <a:ext uri="{FF2B5EF4-FFF2-40B4-BE49-F238E27FC236}">
              <a16:creationId xmlns:a16="http://schemas.microsoft.com/office/drawing/2014/main" id="{00000000-0008-0000-0600-000064030000}"/>
            </a:ext>
          </a:extLst>
        </xdr:cNvPr>
        <xdr:cNvCxnSpPr/>
      </xdr:nvCxnSpPr>
      <xdr:spPr>
        <a:xfrm flipH="1" flipV="1">
          <a:off x="3745231" y="370751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200</xdr:row>
      <xdr:rowOff>127000</xdr:rowOff>
    </xdr:from>
    <xdr:to>
      <xdr:col>5</xdr:col>
      <xdr:colOff>356235</xdr:colOff>
      <xdr:row>200</xdr:row>
      <xdr:rowOff>309880</xdr:rowOff>
    </xdr:to>
    <xdr:cxnSp macro="">
      <xdr:nvCxnSpPr>
        <xdr:cNvPr id="869" name="Straight Connector 868">
          <a:extLst>
            <a:ext uri="{FF2B5EF4-FFF2-40B4-BE49-F238E27FC236}">
              <a16:creationId xmlns:a16="http://schemas.microsoft.com/office/drawing/2014/main" id="{00000000-0008-0000-0600-000065030000}"/>
            </a:ext>
          </a:extLst>
        </xdr:cNvPr>
        <xdr:cNvCxnSpPr/>
      </xdr:nvCxnSpPr>
      <xdr:spPr>
        <a:xfrm flipH="1" flipV="1">
          <a:off x="3480435" y="3670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200</xdr:row>
      <xdr:rowOff>400050</xdr:rowOff>
    </xdr:from>
    <xdr:to>
      <xdr:col>5</xdr:col>
      <xdr:colOff>1666875</xdr:colOff>
      <xdr:row>200</xdr:row>
      <xdr:rowOff>400050</xdr:rowOff>
    </xdr:to>
    <xdr:cxnSp macro="">
      <xdr:nvCxnSpPr>
        <xdr:cNvPr id="870" name="Straight Connector 869">
          <a:extLst>
            <a:ext uri="{FF2B5EF4-FFF2-40B4-BE49-F238E27FC236}">
              <a16:creationId xmlns:a16="http://schemas.microsoft.com/office/drawing/2014/main" id="{00000000-0008-0000-0600-000066030000}"/>
            </a:ext>
          </a:extLst>
        </xdr:cNvPr>
        <xdr:cNvCxnSpPr/>
      </xdr:nvCxnSpPr>
      <xdr:spPr>
        <a:xfrm>
          <a:off x="3476625" y="36755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200</xdr:row>
      <xdr:rowOff>127000</xdr:rowOff>
    </xdr:from>
    <xdr:to>
      <xdr:col>5</xdr:col>
      <xdr:colOff>356810</xdr:colOff>
      <xdr:row>200</xdr:row>
      <xdr:rowOff>409912</xdr:rowOff>
    </xdr:to>
    <xdr:cxnSp macro="">
      <xdr:nvCxnSpPr>
        <xdr:cNvPr id="871" name="Straight Connector 870">
          <a:extLst>
            <a:ext uri="{FF2B5EF4-FFF2-40B4-BE49-F238E27FC236}">
              <a16:creationId xmlns:a16="http://schemas.microsoft.com/office/drawing/2014/main" id="{00000000-0008-0000-0600-000067030000}"/>
            </a:ext>
          </a:extLst>
        </xdr:cNvPr>
        <xdr:cNvCxnSpPr/>
      </xdr:nvCxnSpPr>
      <xdr:spPr>
        <a:xfrm flipH="1" flipV="1">
          <a:off x="3481009" y="3670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200</xdr:row>
      <xdr:rowOff>134252</xdr:rowOff>
    </xdr:from>
    <xdr:to>
      <xdr:col>5</xdr:col>
      <xdr:colOff>1652211</xdr:colOff>
      <xdr:row>200</xdr:row>
      <xdr:rowOff>417164</xdr:rowOff>
    </xdr:to>
    <xdr:cxnSp macro="">
      <xdr:nvCxnSpPr>
        <xdr:cNvPr id="872" name="Straight Connector 871">
          <a:extLst>
            <a:ext uri="{FF2B5EF4-FFF2-40B4-BE49-F238E27FC236}">
              <a16:creationId xmlns:a16="http://schemas.microsoft.com/office/drawing/2014/main" id="{00000000-0008-0000-0600-000068030000}"/>
            </a:ext>
          </a:extLst>
        </xdr:cNvPr>
        <xdr:cNvCxnSpPr/>
      </xdr:nvCxnSpPr>
      <xdr:spPr>
        <a:xfrm flipH="1" flipV="1">
          <a:off x="3747710" y="3671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201</xdr:row>
      <xdr:rowOff>127000</xdr:rowOff>
    </xdr:from>
    <xdr:to>
      <xdr:col>5</xdr:col>
      <xdr:colOff>356235</xdr:colOff>
      <xdr:row>201</xdr:row>
      <xdr:rowOff>309880</xdr:rowOff>
    </xdr:to>
    <xdr:cxnSp macro="">
      <xdr:nvCxnSpPr>
        <xdr:cNvPr id="873" name="Straight Connector 872">
          <a:extLst>
            <a:ext uri="{FF2B5EF4-FFF2-40B4-BE49-F238E27FC236}">
              <a16:creationId xmlns:a16="http://schemas.microsoft.com/office/drawing/2014/main" id="{00000000-0008-0000-0600-000069030000}"/>
            </a:ext>
          </a:extLst>
        </xdr:cNvPr>
        <xdr:cNvCxnSpPr/>
      </xdr:nvCxnSpPr>
      <xdr:spPr>
        <a:xfrm flipH="1" flipV="1">
          <a:off x="3480435" y="368858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201</xdr:row>
      <xdr:rowOff>152400</xdr:rowOff>
    </xdr:from>
    <xdr:to>
      <xdr:col>5</xdr:col>
      <xdr:colOff>1676400</xdr:colOff>
      <xdr:row>201</xdr:row>
      <xdr:rowOff>152400</xdr:rowOff>
    </xdr:to>
    <xdr:cxnSp macro="">
      <xdr:nvCxnSpPr>
        <xdr:cNvPr id="874" name="Straight Connector 873">
          <a:extLst>
            <a:ext uri="{FF2B5EF4-FFF2-40B4-BE49-F238E27FC236}">
              <a16:creationId xmlns:a16="http://schemas.microsoft.com/office/drawing/2014/main" id="{00000000-0008-0000-0600-00006A030000}"/>
            </a:ext>
          </a:extLst>
        </xdr:cNvPr>
        <xdr:cNvCxnSpPr/>
      </xdr:nvCxnSpPr>
      <xdr:spPr>
        <a:xfrm>
          <a:off x="3486150" y="369112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201</xdr:row>
      <xdr:rowOff>127000</xdr:rowOff>
    </xdr:from>
    <xdr:to>
      <xdr:col>5</xdr:col>
      <xdr:colOff>356810</xdr:colOff>
      <xdr:row>201</xdr:row>
      <xdr:rowOff>409912</xdr:rowOff>
    </xdr:to>
    <xdr:cxnSp macro="">
      <xdr:nvCxnSpPr>
        <xdr:cNvPr id="875" name="Straight Connector 874">
          <a:extLst>
            <a:ext uri="{FF2B5EF4-FFF2-40B4-BE49-F238E27FC236}">
              <a16:creationId xmlns:a16="http://schemas.microsoft.com/office/drawing/2014/main" id="{00000000-0008-0000-0600-00006B030000}"/>
            </a:ext>
          </a:extLst>
        </xdr:cNvPr>
        <xdr:cNvCxnSpPr/>
      </xdr:nvCxnSpPr>
      <xdr:spPr>
        <a:xfrm flipH="1" flipV="1">
          <a:off x="3481009" y="368858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201</xdr:row>
      <xdr:rowOff>134252</xdr:rowOff>
    </xdr:from>
    <xdr:to>
      <xdr:col>5</xdr:col>
      <xdr:colOff>1652211</xdr:colOff>
      <xdr:row>201</xdr:row>
      <xdr:rowOff>417164</xdr:rowOff>
    </xdr:to>
    <xdr:cxnSp macro="">
      <xdr:nvCxnSpPr>
        <xdr:cNvPr id="876" name="Straight Connector 875">
          <a:extLst>
            <a:ext uri="{FF2B5EF4-FFF2-40B4-BE49-F238E27FC236}">
              <a16:creationId xmlns:a16="http://schemas.microsoft.com/office/drawing/2014/main" id="{00000000-0008-0000-0600-00006C030000}"/>
            </a:ext>
          </a:extLst>
        </xdr:cNvPr>
        <xdr:cNvCxnSpPr/>
      </xdr:nvCxnSpPr>
      <xdr:spPr>
        <a:xfrm flipH="1" flipV="1">
          <a:off x="3747710" y="368931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202</xdr:row>
      <xdr:rowOff>123824</xdr:rowOff>
    </xdr:from>
    <xdr:to>
      <xdr:col>5</xdr:col>
      <xdr:colOff>1428750</xdr:colOff>
      <xdr:row>202</xdr:row>
      <xdr:rowOff>1219199</xdr:rowOff>
    </xdr:to>
    <xdr:sp macro="" textlink="">
      <xdr:nvSpPr>
        <xdr:cNvPr id="877" name="Rounded Rectangle 876">
          <a:extLst>
            <a:ext uri="{FF2B5EF4-FFF2-40B4-BE49-F238E27FC236}">
              <a16:creationId xmlns:a16="http://schemas.microsoft.com/office/drawing/2014/main" id="{00000000-0008-0000-0600-00006D030000}"/>
            </a:ext>
          </a:extLst>
        </xdr:cNvPr>
        <xdr:cNvSpPr/>
      </xdr:nvSpPr>
      <xdr:spPr>
        <a:xfrm>
          <a:off x="3745230" y="370655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202</xdr:row>
      <xdr:rowOff>238127</xdr:rowOff>
    </xdr:from>
    <xdr:to>
      <xdr:col>5</xdr:col>
      <xdr:colOff>790575</xdr:colOff>
      <xdr:row>202</xdr:row>
      <xdr:rowOff>361950</xdr:rowOff>
    </xdr:to>
    <xdr:cxnSp macro="">
      <xdr:nvCxnSpPr>
        <xdr:cNvPr id="878" name="Straight Connector 877">
          <a:extLst>
            <a:ext uri="{FF2B5EF4-FFF2-40B4-BE49-F238E27FC236}">
              <a16:creationId xmlns:a16="http://schemas.microsoft.com/office/drawing/2014/main" id="{00000000-0008-0000-0600-00006E030000}"/>
            </a:ext>
          </a:extLst>
        </xdr:cNvPr>
        <xdr:cNvCxnSpPr/>
      </xdr:nvCxnSpPr>
      <xdr:spPr>
        <a:xfrm flipH="1" flipV="1">
          <a:off x="3749041" y="371265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202</xdr:row>
      <xdr:rowOff>133352</xdr:rowOff>
    </xdr:from>
    <xdr:to>
      <xdr:col>5</xdr:col>
      <xdr:colOff>885825</xdr:colOff>
      <xdr:row>202</xdr:row>
      <xdr:rowOff>257175</xdr:rowOff>
    </xdr:to>
    <xdr:cxnSp macro="">
      <xdr:nvCxnSpPr>
        <xdr:cNvPr id="879" name="Straight Connector 878">
          <a:extLst>
            <a:ext uri="{FF2B5EF4-FFF2-40B4-BE49-F238E27FC236}">
              <a16:creationId xmlns:a16="http://schemas.microsoft.com/office/drawing/2014/main" id="{00000000-0008-0000-0600-00006F030000}"/>
            </a:ext>
          </a:extLst>
        </xdr:cNvPr>
        <xdr:cNvCxnSpPr/>
      </xdr:nvCxnSpPr>
      <xdr:spPr>
        <a:xfrm flipH="1" flipV="1">
          <a:off x="3745231" y="370751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200</xdr:row>
      <xdr:rowOff>127000</xdr:rowOff>
    </xdr:from>
    <xdr:to>
      <xdr:col>5</xdr:col>
      <xdr:colOff>356235</xdr:colOff>
      <xdr:row>200</xdr:row>
      <xdr:rowOff>309880</xdr:rowOff>
    </xdr:to>
    <xdr:cxnSp macro="">
      <xdr:nvCxnSpPr>
        <xdr:cNvPr id="880" name="Straight Connector 879">
          <a:extLst>
            <a:ext uri="{FF2B5EF4-FFF2-40B4-BE49-F238E27FC236}">
              <a16:creationId xmlns:a16="http://schemas.microsoft.com/office/drawing/2014/main" id="{00000000-0008-0000-0600-000070030000}"/>
            </a:ext>
          </a:extLst>
        </xdr:cNvPr>
        <xdr:cNvCxnSpPr/>
      </xdr:nvCxnSpPr>
      <xdr:spPr>
        <a:xfrm flipH="1" flipV="1">
          <a:off x="3480435" y="3670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200</xdr:row>
      <xdr:rowOff>400050</xdr:rowOff>
    </xdr:from>
    <xdr:to>
      <xdr:col>5</xdr:col>
      <xdr:colOff>1666875</xdr:colOff>
      <xdr:row>200</xdr:row>
      <xdr:rowOff>400050</xdr:rowOff>
    </xdr:to>
    <xdr:cxnSp macro="">
      <xdr:nvCxnSpPr>
        <xdr:cNvPr id="881" name="Straight Connector 880">
          <a:extLst>
            <a:ext uri="{FF2B5EF4-FFF2-40B4-BE49-F238E27FC236}">
              <a16:creationId xmlns:a16="http://schemas.microsoft.com/office/drawing/2014/main" id="{00000000-0008-0000-0600-000071030000}"/>
            </a:ext>
          </a:extLst>
        </xdr:cNvPr>
        <xdr:cNvCxnSpPr/>
      </xdr:nvCxnSpPr>
      <xdr:spPr>
        <a:xfrm>
          <a:off x="3476625" y="36755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200</xdr:row>
      <xdr:rowOff>127000</xdr:rowOff>
    </xdr:from>
    <xdr:to>
      <xdr:col>5</xdr:col>
      <xdr:colOff>356810</xdr:colOff>
      <xdr:row>200</xdr:row>
      <xdr:rowOff>409912</xdr:rowOff>
    </xdr:to>
    <xdr:cxnSp macro="">
      <xdr:nvCxnSpPr>
        <xdr:cNvPr id="882" name="Straight Connector 881">
          <a:extLst>
            <a:ext uri="{FF2B5EF4-FFF2-40B4-BE49-F238E27FC236}">
              <a16:creationId xmlns:a16="http://schemas.microsoft.com/office/drawing/2014/main" id="{00000000-0008-0000-0600-000072030000}"/>
            </a:ext>
          </a:extLst>
        </xdr:cNvPr>
        <xdr:cNvCxnSpPr/>
      </xdr:nvCxnSpPr>
      <xdr:spPr>
        <a:xfrm flipH="1" flipV="1">
          <a:off x="3481009" y="3670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200</xdr:row>
      <xdr:rowOff>134252</xdr:rowOff>
    </xdr:from>
    <xdr:to>
      <xdr:col>5</xdr:col>
      <xdr:colOff>1652211</xdr:colOff>
      <xdr:row>200</xdr:row>
      <xdr:rowOff>417164</xdr:rowOff>
    </xdr:to>
    <xdr:cxnSp macro="">
      <xdr:nvCxnSpPr>
        <xdr:cNvPr id="883" name="Straight Connector 882">
          <a:extLst>
            <a:ext uri="{FF2B5EF4-FFF2-40B4-BE49-F238E27FC236}">
              <a16:creationId xmlns:a16="http://schemas.microsoft.com/office/drawing/2014/main" id="{00000000-0008-0000-0600-000073030000}"/>
            </a:ext>
          </a:extLst>
        </xdr:cNvPr>
        <xdr:cNvCxnSpPr/>
      </xdr:nvCxnSpPr>
      <xdr:spPr>
        <a:xfrm flipH="1" flipV="1">
          <a:off x="3747710" y="3671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201</xdr:row>
      <xdr:rowOff>127000</xdr:rowOff>
    </xdr:from>
    <xdr:to>
      <xdr:col>5</xdr:col>
      <xdr:colOff>356235</xdr:colOff>
      <xdr:row>201</xdr:row>
      <xdr:rowOff>309880</xdr:rowOff>
    </xdr:to>
    <xdr:cxnSp macro="">
      <xdr:nvCxnSpPr>
        <xdr:cNvPr id="884" name="Straight Connector 883">
          <a:extLst>
            <a:ext uri="{FF2B5EF4-FFF2-40B4-BE49-F238E27FC236}">
              <a16:creationId xmlns:a16="http://schemas.microsoft.com/office/drawing/2014/main" id="{00000000-0008-0000-0600-000074030000}"/>
            </a:ext>
          </a:extLst>
        </xdr:cNvPr>
        <xdr:cNvCxnSpPr/>
      </xdr:nvCxnSpPr>
      <xdr:spPr>
        <a:xfrm flipH="1" flipV="1">
          <a:off x="3480435" y="368858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201</xdr:row>
      <xdr:rowOff>152400</xdr:rowOff>
    </xdr:from>
    <xdr:to>
      <xdr:col>5</xdr:col>
      <xdr:colOff>1676400</xdr:colOff>
      <xdr:row>201</xdr:row>
      <xdr:rowOff>152400</xdr:rowOff>
    </xdr:to>
    <xdr:cxnSp macro="">
      <xdr:nvCxnSpPr>
        <xdr:cNvPr id="885" name="Straight Connector 884">
          <a:extLst>
            <a:ext uri="{FF2B5EF4-FFF2-40B4-BE49-F238E27FC236}">
              <a16:creationId xmlns:a16="http://schemas.microsoft.com/office/drawing/2014/main" id="{00000000-0008-0000-0600-000075030000}"/>
            </a:ext>
          </a:extLst>
        </xdr:cNvPr>
        <xdr:cNvCxnSpPr/>
      </xdr:nvCxnSpPr>
      <xdr:spPr>
        <a:xfrm>
          <a:off x="3486150" y="369112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201</xdr:row>
      <xdr:rowOff>127000</xdr:rowOff>
    </xdr:from>
    <xdr:to>
      <xdr:col>5</xdr:col>
      <xdr:colOff>356810</xdr:colOff>
      <xdr:row>201</xdr:row>
      <xdr:rowOff>409912</xdr:rowOff>
    </xdr:to>
    <xdr:cxnSp macro="">
      <xdr:nvCxnSpPr>
        <xdr:cNvPr id="886" name="Straight Connector 885">
          <a:extLst>
            <a:ext uri="{FF2B5EF4-FFF2-40B4-BE49-F238E27FC236}">
              <a16:creationId xmlns:a16="http://schemas.microsoft.com/office/drawing/2014/main" id="{00000000-0008-0000-0600-000076030000}"/>
            </a:ext>
          </a:extLst>
        </xdr:cNvPr>
        <xdr:cNvCxnSpPr/>
      </xdr:nvCxnSpPr>
      <xdr:spPr>
        <a:xfrm flipH="1" flipV="1">
          <a:off x="3481009" y="368858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201</xdr:row>
      <xdr:rowOff>134252</xdr:rowOff>
    </xdr:from>
    <xdr:to>
      <xdr:col>5</xdr:col>
      <xdr:colOff>1652211</xdr:colOff>
      <xdr:row>201</xdr:row>
      <xdr:rowOff>417164</xdr:rowOff>
    </xdr:to>
    <xdr:cxnSp macro="">
      <xdr:nvCxnSpPr>
        <xdr:cNvPr id="887" name="Straight Connector 886">
          <a:extLst>
            <a:ext uri="{FF2B5EF4-FFF2-40B4-BE49-F238E27FC236}">
              <a16:creationId xmlns:a16="http://schemas.microsoft.com/office/drawing/2014/main" id="{00000000-0008-0000-0600-000077030000}"/>
            </a:ext>
          </a:extLst>
        </xdr:cNvPr>
        <xdr:cNvCxnSpPr/>
      </xdr:nvCxnSpPr>
      <xdr:spPr>
        <a:xfrm flipH="1" flipV="1">
          <a:off x="3747710" y="368931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202</xdr:row>
      <xdr:rowOff>123824</xdr:rowOff>
    </xdr:from>
    <xdr:to>
      <xdr:col>5</xdr:col>
      <xdr:colOff>1428750</xdr:colOff>
      <xdr:row>202</xdr:row>
      <xdr:rowOff>1219199</xdr:rowOff>
    </xdr:to>
    <xdr:sp macro="" textlink="">
      <xdr:nvSpPr>
        <xdr:cNvPr id="888" name="Rounded Rectangle 887">
          <a:extLst>
            <a:ext uri="{FF2B5EF4-FFF2-40B4-BE49-F238E27FC236}">
              <a16:creationId xmlns:a16="http://schemas.microsoft.com/office/drawing/2014/main" id="{00000000-0008-0000-0600-000078030000}"/>
            </a:ext>
          </a:extLst>
        </xdr:cNvPr>
        <xdr:cNvSpPr/>
      </xdr:nvSpPr>
      <xdr:spPr>
        <a:xfrm>
          <a:off x="3745230" y="370655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202</xdr:row>
      <xdr:rowOff>238127</xdr:rowOff>
    </xdr:from>
    <xdr:to>
      <xdr:col>5</xdr:col>
      <xdr:colOff>790575</xdr:colOff>
      <xdr:row>202</xdr:row>
      <xdr:rowOff>361950</xdr:rowOff>
    </xdr:to>
    <xdr:cxnSp macro="">
      <xdr:nvCxnSpPr>
        <xdr:cNvPr id="889" name="Straight Connector 888">
          <a:extLst>
            <a:ext uri="{FF2B5EF4-FFF2-40B4-BE49-F238E27FC236}">
              <a16:creationId xmlns:a16="http://schemas.microsoft.com/office/drawing/2014/main" id="{00000000-0008-0000-0600-000079030000}"/>
            </a:ext>
          </a:extLst>
        </xdr:cNvPr>
        <xdr:cNvCxnSpPr/>
      </xdr:nvCxnSpPr>
      <xdr:spPr>
        <a:xfrm flipH="1" flipV="1">
          <a:off x="3749041" y="371265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202</xdr:row>
      <xdr:rowOff>133352</xdr:rowOff>
    </xdr:from>
    <xdr:to>
      <xdr:col>5</xdr:col>
      <xdr:colOff>885825</xdr:colOff>
      <xdr:row>202</xdr:row>
      <xdr:rowOff>257175</xdr:rowOff>
    </xdr:to>
    <xdr:cxnSp macro="">
      <xdr:nvCxnSpPr>
        <xdr:cNvPr id="890" name="Straight Connector 889">
          <a:extLst>
            <a:ext uri="{FF2B5EF4-FFF2-40B4-BE49-F238E27FC236}">
              <a16:creationId xmlns:a16="http://schemas.microsoft.com/office/drawing/2014/main" id="{00000000-0008-0000-0600-00007A030000}"/>
            </a:ext>
          </a:extLst>
        </xdr:cNvPr>
        <xdr:cNvCxnSpPr/>
      </xdr:nvCxnSpPr>
      <xdr:spPr>
        <a:xfrm flipH="1" flipV="1">
          <a:off x="3745231" y="370751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200</xdr:row>
      <xdr:rowOff>127000</xdr:rowOff>
    </xdr:from>
    <xdr:to>
      <xdr:col>5</xdr:col>
      <xdr:colOff>356235</xdr:colOff>
      <xdr:row>200</xdr:row>
      <xdr:rowOff>309880</xdr:rowOff>
    </xdr:to>
    <xdr:cxnSp macro="">
      <xdr:nvCxnSpPr>
        <xdr:cNvPr id="891" name="Straight Connector 890">
          <a:extLst>
            <a:ext uri="{FF2B5EF4-FFF2-40B4-BE49-F238E27FC236}">
              <a16:creationId xmlns:a16="http://schemas.microsoft.com/office/drawing/2014/main" id="{00000000-0008-0000-0600-00007B030000}"/>
            </a:ext>
          </a:extLst>
        </xdr:cNvPr>
        <xdr:cNvCxnSpPr/>
      </xdr:nvCxnSpPr>
      <xdr:spPr>
        <a:xfrm flipH="1" flipV="1">
          <a:off x="3480435" y="3670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200</xdr:row>
      <xdr:rowOff>400050</xdr:rowOff>
    </xdr:from>
    <xdr:to>
      <xdr:col>5</xdr:col>
      <xdr:colOff>1666875</xdr:colOff>
      <xdr:row>200</xdr:row>
      <xdr:rowOff>400050</xdr:rowOff>
    </xdr:to>
    <xdr:cxnSp macro="">
      <xdr:nvCxnSpPr>
        <xdr:cNvPr id="892" name="Straight Connector 891">
          <a:extLst>
            <a:ext uri="{FF2B5EF4-FFF2-40B4-BE49-F238E27FC236}">
              <a16:creationId xmlns:a16="http://schemas.microsoft.com/office/drawing/2014/main" id="{00000000-0008-0000-0600-00007C030000}"/>
            </a:ext>
          </a:extLst>
        </xdr:cNvPr>
        <xdr:cNvCxnSpPr/>
      </xdr:nvCxnSpPr>
      <xdr:spPr>
        <a:xfrm>
          <a:off x="3476625" y="36755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200</xdr:row>
      <xdr:rowOff>127000</xdr:rowOff>
    </xdr:from>
    <xdr:to>
      <xdr:col>5</xdr:col>
      <xdr:colOff>356810</xdr:colOff>
      <xdr:row>200</xdr:row>
      <xdr:rowOff>409912</xdr:rowOff>
    </xdr:to>
    <xdr:cxnSp macro="">
      <xdr:nvCxnSpPr>
        <xdr:cNvPr id="893" name="Straight Connector 892">
          <a:extLst>
            <a:ext uri="{FF2B5EF4-FFF2-40B4-BE49-F238E27FC236}">
              <a16:creationId xmlns:a16="http://schemas.microsoft.com/office/drawing/2014/main" id="{00000000-0008-0000-0600-00007D030000}"/>
            </a:ext>
          </a:extLst>
        </xdr:cNvPr>
        <xdr:cNvCxnSpPr/>
      </xdr:nvCxnSpPr>
      <xdr:spPr>
        <a:xfrm flipH="1" flipV="1">
          <a:off x="3481009" y="3670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200</xdr:row>
      <xdr:rowOff>134252</xdr:rowOff>
    </xdr:from>
    <xdr:to>
      <xdr:col>5</xdr:col>
      <xdr:colOff>1652211</xdr:colOff>
      <xdr:row>200</xdr:row>
      <xdr:rowOff>417164</xdr:rowOff>
    </xdr:to>
    <xdr:cxnSp macro="">
      <xdr:nvCxnSpPr>
        <xdr:cNvPr id="894" name="Straight Connector 893">
          <a:extLst>
            <a:ext uri="{FF2B5EF4-FFF2-40B4-BE49-F238E27FC236}">
              <a16:creationId xmlns:a16="http://schemas.microsoft.com/office/drawing/2014/main" id="{00000000-0008-0000-0600-00007E030000}"/>
            </a:ext>
          </a:extLst>
        </xdr:cNvPr>
        <xdr:cNvCxnSpPr/>
      </xdr:nvCxnSpPr>
      <xdr:spPr>
        <a:xfrm flipH="1" flipV="1">
          <a:off x="3747710" y="3671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201</xdr:row>
      <xdr:rowOff>127000</xdr:rowOff>
    </xdr:from>
    <xdr:to>
      <xdr:col>5</xdr:col>
      <xdr:colOff>356235</xdr:colOff>
      <xdr:row>201</xdr:row>
      <xdr:rowOff>309880</xdr:rowOff>
    </xdr:to>
    <xdr:cxnSp macro="">
      <xdr:nvCxnSpPr>
        <xdr:cNvPr id="895" name="Straight Connector 894">
          <a:extLst>
            <a:ext uri="{FF2B5EF4-FFF2-40B4-BE49-F238E27FC236}">
              <a16:creationId xmlns:a16="http://schemas.microsoft.com/office/drawing/2014/main" id="{00000000-0008-0000-0600-00007F030000}"/>
            </a:ext>
          </a:extLst>
        </xdr:cNvPr>
        <xdr:cNvCxnSpPr/>
      </xdr:nvCxnSpPr>
      <xdr:spPr>
        <a:xfrm flipH="1" flipV="1">
          <a:off x="3480435" y="368858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201</xdr:row>
      <xdr:rowOff>152400</xdr:rowOff>
    </xdr:from>
    <xdr:to>
      <xdr:col>5</xdr:col>
      <xdr:colOff>1676400</xdr:colOff>
      <xdr:row>201</xdr:row>
      <xdr:rowOff>152400</xdr:rowOff>
    </xdr:to>
    <xdr:cxnSp macro="">
      <xdr:nvCxnSpPr>
        <xdr:cNvPr id="896" name="Straight Connector 895">
          <a:extLst>
            <a:ext uri="{FF2B5EF4-FFF2-40B4-BE49-F238E27FC236}">
              <a16:creationId xmlns:a16="http://schemas.microsoft.com/office/drawing/2014/main" id="{00000000-0008-0000-0600-000080030000}"/>
            </a:ext>
          </a:extLst>
        </xdr:cNvPr>
        <xdr:cNvCxnSpPr/>
      </xdr:nvCxnSpPr>
      <xdr:spPr>
        <a:xfrm>
          <a:off x="3486150" y="369112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201</xdr:row>
      <xdr:rowOff>127000</xdr:rowOff>
    </xdr:from>
    <xdr:to>
      <xdr:col>5</xdr:col>
      <xdr:colOff>356810</xdr:colOff>
      <xdr:row>201</xdr:row>
      <xdr:rowOff>409912</xdr:rowOff>
    </xdr:to>
    <xdr:cxnSp macro="">
      <xdr:nvCxnSpPr>
        <xdr:cNvPr id="897" name="Straight Connector 896">
          <a:extLst>
            <a:ext uri="{FF2B5EF4-FFF2-40B4-BE49-F238E27FC236}">
              <a16:creationId xmlns:a16="http://schemas.microsoft.com/office/drawing/2014/main" id="{00000000-0008-0000-0600-000081030000}"/>
            </a:ext>
          </a:extLst>
        </xdr:cNvPr>
        <xdr:cNvCxnSpPr/>
      </xdr:nvCxnSpPr>
      <xdr:spPr>
        <a:xfrm flipH="1" flipV="1">
          <a:off x="3481009" y="368858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202</xdr:row>
      <xdr:rowOff>123824</xdr:rowOff>
    </xdr:from>
    <xdr:to>
      <xdr:col>5</xdr:col>
      <xdr:colOff>1428750</xdr:colOff>
      <xdr:row>202</xdr:row>
      <xdr:rowOff>1219199</xdr:rowOff>
    </xdr:to>
    <xdr:sp macro="" textlink="">
      <xdr:nvSpPr>
        <xdr:cNvPr id="898" name="Rounded Rectangle 897">
          <a:extLst>
            <a:ext uri="{FF2B5EF4-FFF2-40B4-BE49-F238E27FC236}">
              <a16:creationId xmlns:a16="http://schemas.microsoft.com/office/drawing/2014/main" id="{00000000-0008-0000-0600-000082030000}"/>
            </a:ext>
          </a:extLst>
        </xdr:cNvPr>
        <xdr:cNvSpPr/>
      </xdr:nvSpPr>
      <xdr:spPr>
        <a:xfrm>
          <a:off x="3745230" y="370655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202</xdr:row>
      <xdr:rowOff>238127</xdr:rowOff>
    </xdr:from>
    <xdr:to>
      <xdr:col>5</xdr:col>
      <xdr:colOff>790575</xdr:colOff>
      <xdr:row>202</xdr:row>
      <xdr:rowOff>361950</xdr:rowOff>
    </xdr:to>
    <xdr:cxnSp macro="">
      <xdr:nvCxnSpPr>
        <xdr:cNvPr id="899" name="Straight Connector 898">
          <a:extLst>
            <a:ext uri="{FF2B5EF4-FFF2-40B4-BE49-F238E27FC236}">
              <a16:creationId xmlns:a16="http://schemas.microsoft.com/office/drawing/2014/main" id="{00000000-0008-0000-0600-000083030000}"/>
            </a:ext>
          </a:extLst>
        </xdr:cNvPr>
        <xdr:cNvCxnSpPr/>
      </xdr:nvCxnSpPr>
      <xdr:spPr>
        <a:xfrm flipH="1" flipV="1">
          <a:off x="3749041" y="371265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202</xdr:row>
      <xdr:rowOff>133352</xdr:rowOff>
    </xdr:from>
    <xdr:to>
      <xdr:col>5</xdr:col>
      <xdr:colOff>885825</xdr:colOff>
      <xdr:row>202</xdr:row>
      <xdr:rowOff>257175</xdr:rowOff>
    </xdr:to>
    <xdr:cxnSp macro="">
      <xdr:nvCxnSpPr>
        <xdr:cNvPr id="900" name="Straight Connector 899">
          <a:extLst>
            <a:ext uri="{FF2B5EF4-FFF2-40B4-BE49-F238E27FC236}">
              <a16:creationId xmlns:a16="http://schemas.microsoft.com/office/drawing/2014/main" id="{00000000-0008-0000-0600-000084030000}"/>
            </a:ext>
          </a:extLst>
        </xdr:cNvPr>
        <xdr:cNvCxnSpPr/>
      </xdr:nvCxnSpPr>
      <xdr:spPr>
        <a:xfrm flipH="1" flipV="1">
          <a:off x="3745231" y="370751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206</xdr:row>
      <xdr:rowOff>127000</xdr:rowOff>
    </xdr:from>
    <xdr:to>
      <xdr:col>5</xdr:col>
      <xdr:colOff>356235</xdr:colOff>
      <xdr:row>206</xdr:row>
      <xdr:rowOff>309880</xdr:rowOff>
    </xdr:to>
    <xdr:cxnSp macro="">
      <xdr:nvCxnSpPr>
        <xdr:cNvPr id="901" name="Straight Connector 900">
          <a:extLst>
            <a:ext uri="{FF2B5EF4-FFF2-40B4-BE49-F238E27FC236}">
              <a16:creationId xmlns:a16="http://schemas.microsoft.com/office/drawing/2014/main" id="{00000000-0008-0000-0600-000085030000}"/>
            </a:ext>
          </a:extLst>
        </xdr:cNvPr>
        <xdr:cNvCxnSpPr/>
      </xdr:nvCxnSpPr>
      <xdr:spPr>
        <a:xfrm flipH="1" flipV="1">
          <a:off x="3480435" y="3780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206</xdr:row>
      <xdr:rowOff>400050</xdr:rowOff>
    </xdr:from>
    <xdr:to>
      <xdr:col>5</xdr:col>
      <xdr:colOff>1666875</xdr:colOff>
      <xdr:row>206</xdr:row>
      <xdr:rowOff>400050</xdr:rowOff>
    </xdr:to>
    <xdr:cxnSp macro="">
      <xdr:nvCxnSpPr>
        <xdr:cNvPr id="902" name="Straight Connector 901">
          <a:extLst>
            <a:ext uri="{FF2B5EF4-FFF2-40B4-BE49-F238E27FC236}">
              <a16:creationId xmlns:a16="http://schemas.microsoft.com/office/drawing/2014/main" id="{00000000-0008-0000-0600-000086030000}"/>
            </a:ext>
          </a:extLst>
        </xdr:cNvPr>
        <xdr:cNvCxnSpPr/>
      </xdr:nvCxnSpPr>
      <xdr:spPr>
        <a:xfrm>
          <a:off x="3476625" y="378523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206</xdr:row>
      <xdr:rowOff>127000</xdr:rowOff>
    </xdr:from>
    <xdr:to>
      <xdr:col>5</xdr:col>
      <xdr:colOff>356810</xdr:colOff>
      <xdr:row>206</xdr:row>
      <xdr:rowOff>409912</xdr:rowOff>
    </xdr:to>
    <xdr:cxnSp macro="">
      <xdr:nvCxnSpPr>
        <xdr:cNvPr id="903" name="Straight Connector 902">
          <a:extLst>
            <a:ext uri="{FF2B5EF4-FFF2-40B4-BE49-F238E27FC236}">
              <a16:creationId xmlns:a16="http://schemas.microsoft.com/office/drawing/2014/main" id="{00000000-0008-0000-0600-000087030000}"/>
            </a:ext>
          </a:extLst>
        </xdr:cNvPr>
        <xdr:cNvCxnSpPr/>
      </xdr:nvCxnSpPr>
      <xdr:spPr>
        <a:xfrm flipH="1" flipV="1">
          <a:off x="3481009" y="3780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206</xdr:row>
      <xdr:rowOff>134252</xdr:rowOff>
    </xdr:from>
    <xdr:to>
      <xdr:col>5</xdr:col>
      <xdr:colOff>1652211</xdr:colOff>
      <xdr:row>206</xdr:row>
      <xdr:rowOff>417164</xdr:rowOff>
    </xdr:to>
    <xdr:cxnSp macro="">
      <xdr:nvCxnSpPr>
        <xdr:cNvPr id="904" name="Straight Connector 903">
          <a:extLst>
            <a:ext uri="{FF2B5EF4-FFF2-40B4-BE49-F238E27FC236}">
              <a16:creationId xmlns:a16="http://schemas.microsoft.com/office/drawing/2014/main" id="{00000000-0008-0000-0600-000088030000}"/>
            </a:ext>
          </a:extLst>
        </xdr:cNvPr>
        <xdr:cNvCxnSpPr/>
      </xdr:nvCxnSpPr>
      <xdr:spPr>
        <a:xfrm flipH="1" flipV="1">
          <a:off x="3747710" y="3780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207</xdr:row>
      <xdr:rowOff>127000</xdr:rowOff>
    </xdr:from>
    <xdr:to>
      <xdr:col>5</xdr:col>
      <xdr:colOff>356235</xdr:colOff>
      <xdr:row>207</xdr:row>
      <xdr:rowOff>309880</xdr:rowOff>
    </xdr:to>
    <xdr:cxnSp macro="">
      <xdr:nvCxnSpPr>
        <xdr:cNvPr id="905" name="Straight Connector 904">
          <a:extLst>
            <a:ext uri="{FF2B5EF4-FFF2-40B4-BE49-F238E27FC236}">
              <a16:creationId xmlns:a16="http://schemas.microsoft.com/office/drawing/2014/main" id="{00000000-0008-0000-0600-000089030000}"/>
            </a:ext>
          </a:extLst>
        </xdr:cNvPr>
        <xdr:cNvCxnSpPr/>
      </xdr:nvCxnSpPr>
      <xdr:spPr>
        <a:xfrm flipH="1" flipV="1">
          <a:off x="3480435" y="37983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207</xdr:row>
      <xdr:rowOff>152400</xdr:rowOff>
    </xdr:from>
    <xdr:to>
      <xdr:col>5</xdr:col>
      <xdr:colOff>1676400</xdr:colOff>
      <xdr:row>207</xdr:row>
      <xdr:rowOff>152400</xdr:rowOff>
    </xdr:to>
    <xdr:cxnSp macro="">
      <xdr:nvCxnSpPr>
        <xdr:cNvPr id="906" name="Straight Connector 905">
          <a:extLst>
            <a:ext uri="{FF2B5EF4-FFF2-40B4-BE49-F238E27FC236}">
              <a16:creationId xmlns:a16="http://schemas.microsoft.com/office/drawing/2014/main" id="{00000000-0008-0000-0600-00008A030000}"/>
            </a:ext>
          </a:extLst>
        </xdr:cNvPr>
        <xdr:cNvCxnSpPr/>
      </xdr:nvCxnSpPr>
      <xdr:spPr>
        <a:xfrm>
          <a:off x="3486150" y="380085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207</xdr:row>
      <xdr:rowOff>127000</xdr:rowOff>
    </xdr:from>
    <xdr:to>
      <xdr:col>5</xdr:col>
      <xdr:colOff>356810</xdr:colOff>
      <xdr:row>207</xdr:row>
      <xdr:rowOff>409912</xdr:rowOff>
    </xdr:to>
    <xdr:cxnSp macro="">
      <xdr:nvCxnSpPr>
        <xdr:cNvPr id="907" name="Straight Connector 906">
          <a:extLst>
            <a:ext uri="{FF2B5EF4-FFF2-40B4-BE49-F238E27FC236}">
              <a16:creationId xmlns:a16="http://schemas.microsoft.com/office/drawing/2014/main" id="{00000000-0008-0000-0600-00008B030000}"/>
            </a:ext>
          </a:extLst>
        </xdr:cNvPr>
        <xdr:cNvCxnSpPr/>
      </xdr:nvCxnSpPr>
      <xdr:spPr>
        <a:xfrm flipH="1" flipV="1">
          <a:off x="3481009" y="37983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207</xdr:row>
      <xdr:rowOff>134252</xdr:rowOff>
    </xdr:from>
    <xdr:to>
      <xdr:col>5</xdr:col>
      <xdr:colOff>1652211</xdr:colOff>
      <xdr:row>207</xdr:row>
      <xdr:rowOff>417164</xdr:rowOff>
    </xdr:to>
    <xdr:cxnSp macro="">
      <xdr:nvCxnSpPr>
        <xdr:cNvPr id="908" name="Straight Connector 907">
          <a:extLst>
            <a:ext uri="{FF2B5EF4-FFF2-40B4-BE49-F238E27FC236}">
              <a16:creationId xmlns:a16="http://schemas.microsoft.com/office/drawing/2014/main" id="{00000000-0008-0000-0600-00008C030000}"/>
            </a:ext>
          </a:extLst>
        </xdr:cNvPr>
        <xdr:cNvCxnSpPr/>
      </xdr:nvCxnSpPr>
      <xdr:spPr>
        <a:xfrm flipH="1" flipV="1">
          <a:off x="3747710" y="37990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208</xdr:row>
      <xdr:rowOff>123824</xdr:rowOff>
    </xdr:from>
    <xdr:to>
      <xdr:col>5</xdr:col>
      <xdr:colOff>1428750</xdr:colOff>
      <xdr:row>208</xdr:row>
      <xdr:rowOff>1219199</xdr:rowOff>
    </xdr:to>
    <xdr:sp macro="" textlink="">
      <xdr:nvSpPr>
        <xdr:cNvPr id="909" name="Rounded Rectangle 908">
          <a:extLst>
            <a:ext uri="{FF2B5EF4-FFF2-40B4-BE49-F238E27FC236}">
              <a16:creationId xmlns:a16="http://schemas.microsoft.com/office/drawing/2014/main" id="{00000000-0008-0000-0600-00008D030000}"/>
            </a:ext>
          </a:extLst>
        </xdr:cNvPr>
        <xdr:cNvSpPr/>
      </xdr:nvSpPr>
      <xdr:spPr>
        <a:xfrm>
          <a:off x="3745230" y="381628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208</xdr:row>
      <xdr:rowOff>238127</xdr:rowOff>
    </xdr:from>
    <xdr:to>
      <xdr:col>5</xdr:col>
      <xdr:colOff>790575</xdr:colOff>
      <xdr:row>208</xdr:row>
      <xdr:rowOff>361950</xdr:rowOff>
    </xdr:to>
    <xdr:cxnSp macro="">
      <xdr:nvCxnSpPr>
        <xdr:cNvPr id="910" name="Straight Connector 909">
          <a:extLst>
            <a:ext uri="{FF2B5EF4-FFF2-40B4-BE49-F238E27FC236}">
              <a16:creationId xmlns:a16="http://schemas.microsoft.com/office/drawing/2014/main" id="{00000000-0008-0000-0600-00008E030000}"/>
            </a:ext>
          </a:extLst>
        </xdr:cNvPr>
        <xdr:cNvCxnSpPr/>
      </xdr:nvCxnSpPr>
      <xdr:spPr>
        <a:xfrm flipH="1" flipV="1">
          <a:off x="3749041" y="382238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208</xdr:row>
      <xdr:rowOff>133352</xdr:rowOff>
    </xdr:from>
    <xdr:to>
      <xdr:col>5</xdr:col>
      <xdr:colOff>885825</xdr:colOff>
      <xdr:row>208</xdr:row>
      <xdr:rowOff>257175</xdr:rowOff>
    </xdr:to>
    <xdr:cxnSp macro="">
      <xdr:nvCxnSpPr>
        <xdr:cNvPr id="911" name="Straight Connector 910">
          <a:extLst>
            <a:ext uri="{FF2B5EF4-FFF2-40B4-BE49-F238E27FC236}">
              <a16:creationId xmlns:a16="http://schemas.microsoft.com/office/drawing/2014/main" id="{00000000-0008-0000-0600-00008F030000}"/>
            </a:ext>
          </a:extLst>
        </xdr:cNvPr>
        <xdr:cNvCxnSpPr/>
      </xdr:nvCxnSpPr>
      <xdr:spPr>
        <a:xfrm flipH="1" flipV="1">
          <a:off x="3745231" y="381723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206</xdr:row>
      <xdr:rowOff>127000</xdr:rowOff>
    </xdr:from>
    <xdr:to>
      <xdr:col>5</xdr:col>
      <xdr:colOff>356235</xdr:colOff>
      <xdr:row>206</xdr:row>
      <xdr:rowOff>309880</xdr:rowOff>
    </xdr:to>
    <xdr:cxnSp macro="">
      <xdr:nvCxnSpPr>
        <xdr:cNvPr id="912" name="Straight Connector 911">
          <a:extLst>
            <a:ext uri="{FF2B5EF4-FFF2-40B4-BE49-F238E27FC236}">
              <a16:creationId xmlns:a16="http://schemas.microsoft.com/office/drawing/2014/main" id="{00000000-0008-0000-0600-000090030000}"/>
            </a:ext>
          </a:extLst>
        </xdr:cNvPr>
        <xdr:cNvCxnSpPr/>
      </xdr:nvCxnSpPr>
      <xdr:spPr>
        <a:xfrm flipH="1" flipV="1">
          <a:off x="3480435" y="3780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206</xdr:row>
      <xdr:rowOff>400050</xdr:rowOff>
    </xdr:from>
    <xdr:to>
      <xdr:col>5</xdr:col>
      <xdr:colOff>1666875</xdr:colOff>
      <xdr:row>206</xdr:row>
      <xdr:rowOff>400050</xdr:rowOff>
    </xdr:to>
    <xdr:cxnSp macro="">
      <xdr:nvCxnSpPr>
        <xdr:cNvPr id="913" name="Straight Connector 912">
          <a:extLst>
            <a:ext uri="{FF2B5EF4-FFF2-40B4-BE49-F238E27FC236}">
              <a16:creationId xmlns:a16="http://schemas.microsoft.com/office/drawing/2014/main" id="{00000000-0008-0000-0600-000091030000}"/>
            </a:ext>
          </a:extLst>
        </xdr:cNvPr>
        <xdr:cNvCxnSpPr/>
      </xdr:nvCxnSpPr>
      <xdr:spPr>
        <a:xfrm>
          <a:off x="3476625" y="378523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206</xdr:row>
      <xdr:rowOff>127000</xdr:rowOff>
    </xdr:from>
    <xdr:to>
      <xdr:col>5</xdr:col>
      <xdr:colOff>356810</xdr:colOff>
      <xdr:row>206</xdr:row>
      <xdr:rowOff>409912</xdr:rowOff>
    </xdr:to>
    <xdr:cxnSp macro="">
      <xdr:nvCxnSpPr>
        <xdr:cNvPr id="914" name="Straight Connector 913">
          <a:extLst>
            <a:ext uri="{FF2B5EF4-FFF2-40B4-BE49-F238E27FC236}">
              <a16:creationId xmlns:a16="http://schemas.microsoft.com/office/drawing/2014/main" id="{00000000-0008-0000-0600-000092030000}"/>
            </a:ext>
          </a:extLst>
        </xdr:cNvPr>
        <xdr:cNvCxnSpPr/>
      </xdr:nvCxnSpPr>
      <xdr:spPr>
        <a:xfrm flipH="1" flipV="1">
          <a:off x="3481009" y="3780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206</xdr:row>
      <xdr:rowOff>134252</xdr:rowOff>
    </xdr:from>
    <xdr:to>
      <xdr:col>5</xdr:col>
      <xdr:colOff>1652211</xdr:colOff>
      <xdr:row>206</xdr:row>
      <xdr:rowOff>417164</xdr:rowOff>
    </xdr:to>
    <xdr:cxnSp macro="">
      <xdr:nvCxnSpPr>
        <xdr:cNvPr id="915" name="Straight Connector 914">
          <a:extLst>
            <a:ext uri="{FF2B5EF4-FFF2-40B4-BE49-F238E27FC236}">
              <a16:creationId xmlns:a16="http://schemas.microsoft.com/office/drawing/2014/main" id="{00000000-0008-0000-0600-000093030000}"/>
            </a:ext>
          </a:extLst>
        </xdr:cNvPr>
        <xdr:cNvCxnSpPr/>
      </xdr:nvCxnSpPr>
      <xdr:spPr>
        <a:xfrm flipH="1" flipV="1">
          <a:off x="3747710" y="3780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207</xdr:row>
      <xdr:rowOff>127000</xdr:rowOff>
    </xdr:from>
    <xdr:to>
      <xdr:col>5</xdr:col>
      <xdr:colOff>356235</xdr:colOff>
      <xdr:row>207</xdr:row>
      <xdr:rowOff>309880</xdr:rowOff>
    </xdr:to>
    <xdr:cxnSp macro="">
      <xdr:nvCxnSpPr>
        <xdr:cNvPr id="916" name="Straight Connector 915">
          <a:extLst>
            <a:ext uri="{FF2B5EF4-FFF2-40B4-BE49-F238E27FC236}">
              <a16:creationId xmlns:a16="http://schemas.microsoft.com/office/drawing/2014/main" id="{00000000-0008-0000-0600-000094030000}"/>
            </a:ext>
          </a:extLst>
        </xdr:cNvPr>
        <xdr:cNvCxnSpPr/>
      </xdr:nvCxnSpPr>
      <xdr:spPr>
        <a:xfrm flipH="1" flipV="1">
          <a:off x="3480435" y="37983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207</xdr:row>
      <xdr:rowOff>152400</xdr:rowOff>
    </xdr:from>
    <xdr:to>
      <xdr:col>5</xdr:col>
      <xdr:colOff>1676400</xdr:colOff>
      <xdr:row>207</xdr:row>
      <xdr:rowOff>152400</xdr:rowOff>
    </xdr:to>
    <xdr:cxnSp macro="">
      <xdr:nvCxnSpPr>
        <xdr:cNvPr id="917" name="Straight Connector 916">
          <a:extLst>
            <a:ext uri="{FF2B5EF4-FFF2-40B4-BE49-F238E27FC236}">
              <a16:creationId xmlns:a16="http://schemas.microsoft.com/office/drawing/2014/main" id="{00000000-0008-0000-0600-000095030000}"/>
            </a:ext>
          </a:extLst>
        </xdr:cNvPr>
        <xdr:cNvCxnSpPr/>
      </xdr:nvCxnSpPr>
      <xdr:spPr>
        <a:xfrm>
          <a:off x="3486150" y="380085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207</xdr:row>
      <xdr:rowOff>127000</xdr:rowOff>
    </xdr:from>
    <xdr:to>
      <xdr:col>5</xdr:col>
      <xdr:colOff>356810</xdr:colOff>
      <xdr:row>207</xdr:row>
      <xdr:rowOff>409912</xdr:rowOff>
    </xdr:to>
    <xdr:cxnSp macro="">
      <xdr:nvCxnSpPr>
        <xdr:cNvPr id="918" name="Straight Connector 917">
          <a:extLst>
            <a:ext uri="{FF2B5EF4-FFF2-40B4-BE49-F238E27FC236}">
              <a16:creationId xmlns:a16="http://schemas.microsoft.com/office/drawing/2014/main" id="{00000000-0008-0000-0600-000096030000}"/>
            </a:ext>
          </a:extLst>
        </xdr:cNvPr>
        <xdr:cNvCxnSpPr/>
      </xdr:nvCxnSpPr>
      <xdr:spPr>
        <a:xfrm flipH="1" flipV="1">
          <a:off x="3481009" y="37983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207</xdr:row>
      <xdr:rowOff>134252</xdr:rowOff>
    </xdr:from>
    <xdr:to>
      <xdr:col>5</xdr:col>
      <xdr:colOff>1652211</xdr:colOff>
      <xdr:row>207</xdr:row>
      <xdr:rowOff>417164</xdr:rowOff>
    </xdr:to>
    <xdr:cxnSp macro="">
      <xdr:nvCxnSpPr>
        <xdr:cNvPr id="919" name="Straight Connector 918">
          <a:extLst>
            <a:ext uri="{FF2B5EF4-FFF2-40B4-BE49-F238E27FC236}">
              <a16:creationId xmlns:a16="http://schemas.microsoft.com/office/drawing/2014/main" id="{00000000-0008-0000-0600-000097030000}"/>
            </a:ext>
          </a:extLst>
        </xdr:cNvPr>
        <xdr:cNvCxnSpPr/>
      </xdr:nvCxnSpPr>
      <xdr:spPr>
        <a:xfrm flipH="1" flipV="1">
          <a:off x="3747710" y="37990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208</xdr:row>
      <xdr:rowOff>123824</xdr:rowOff>
    </xdr:from>
    <xdr:to>
      <xdr:col>5</xdr:col>
      <xdr:colOff>1428750</xdr:colOff>
      <xdr:row>208</xdr:row>
      <xdr:rowOff>1219199</xdr:rowOff>
    </xdr:to>
    <xdr:sp macro="" textlink="">
      <xdr:nvSpPr>
        <xdr:cNvPr id="920" name="Rounded Rectangle 919">
          <a:extLst>
            <a:ext uri="{FF2B5EF4-FFF2-40B4-BE49-F238E27FC236}">
              <a16:creationId xmlns:a16="http://schemas.microsoft.com/office/drawing/2014/main" id="{00000000-0008-0000-0600-000098030000}"/>
            </a:ext>
          </a:extLst>
        </xdr:cNvPr>
        <xdr:cNvSpPr/>
      </xdr:nvSpPr>
      <xdr:spPr>
        <a:xfrm>
          <a:off x="3745230" y="381628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208</xdr:row>
      <xdr:rowOff>238127</xdr:rowOff>
    </xdr:from>
    <xdr:to>
      <xdr:col>5</xdr:col>
      <xdr:colOff>790575</xdr:colOff>
      <xdr:row>208</xdr:row>
      <xdr:rowOff>361950</xdr:rowOff>
    </xdr:to>
    <xdr:cxnSp macro="">
      <xdr:nvCxnSpPr>
        <xdr:cNvPr id="921" name="Straight Connector 920">
          <a:extLst>
            <a:ext uri="{FF2B5EF4-FFF2-40B4-BE49-F238E27FC236}">
              <a16:creationId xmlns:a16="http://schemas.microsoft.com/office/drawing/2014/main" id="{00000000-0008-0000-0600-000099030000}"/>
            </a:ext>
          </a:extLst>
        </xdr:cNvPr>
        <xdr:cNvCxnSpPr/>
      </xdr:nvCxnSpPr>
      <xdr:spPr>
        <a:xfrm flipH="1" flipV="1">
          <a:off x="3749041" y="382238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208</xdr:row>
      <xdr:rowOff>133352</xdr:rowOff>
    </xdr:from>
    <xdr:to>
      <xdr:col>5</xdr:col>
      <xdr:colOff>885825</xdr:colOff>
      <xdr:row>208</xdr:row>
      <xdr:rowOff>257175</xdr:rowOff>
    </xdr:to>
    <xdr:cxnSp macro="">
      <xdr:nvCxnSpPr>
        <xdr:cNvPr id="922" name="Straight Connector 921">
          <a:extLst>
            <a:ext uri="{FF2B5EF4-FFF2-40B4-BE49-F238E27FC236}">
              <a16:creationId xmlns:a16="http://schemas.microsoft.com/office/drawing/2014/main" id="{00000000-0008-0000-0600-00009A030000}"/>
            </a:ext>
          </a:extLst>
        </xdr:cNvPr>
        <xdr:cNvCxnSpPr/>
      </xdr:nvCxnSpPr>
      <xdr:spPr>
        <a:xfrm flipH="1" flipV="1">
          <a:off x="3745231" y="381723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206</xdr:row>
      <xdr:rowOff>127000</xdr:rowOff>
    </xdr:from>
    <xdr:to>
      <xdr:col>5</xdr:col>
      <xdr:colOff>356235</xdr:colOff>
      <xdr:row>206</xdr:row>
      <xdr:rowOff>309880</xdr:rowOff>
    </xdr:to>
    <xdr:cxnSp macro="">
      <xdr:nvCxnSpPr>
        <xdr:cNvPr id="923" name="Straight Connector 922">
          <a:extLst>
            <a:ext uri="{FF2B5EF4-FFF2-40B4-BE49-F238E27FC236}">
              <a16:creationId xmlns:a16="http://schemas.microsoft.com/office/drawing/2014/main" id="{00000000-0008-0000-0600-00009B030000}"/>
            </a:ext>
          </a:extLst>
        </xdr:cNvPr>
        <xdr:cNvCxnSpPr/>
      </xdr:nvCxnSpPr>
      <xdr:spPr>
        <a:xfrm flipH="1" flipV="1">
          <a:off x="3480435" y="3780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206</xdr:row>
      <xdr:rowOff>400050</xdr:rowOff>
    </xdr:from>
    <xdr:to>
      <xdr:col>5</xdr:col>
      <xdr:colOff>1666875</xdr:colOff>
      <xdr:row>206</xdr:row>
      <xdr:rowOff>400050</xdr:rowOff>
    </xdr:to>
    <xdr:cxnSp macro="">
      <xdr:nvCxnSpPr>
        <xdr:cNvPr id="924" name="Straight Connector 923">
          <a:extLst>
            <a:ext uri="{FF2B5EF4-FFF2-40B4-BE49-F238E27FC236}">
              <a16:creationId xmlns:a16="http://schemas.microsoft.com/office/drawing/2014/main" id="{00000000-0008-0000-0600-00009C030000}"/>
            </a:ext>
          </a:extLst>
        </xdr:cNvPr>
        <xdr:cNvCxnSpPr/>
      </xdr:nvCxnSpPr>
      <xdr:spPr>
        <a:xfrm>
          <a:off x="3476625" y="378523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206</xdr:row>
      <xdr:rowOff>127000</xdr:rowOff>
    </xdr:from>
    <xdr:to>
      <xdr:col>5</xdr:col>
      <xdr:colOff>356810</xdr:colOff>
      <xdr:row>206</xdr:row>
      <xdr:rowOff>409912</xdr:rowOff>
    </xdr:to>
    <xdr:cxnSp macro="">
      <xdr:nvCxnSpPr>
        <xdr:cNvPr id="925" name="Straight Connector 924">
          <a:extLst>
            <a:ext uri="{FF2B5EF4-FFF2-40B4-BE49-F238E27FC236}">
              <a16:creationId xmlns:a16="http://schemas.microsoft.com/office/drawing/2014/main" id="{00000000-0008-0000-0600-00009D030000}"/>
            </a:ext>
          </a:extLst>
        </xdr:cNvPr>
        <xdr:cNvCxnSpPr/>
      </xdr:nvCxnSpPr>
      <xdr:spPr>
        <a:xfrm flipH="1" flipV="1">
          <a:off x="3481009" y="3780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206</xdr:row>
      <xdr:rowOff>134252</xdr:rowOff>
    </xdr:from>
    <xdr:to>
      <xdr:col>5</xdr:col>
      <xdr:colOff>1652211</xdr:colOff>
      <xdr:row>206</xdr:row>
      <xdr:rowOff>417164</xdr:rowOff>
    </xdr:to>
    <xdr:cxnSp macro="">
      <xdr:nvCxnSpPr>
        <xdr:cNvPr id="926" name="Straight Connector 925">
          <a:extLst>
            <a:ext uri="{FF2B5EF4-FFF2-40B4-BE49-F238E27FC236}">
              <a16:creationId xmlns:a16="http://schemas.microsoft.com/office/drawing/2014/main" id="{00000000-0008-0000-0600-00009E030000}"/>
            </a:ext>
          </a:extLst>
        </xdr:cNvPr>
        <xdr:cNvCxnSpPr/>
      </xdr:nvCxnSpPr>
      <xdr:spPr>
        <a:xfrm flipH="1" flipV="1">
          <a:off x="3747710" y="3780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207</xdr:row>
      <xdr:rowOff>127000</xdr:rowOff>
    </xdr:from>
    <xdr:to>
      <xdr:col>5</xdr:col>
      <xdr:colOff>356235</xdr:colOff>
      <xdr:row>207</xdr:row>
      <xdr:rowOff>309880</xdr:rowOff>
    </xdr:to>
    <xdr:cxnSp macro="">
      <xdr:nvCxnSpPr>
        <xdr:cNvPr id="927" name="Straight Connector 926">
          <a:extLst>
            <a:ext uri="{FF2B5EF4-FFF2-40B4-BE49-F238E27FC236}">
              <a16:creationId xmlns:a16="http://schemas.microsoft.com/office/drawing/2014/main" id="{00000000-0008-0000-0600-00009F030000}"/>
            </a:ext>
          </a:extLst>
        </xdr:cNvPr>
        <xdr:cNvCxnSpPr/>
      </xdr:nvCxnSpPr>
      <xdr:spPr>
        <a:xfrm flipH="1" flipV="1">
          <a:off x="3480435" y="37983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207</xdr:row>
      <xdr:rowOff>152400</xdr:rowOff>
    </xdr:from>
    <xdr:to>
      <xdr:col>5</xdr:col>
      <xdr:colOff>1676400</xdr:colOff>
      <xdr:row>207</xdr:row>
      <xdr:rowOff>152400</xdr:rowOff>
    </xdr:to>
    <xdr:cxnSp macro="">
      <xdr:nvCxnSpPr>
        <xdr:cNvPr id="928" name="Straight Connector 927">
          <a:extLst>
            <a:ext uri="{FF2B5EF4-FFF2-40B4-BE49-F238E27FC236}">
              <a16:creationId xmlns:a16="http://schemas.microsoft.com/office/drawing/2014/main" id="{00000000-0008-0000-0600-0000A0030000}"/>
            </a:ext>
          </a:extLst>
        </xdr:cNvPr>
        <xdr:cNvCxnSpPr/>
      </xdr:nvCxnSpPr>
      <xdr:spPr>
        <a:xfrm>
          <a:off x="3486150" y="380085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207</xdr:row>
      <xdr:rowOff>127000</xdr:rowOff>
    </xdr:from>
    <xdr:to>
      <xdr:col>5</xdr:col>
      <xdr:colOff>356810</xdr:colOff>
      <xdr:row>207</xdr:row>
      <xdr:rowOff>409912</xdr:rowOff>
    </xdr:to>
    <xdr:cxnSp macro="">
      <xdr:nvCxnSpPr>
        <xdr:cNvPr id="929" name="Straight Connector 928">
          <a:extLst>
            <a:ext uri="{FF2B5EF4-FFF2-40B4-BE49-F238E27FC236}">
              <a16:creationId xmlns:a16="http://schemas.microsoft.com/office/drawing/2014/main" id="{00000000-0008-0000-0600-0000A1030000}"/>
            </a:ext>
          </a:extLst>
        </xdr:cNvPr>
        <xdr:cNvCxnSpPr/>
      </xdr:nvCxnSpPr>
      <xdr:spPr>
        <a:xfrm flipH="1" flipV="1">
          <a:off x="3481009" y="37983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207</xdr:row>
      <xdr:rowOff>134252</xdr:rowOff>
    </xdr:from>
    <xdr:to>
      <xdr:col>5</xdr:col>
      <xdr:colOff>1652211</xdr:colOff>
      <xdr:row>207</xdr:row>
      <xdr:rowOff>417164</xdr:rowOff>
    </xdr:to>
    <xdr:cxnSp macro="">
      <xdr:nvCxnSpPr>
        <xdr:cNvPr id="930" name="Straight Connector 929">
          <a:extLst>
            <a:ext uri="{FF2B5EF4-FFF2-40B4-BE49-F238E27FC236}">
              <a16:creationId xmlns:a16="http://schemas.microsoft.com/office/drawing/2014/main" id="{00000000-0008-0000-0600-0000A2030000}"/>
            </a:ext>
          </a:extLst>
        </xdr:cNvPr>
        <xdr:cNvCxnSpPr/>
      </xdr:nvCxnSpPr>
      <xdr:spPr>
        <a:xfrm flipH="1" flipV="1">
          <a:off x="3747710" y="37990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208</xdr:row>
      <xdr:rowOff>123824</xdr:rowOff>
    </xdr:from>
    <xdr:to>
      <xdr:col>5</xdr:col>
      <xdr:colOff>1428750</xdr:colOff>
      <xdr:row>208</xdr:row>
      <xdr:rowOff>1219199</xdr:rowOff>
    </xdr:to>
    <xdr:sp macro="" textlink="">
      <xdr:nvSpPr>
        <xdr:cNvPr id="931" name="Rounded Rectangle 930">
          <a:extLst>
            <a:ext uri="{FF2B5EF4-FFF2-40B4-BE49-F238E27FC236}">
              <a16:creationId xmlns:a16="http://schemas.microsoft.com/office/drawing/2014/main" id="{00000000-0008-0000-0600-0000A3030000}"/>
            </a:ext>
          </a:extLst>
        </xdr:cNvPr>
        <xdr:cNvSpPr/>
      </xdr:nvSpPr>
      <xdr:spPr>
        <a:xfrm>
          <a:off x="3745230" y="381628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208</xdr:row>
      <xdr:rowOff>238127</xdr:rowOff>
    </xdr:from>
    <xdr:to>
      <xdr:col>5</xdr:col>
      <xdr:colOff>790575</xdr:colOff>
      <xdr:row>208</xdr:row>
      <xdr:rowOff>361950</xdr:rowOff>
    </xdr:to>
    <xdr:cxnSp macro="">
      <xdr:nvCxnSpPr>
        <xdr:cNvPr id="932" name="Straight Connector 931">
          <a:extLst>
            <a:ext uri="{FF2B5EF4-FFF2-40B4-BE49-F238E27FC236}">
              <a16:creationId xmlns:a16="http://schemas.microsoft.com/office/drawing/2014/main" id="{00000000-0008-0000-0600-0000A4030000}"/>
            </a:ext>
          </a:extLst>
        </xdr:cNvPr>
        <xdr:cNvCxnSpPr/>
      </xdr:nvCxnSpPr>
      <xdr:spPr>
        <a:xfrm flipH="1" flipV="1">
          <a:off x="3749041" y="382238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208</xdr:row>
      <xdr:rowOff>133352</xdr:rowOff>
    </xdr:from>
    <xdr:to>
      <xdr:col>5</xdr:col>
      <xdr:colOff>885825</xdr:colOff>
      <xdr:row>208</xdr:row>
      <xdr:rowOff>257175</xdr:rowOff>
    </xdr:to>
    <xdr:cxnSp macro="">
      <xdr:nvCxnSpPr>
        <xdr:cNvPr id="933" name="Straight Connector 932">
          <a:extLst>
            <a:ext uri="{FF2B5EF4-FFF2-40B4-BE49-F238E27FC236}">
              <a16:creationId xmlns:a16="http://schemas.microsoft.com/office/drawing/2014/main" id="{00000000-0008-0000-0600-0000A5030000}"/>
            </a:ext>
          </a:extLst>
        </xdr:cNvPr>
        <xdr:cNvCxnSpPr/>
      </xdr:nvCxnSpPr>
      <xdr:spPr>
        <a:xfrm flipH="1" flipV="1">
          <a:off x="3745231" y="381723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206</xdr:row>
      <xdr:rowOff>127000</xdr:rowOff>
    </xdr:from>
    <xdr:to>
      <xdr:col>5</xdr:col>
      <xdr:colOff>356235</xdr:colOff>
      <xdr:row>206</xdr:row>
      <xdr:rowOff>309880</xdr:rowOff>
    </xdr:to>
    <xdr:cxnSp macro="">
      <xdr:nvCxnSpPr>
        <xdr:cNvPr id="934" name="Straight Connector 933">
          <a:extLst>
            <a:ext uri="{FF2B5EF4-FFF2-40B4-BE49-F238E27FC236}">
              <a16:creationId xmlns:a16="http://schemas.microsoft.com/office/drawing/2014/main" id="{00000000-0008-0000-0600-0000A6030000}"/>
            </a:ext>
          </a:extLst>
        </xdr:cNvPr>
        <xdr:cNvCxnSpPr/>
      </xdr:nvCxnSpPr>
      <xdr:spPr>
        <a:xfrm flipH="1" flipV="1">
          <a:off x="3480435" y="3780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206</xdr:row>
      <xdr:rowOff>400050</xdr:rowOff>
    </xdr:from>
    <xdr:to>
      <xdr:col>5</xdr:col>
      <xdr:colOff>1666875</xdr:colOff>
      <xdr:row>206</xdr:row>
      <xdr:rowOff>400050</xdr:rowOff>
    </xdr:to>
    <xdr:cxnSp macro="">
      <xdr:nvCxnSpPr>
        <xdr:cNvPr id="935" name="Straight Connector 934">
          <a:extLst>
            <a:ext uri="{FF2B5EF4-FFF2-40B4-BE49-F238E27FC236}">
              <a16:creationId xmlns:a16="http://schemas.microsoft.com/office/drawing/2014/main" id="{00000000-0008-0000-0600-0000A7030000}"/>
            </a:ext>
          </a:extLst>
        </xdr:cNvPr>
        <xdr:cNvCxnSpPr/>
      </xdr:nvCxnSpPr>
      <xdr:spPr>
        <a:xfrm>
          <a:off x="3476625" y="378523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206</xdr:row>
      <xdr:rowOff>127000</xdr:rowOff>
    </xdr:from>
    <xdr:to>
      <xdr:col>5</xdr:col>
      <xdr:colOff>356810</xdr:colOff>
      <xdr:row>206</xdr:row>
      <xdr:rowOff>409912</xdr:rowOff>
    </xdr:to>
    <xdr:cxnSp macro="">
      <xdr:nvCxnSpPr>
        <xdr:cNvPr id="936" name="Straight Connector 935">
          <a:extLst>
            <a:ext uri="{FF2B5EF4-FFF2-40B4-BE49-F238E27FC236}">
              <a16:creationId xmlns:a16="http://schemas.microsoft.com/office/drawing/2014/main" id="{00000000-0008-0000-0600-0000A8030000}"/>
            </a:ext>
          </a:extLst>
        </xdr:cNvPr>
        <xdr:cNvCxnSpPr/>
      </xdr:nvCxnSpPr>
      <xdr:spPr>
        <a:xfrm flipH="1" flipV="1">
          <a:off x="3481009" y="3780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206</xdr:row>
      <xdr:rowOff>134252</xdr:rowOff>
    </xdr:from>
    <xdr:to>
      <xdr:col>5</xdr:col>
      <xdr:colOff>1652211</xdr:colOff>
      <xdr:row>206</xdr:row>
      <xdr:rowOff>417164</xdr:rowOff>
    </xdr:to>
    <xdr:cxnSp macro="">
      <xdr:nvCxnSpPr>
        <xdr:cNvPr id="937" name="Straight Connector 936">
          <a:extLst>
            <a:ext uri="{FF2B5EF4-FFF2-40B4-BE49-F238E27FC236}">
              <a16:creationId xmlns:a16="http://schemas.microsoft.com/office/drawing/2014/main" id="{00000000-0008-0000-0600-0000A9030000}"/>
            </a:ext>
          </a:extLst>
        </xdr:cNvPr>
        <xdr:cNvCxnSpPr/>
      </xdr:nvCxnSpPr>
      <xdr:spPr>
        <a:xfrm flipH="1" flipV="1">
          <a:off x="3747710" y="3780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207</xdr:row>
      <xdr:rowOff>127000</xdr:rowOff>
    </xdr:from>
    <xdr:to>
      <xdr:col>5</xdr:col>
      <xdr:colOff>356235</xdr:colOff>
      <xdr:row>207</xdr:row>
      <xdr:rowOff>309880</xdr:rowOff>
    </xdr:to>
    <xdr:cxnSp macro="">
      <xdr:nvCxnSpPr>
        <xdr:cNvPr id="938" name="Straight Connector 937">
          <a:extLst>
            <a:ext uri="{FF2B5EF4-FFF2-40B4-BE49-F238E27FC236}">
              <a16:creationId xmlns:a16="http://schemas.microsoft.com/office/drawing/2014/main" id="{00000000-0008-0000-0600-0000AA030000}"/>
            </a:ext>
          </a:extLst>
        </xdr:cNvPr>
        <xdr:cNvCxnSpPr/>
      </xdr:nvCxnSpPr>
      <xdr:spPr>
        <a:xfrm flipH="1" flipV="1">
          <a:off x="3480435" y="37983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207</xdr:row>
      <xdr:rowOff>152400</xdr:rowOff>
    </xdr:from>
    <xdr:to>
      <xdr:col>5</xdr:col>
      <xdr:colOff>1676400</xdr:colOff>
      <xdr:row>207</xdr:row>
      <xdr:rowOff>152400</xdr:rowOff>
    </xdr:to>
    <xdr:cxnSp macro="">
      <xdr:nvCxnSpPr>
        <xdr:cNvPr id="939" name="Straight Connector 938">
          <a:extLst>
            <a:ext uri="{FF2B5EF4-FFF2-40B4-BE49-F238E27FC236}">
              <a16:creationId xmlns:a16="http://schemas.microsoft.com/office/drawing/2014/main" id="{00000000-0008-0000-0600-0000AB030000}"/>
            </a:ext>
          </a:extLst>
        </xdr:cNvPr>
        <xdr:cNvCxnSpPr/>
      </xdr:nvCxnSpPr>
      <xdr:spPr>
        <a:xfrm>
          <a:off x="3486150" y="380085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207</xdr:row>
      <xdr:rowOff>127000</xdr:rowOff>
    </xdr:from>
    <xdr:to>
      <xdr:col>5</xdr:col>
      <xdr:colOff>356810</xdr:colOff>
      <xdr:row>207</xdr:row>
      <xdr:rowOff>409912</xdr:rowOff>
    </xdr:to>
    <xdr:cxnSp macro="">
      <xdr:nvCxnSpPr>
        <xdr:cNvPr id="940" name="Straight Connector 939">
          <a:extLst>
            <a:ext uri="{FF2B5EF4-FFF2-40B4-BE49-F238E27FC236}">
              <a16:creationId xmlns:a16="http://schemas.microsoft.com/office/drawing/2014/main" id="{00000000-0008-0000-0600-0000AC030000}"/>
            </a:ext>
          </a:extLst>
        </xdr:cNvPr>
        <xdr:cNvCxnSpPr/>
      </xdr:nvCxnSpPr>
      <xdr:spPr>
        <a:xfrm flipH="1" flipV="1">
          <a:off x="3481009" y="37983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208</xdr:row>
      <xdr:rowOff>123824</xdr:rowOff>
    </xdr:from>
    <xdr:to>
      <xdr:col>5</xdr:col>
      <xdr:colOff>1428750</xdr:colOff>
      <xdr:row>208</xdr:row>
      <xdr:rowOff>1219199</xdr:rowOff>
    </xdr:to>
    <xdr:sp macro="" textlink="">
      <xdr:nvSpPr>
        <xdr:cNvPr id="941" name="Rounded Rectangle 940">
          <a:extLst>
            <a:ext uri="{FF2B5EF4-FFF2-40B4-BE49-F238E27FC236}">
              <a16:creationId xmlns:a16="http://schemas.microsoft.com/office/drawing/2014/main" id="{00000000-0008-0000-0600-0000AD030000}"/>
            </a:ext>
          </a:extLst>
        </xdr:cNvPr>
        <xdr:cNvSpPr/>
      </xdr:nvSpPr>
      <xdr:spPr>
        <a:xfrm>
          <a:off x="3745230" y="381628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208</xdr:row>
      <xdr:rowOff>238127</xdr:rowOff>
    </xdr:from>
    <xdr:to>
      <xdr:col>5</xdr:col>
      <xdr:colOff>790575</xdr:colOff>
      <xdr:row>208</xdr:row>
      <xdr:rowOff>361950</xdr:rowOff>
    </xdr:to>
    <xdr:cxnSp macro="">
      <xdr:nvCxnSpPr>
        <xdr:cNvPr id="942" name="Straight Connector 941">
          <a:extLst>
            <a:ext uri="{FF2B5EF4-FFF2-40B4-BE49-F238E27FC236}">
              <a16:creationId xmlns:a16="http://schemas.microsoft.com/office/drawing/2014/main" id="{00000000-0008-0000-0600-0000AE030000}"/>
            </a:ext>
          </a:extLst>
        </xdr:cNvPr>
        <xdr:cNvCxnSpPr/>
      </xdr:nvCxnSpPr>
      <xdr:spPr>
        <a:xfrm flipH="1" flipV="1">
          <a:off x="3749041" y="382238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208</xdr:row>
      <xdr:rowOff>133352</xdr:rowOff>
    </xdr:from>
    <xdr:to>
      <xdr:col>5</xdr:col>
      <xdr:colOff>885825</xdr:colOff>
      <xdr:row>208</xdr:row>
      <xdr:rowOff>257175</xdr:rowOff>
    </xdr:to>
    <xdr:cxnSp macro="">
      <xdr:nvCxnSpPr>
        <xdr:cNvPr id="943" name="Straight Connector 942">
          <a:extLst>
            <a:ext uri="{FF2B5EF4-FFF2-40B4-BE49-F238E27FC236}">
              <a16:creationId xmlns:a16="http://schemas.microsoft.com/office/drawing/2014/main" id="{00000000-0008-0000-0600-0000AF030000}"/>
            </a:ext>
          </a:extLst>
        </xdr:cNvPr>
        <xdr:cNvCxnSpPr/>
      </xdr:nvCxnSpPr>
      <xdr:spPr>
        <a:xfrm flipH="1" flipV="1">
          <a:off x="3745231" y="381723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212</xdr:row>
      <xdr:rowOff>127000</xdr:rowOff>
    </xdr:from>
    <xdr:to>
      <xdr:col>5</xdr:col>
      <xdr:colOff>356235</xdr:colOff>
      <xdr:row>212</xdr:row>
      <xdr:rowOff>309880</xdr:rowOff>
    </xdr:to>
    <xdr:cxnSp macro="">
      <xdr:nvCxnSpPr>
        <xdr:cNvPr id="944" name="Straight Connector 943">
          <a:extLst>
            <a:ext uri="{FF2B5EF4-FFF2-40B4-BE49-F238E27FC236}">
              <a16:creationId xmlns:a16="http://schemas.microsoft.com/office/drawing/2014/main" id="{00000000-0008-0000-0600-0000B0030000}"/>
            </a:ext>
          </a:extLst>
        </xdr:cNvPr>
        <xdr:cNvCxnSpPr/>
      </xdr:nvCxnSpPr>
      <xdr:spPr>
        <a:xfrm flipH="1" flipV="1">
          <a:off x="3480435" y="3889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212</xdr:row>
      <xdr:rowOff>400050</xdr:rowOff>
    </xdr:from>
    <xdr:to>
      <xdr:col>5</xdr:col>
      <xdr:colOff>1666875</xdr:colOff>
      <xdr:row>212</xdr:row>
      <xdr:rowOff>400050</xdr:rowOff>
    </xdr:to>
    <xdr:cxnSp macro="">
      <xdr:nvCxnSpPr>
        <xdr:cNvPr id="945" name="Straight Connector 944">
          <a:extLst>
            <a:ext uri="{FF2B5EF4-FFF2-40B4-BE49-F238E27FC236}">
              <a16:creationId xmlns:a16="http://schemas.microsoft.com/office/drawing/2014/main" id="{00000000-0008-0000-0600-0000B1030000}"/>
            </a:ext>
          </a:extLst>
        </xdr:cNvPr>
        <xdr:cNvCxnSpPr/>
      </xdr:nvCxnSpPr>
      <xdr:spPr>
        <a:xfrm>
          <a:off x="3476625" y="38949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212</xdr:row>
      <xdr:rowOff>127000</xdr:rowOff>
    </xdr:from>
    <xdr:to>
      <xdr:col>5</xdr:col>
      <xdr:colOff>356810</xdr:colOff>
      <xdr:row>212</xdr:row>
      <xdr:rowOff>409912</xdr:rowOff>
    </xdr:to>
    <xdr:cxnSp macro="">
      <xdr:nvCxnSpPr>
        <xdr:cNvPr id="946" name="Straight Connector 945">
          <a:extLst>
            <a:ext uri="{FF2B5EF4-FFF2-40B4-BE49-F238E27FC236}">
              <a16:creationId xmlns:a16="http://schemas.microsoft.com/office/drawing/2014/main" id="{00000000-0008-0000-0600-0000B2030000}"/>
            </a:ext>
          </a:extLst>
        </xdr:cNvPr>
        <xdr:cNvCxnSpPr/>
      </xdr:nvCxnSpPr>
      <xdr:spPr>
        <a:xfrm flipH="1" flipV="1">
          <a:off x="3481009" y="3889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212</xdr:row>
      <xdr:rowOff>134252</xdr:rowOff>
    </xdr:from>
    <xdr:to>
      <xdr:col>5</xdr:col>
      <xdr:colOff>1652211</xdr:colOff>
      <xdr:row>212</xdr:row>
      <xdr:rowOff>417164</xdr:rowOff>
    </xdr:to>
    <xdr:cxnSp macro="">
      <xdr:nvCxnSpPr>
        <xdr:cNvPr id="947" name="Straight Connector 946">
          <a:extLst>
            <a:ext uri="{FF2B5EF4-FFF2-40B4-BE49-F238E27FC236}">
              <a16:creationId xmlns:a16="http://schemas.microsoft.com/office/drawing/2014/main" id="{00000000-0008-0000-0600-0000B3030000}"/>
            </a:ext>
          </a:extLst>
        </xdr:cNvPr>
        <xdr:cNvCxnSpPr/>
      </xdr:nvCxnSpPr>
      <xdr:spPr>
        <a:xfrm flipH="1" flipV="1">
          <a:off x="3747710" y="3890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213</xdr:row>
      <xdr:rowOff>127000</xdr:rowOff>
    </xdr:from>
    <xdr:to>
      <xdr:col>5</xdr:col>
      <xdr:colOff>356235</xdr:colOff>
      <xdr:row>213</xdr:row>
      <xdr:rowOff>309880</xdr:rowOff>
    </xdr:to>
    <xdr:cxnSp macro="">
      <xdr:nvCxnSpPr>
        <xdr:cNvPr id="948" name="Straight Connector 947">
          <a:extLst>
            <a:ext uri="{FF2B5EF4-FFF2-40B4-BE49-F238E27FC236}">
              <a16:creationId xmlns:a16="http://schemas.microsoft.com/office/drawing/2014/main" id="{00000000-0008-0000-0600-0000B4030000}"/>
            </a:ext>
          </a:extLst>
        </xdr:cNvPr>
        <xdr:cNvCxnSpPr/>
      </xdr:nvCxnSpPr>
      <xdr:spPr>
        <a:xfrm flipH="1" flipV="1">
          <a:off x="3480435" y="39080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213</xdr:row>
      <xdr:rowOff>152400</xdr:rowOff>
    </xdr:from>
    <xdr:to>
      <xdr:col>5</xdr:col>
      <xdr:colOff>1676400</xdr:colOff>
      <xdr:row>213</xdr:row>
      <xdr:rowOff>152400</xdr:rowOff>
    </xdr:to>
    <xdr:cxnSp macro="">
      <xdr:nvCxnSpPr>
        <xdr:cNvPr id="949" name="Straight Connector 948">
          <a:extLst>
            <a:ext uri="{FF2B5EF4-FFF2-40B4-BE49-F238E27FC236}">
              <a16:creationId xmlns:a16="http://schemas.microsoft.com/office/drawing/2014/main" id="{00000000-0008-0000-0600-0000B5030000}"/>
            </a:ext>
          </a:extLst>
        </xdr:cNvPr>
        <xdr:cNvCxnSpPr/>
      </xdr:nvCxnSpPr>
      <xdr:spPr>
        <a:xfrm>
          <a:off x="3486150" y="39105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213</xdr:row>
      <xdr:rowOff>127000</xdr:rowOff>
    </xdr:from>
    <xdr:to>
      <xdr:col>5</xdr:col>
      <xdr:colOff>356810</xdr:colOff>
      <xdr:row>213</xdr:row>
      <xdr:rowOff>409912</xdr:rowOff>
    </xdr:to>
    <xdr:cxnSp macro="">
      <xdr:nvCxnSpPr>
        <xdr:cNvPr id="950" name="Straight Connector 949">
          <a:extLst>
            <a:ext uri="{FF2B5EF4-FFF2-40B4-BE49-F238E27FC236}">
              <a16:creationId xmlns:a16="http://schemas.microsoft.com/office/drawing/2014/main" id="{00000000-0008-0000-0600-0000B6030000}"/>
            </a:ext>
          </a:extLst>
        </xdr:cNvPr>
        <xdr:cNvCxnSpPr/>
      </xdr:nvCxnSpPr>
      <xdr:spPr>
        <a:xfrm flipH="1" flipV="1">
          <a:off x="3481009" y="39080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213</xdr:row>
      <xdr:rowOff>134252</xdr:rowOff>
    </xdr:from>
    <xdr:to>
      <xdr:col>5</xdr:col>
      <xdr:colOff>1652211</xdr:colOff>
      <xdr:row>213</xdr:row>
      <xdr:rowOff>417164</xdr:rowOff>
    </xdr:to>
    <xdr:cxnSp macro="">
      <xdr:nvCxnSpPr>
        <xdr:cNvPr id="951" name="Straight Connector 950">
          <a:extLst>
            <a:ext uri="{FF2B5EF4-FFF2-40B4-BE49-F238E27FC236}">
              <a16:creationId xmlns:a16="http://schemas.microsoft.com/office/drawing/2014/main" id="{00000000-0008-0000-0600-0000B7030000}"/>
            </a:ext>
          </a:extLst>
        </xdr:cNvPr>
        <xdr:cNvCxnSpPr/>
      </xdr:nvCxnSpPr>
      <xdr:spPr>
        <a:xfrm flipH="1" flipV="1">
          <a:off x="3747710" y="39087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214</xdr:row>
      <xdr:rowOff>123824</xdr:rowOff>
    </xdr:from>
    <xdr:to>
      <xdr:col>5</xdr:col>
      <xdr:colOff>1428750</xdr:colOff>
      <xdr:row>214</xdr:row>
      <xdr:rowOff>1219199</xdr:rowOff>
    </xdr:to>
    <xdr:sp macro="" textlink="">
      <xdr:nvSpPr>
        <xdr:cNvPr id="952" name="Rounded Rectangle 951">
          <a:extLst>
            <a:ext uri="{FF2B5EF4-FFF2-40B4-BE49-F238E27FC236}">
              <a16:creationId xmlns:a16="http://schemas.microsoft.com/office/drawing/2014/main" id="{00000000-0008-0000-0600-0000B8030000}"/>
            </a:ext>
          </a:extLst>
        </xdr:cNvPr>
        <xdr:cNvSpPr/>
      </xdr:nvSpPr>
      <xdr:spPr>
        <a:xfrm>
          <a:off x="3745230" y="39260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214</xdr:row>
      <xdr:rowOff>238127</xdr:rowOff>
    </xdr:from>
    <xdr:to>
      <xdr:col>5</xdr:col>
      <xdr:colOff>790575</xdr:colOff>
      <xdr:row>214</xdr:row>
      <xdr:rowOff>361950</xdr:rowOff>
    </xdr:to>
    <xdr:cxnSp macro="">
      <xdr:nvCxnSpPr>
        <xdr:cNvPr id="953" name="Straight Connector 952">
          <a:extLst>
            <a:ext uri="{FF2B5EF4-FFF2-40B4-BE49-F238E27FC236}">
              <a16:creationId xmlns:a16="http://schemas.microsoft.com/office/drawing/2014/main" id="{00000000-0008-0000-0600-0000B9030000}"/>
            </a:ext>
          </a:extLst>
        </xdr:cNvPr>
        <xdr:cNvCxnSpPr/>
      </xdr:nvCxnSpPr>
      <xdr:spPr>
        <a:xfrm flipH="1" flipV="1">
          <a:off x="3749041" y="39321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214</xdr:row>
      <xdr:rowOff>133352</xdr:rowOff>
    </xdr:from>
    <xdr:to>
      <xdr:col>5</xdr:col>
      <xdr:colOff>885825</xdr:colOff>
      <xdr:row>214</xdr:row>
      <xdr:rowOff>257175</xdr:rowOff>
    </xdr:to>
    <xdr:cxnSp macro="">
      <xdr:nvCxnSpPr>
        <xdr:cNvPr id="954" name="Straight Connector 953">
          <a:extLst>
            <a:ext uri="{FF2B5EF4-FFF2-40B4-BE49-F238E27FC236}">
              <a16:creationId xmlns:a16="http://schemas.microsoft.com/office/drawing/2014/main" id="{00000000-0008-0000-0600-0000BA030000}"/>
            </a:ext>
          </a:extLst>
        </xdr:cNvPr>
        <xdr:cNvCxnSpPr/>
      </xdr:nvCxnSpPr>
      <xdr:spPr>
        <a:xfrm flipH="1" flipV="1">
          <a:off x="3745231" y="39269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212</xdr:row>
      <xdr:rowOff>127000</xdr:rowOff>
    </xdr:from>
    <xdr:to>
      <xdr:col>5</xdr:col>
      <xdr:colOff>356235</xdr:colOff>
      <xdr:row>212</xdr:row>
      <xdr:rowOff>309880</xdr:rowOff>
    </xdr:to>
    <xdr:cxnSp macro="">
      <xdr:nvCxnSpPr>
        <xdr:cNvPr id="955" name="Straight Connector 954">
          <a:extLst>
            <a:ext uri="{FF2B5EF4-FFF2-40B4-BE49-F238E27FC236}">
              <a16:creationId xmlns:a16="http://schemas.microsoft.com/office/drawing/2014/main" id="{00000000-0008-0000-0600-0000BB030000}"/>
            </a:ext>
          </a:extLst>
        </xdr:cNvPr>
        <xdr:cNvCxnSpPr/>
      </xdr:nvCxnSpPr>
      <xdr:spPr>
        <a:xfrm flipH="1" flipV="1">
          <a:off x="3480435" y="3889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212</xdr:row>
      <xdr:rowOff>400050</xdr:rowOff>
    </xdr:from>
    <xdr:to>
      <xdr:col>5</xdr:col>
      <xdr:colOff>1666875</xdr:colOff>
      <xdr:row>212</xdr:row>
      <xdr:rowOff>400050</xdr:rowOff>
    </xdr:to>
    <xdr:cxnSp macro="">
      <xdr:nvCxnSpPr>
        <xdr:cNvPr id="956" name="Straight Connector 955">
          <a:extLst>
            <a:ext uri="{FF2B5EF4-FFF2-40B4-BE49-F238E27FC236}">
              <a16:creationId xmlns:a16="http://schemas.microsoft.com/office/drawing/2014/main" id="{00000000-0008-0000-0600-0000BC030000}"/>
            </a:ext>
          </a:extLst>
        </xdr:cNvPr>
        <xdr:cNvCxnSpPr/>
      </xdr:nvCxnSpPr>
      <xdr:spPr>
        <a:xfrm>
          <a:off x="3476625" y="38949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212</xdr:row>
      <xdr:rowOff>127000</xdr:rowOff>
    </xdr:from>
    <xdr:to>
      <xdr:col>5</xdr:col>
      <xdr:colOff>356810</xdr:colOff>
      <xdr:row>212</xdr:row>
      <xdr:rowOff>409912</xdr:rowOff>
    </xdr:to>
    <xdr:cxnSp macro="">
      <xdr:nvCxnSpPr>
        <xdr:cNvPr id="957" name="Straight Connector 956">
          <a:extLst>
            <a:ext uri="{FF2B5EF4-FFF2-40B4-BE49-F238E27FC236}">
              <a16:creationId xmlns:a16="http://schemas.microsoft.com/office/drawing/2014/main" id="{00000000-0008-0000-0600-0000BD030000}"/>
            </a:ext>
          </a:extLst>
        </xdr:cNvPr>
        <xdr:cNvCxnSpPr/>
      </xdr:nvCxnSpPr>
      <xdr:spPr>
        <a:xfrm flipH="1" flipV="1">
          <a:off x="3481009" y="3889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212</xdr:row>
      <xdr:rowOff>134252</xdr:rowOff>
    </xdr:from>
    <xdr:to>
      <xdr:col>5</xdr:col>
      <xdr:colOff>1652211</xdr:colOff>
      <xdr:row>212</xdr:row>
      <xdr:rowOff>417164</xdr:rowOff>
    </xdr:to>
    <xdr:cxnSp macro="">
      <xdr:nvCxnSpPr>
        <xdr:cNvPr id="958" name="Straight Connector 957">
          <a:extLst>
            <a:ext uri="{FF2B5EF4-FFF2-40B4-BE49-F238E27FC236}">
              <a16:creationId xmlns:a16="http://schemas.microsoft.com/office/drawing/2014/main" id="{00000000-0008-0000-0600-0000BE030000}"/>
            </a:ext>
          </a:extLst>
        </xdr:cNvPr>
        <xdr:cNvCxnSpPr/>
      </xdr:nvCxnSpPr>
      <xdr:spPr>
        <a:xfrm flipH="1" flipV="1">
          <a:off x="3747710" y="3890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213</xdr:row>
      <xdr:rowOff>127000</xdr:rowOff>
    </xdr:from>
    <xdr:to>
      <xdr:col>5</xdr:col>
      <xdr:colOff>356235</xdr:colOff>
      <xdr:row>213</xdr:row>
      <xdr:rowOff>309880</xdr:rowOff>
    </xdr:to>
    <xdr:cxnSp macro="">
      <xdr:nvCxnSpPr>
        <xdr:cNvPr id="959" name="Straight Connector 958">
          <a:extLst>
            <a:ext uri="{FF2B5EF4-FFF2-40B4-BE49-F238E27FC236}">
              <a16:creationId xmlns:a16="http://schemas.microsoft.com/office/drawing/2014/main" id="{00000000-0008-0000-0600-0000BF030000}"/>
            </a:ext>
          </a:extLst>
        </xdr:cNvPr>
        <xdr:cNvCxnSpPr/>
      </xdr:nvCxnSpPr>
      <xdr:spPr>
        <a:xfrm flipH="1" flipV="1">
          <a:off x="3480435" y="39080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213</xdr:row>
      <xdr:rowOff>152400</xdr:rowOff>
    </xdr:from>
    <xdr:to>
      <xdr:col>5</xdr:col>
      <xdr:colOff>1676400</xdr:colOff>
      <xdr:row>213</xdr:row>
      <xdr:rowOff>152400</xdr:rowOff>
    </xdr:to>
    <xdr:cxnSp macro="">
      <xdr:nvCxnSpPr>
        <xdr:cNvPr id="960" name="Straight Connector 959">
          <a:extLst>
            <a:ext uri="{FF2B5EF4-FFF2-40B4-BE49-F238E27FC236}">
              <a16:creationId xmlns:a16="http://schemas.microsoft.com/office/drawing/2014/main" id="{00000000-0008-0000-0600-0000C0030000}"/>
            </a:ext>
          </a:extLst>
        </xdr:cNvPr>
        <xdr:cNvCxnSpPr/>
      </xdr:nvCxnSpPr>
      <xdr:spPr>
        <a:xfrm>
          <a:off x="3486150" y="39105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213</xdr:row>
      <xdr:rowOff>127000</xdr:rowOff>
    </xdr:from>
    <xdr:to>
      <xdr:col>5</xdr:col>
      <xdr:colOff>356810</xdr:colOff>
      <xdr:row>213</xdr:row>
      <xdr:rowOff>409912</xdr:rowOff>
    </xdr:to>
    <xdr:cxnSp macro="">
      <xdr:nvCxnSpPr>
        <xdr:cNvPr id="961" name="Straight Connector 960">
          <a:extLst>
            <a:ext uri="{FF2B5EF4-FFF2-40B4-BE49-F238E27FC236}">
              <a16:creationId xmlns:a16="http://schemas.microsoft.com/office/drawing/2014/main" id="{00000000-0008-0000-0600-0000C1030000}"/>
            </a:ext>
          </a:extLst>
        </xdr:cNvPr>
        <xdr:cNvCxnSpPr/>
      </xdr:nvCxnSpPr>
      <xdr:spPr>
        <a:xfrm flipH="1" flipV="1">
          <a:off x="3481009" y="39080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213</xdr:row>
      <xdr:rowOff>134252</xdr:rowOff>
    </xdr:from>
    <xdr:to>
      <xdr:col>5</xdr:col>
      <xdr:colOff>1652211</xdr:colOff>
      <xdr:row>213</xdr:row>
      <xdr:rowOff>417164</xdr:rowOff>
    </xdr:to>
    <xdr:cxnSp macro="">
      <xdr:nvCxnSpPr>
        <xdr:cNvPr id="962" name="Straight Connector 961">
          <a:extLst>
            <a:ext uri="{FF2B5EF4-FFF2-40B4-BE49-F238E27FC236}">
              <a16:creationId xmlns:a16="http://schemas.microsoft.com/office/drawing/2014/main" id="{00000000-0008-0000-0600-0000C2030000}"/>
            </a:ext>
          </a:extLst>
        </xdr:cNvPr>
        <xdr:cNvCxnSpPr/>
      </xdr:nvCxnSpPr>
      <xdr:spPr>
        <a:xfrm flipH="1" flipV="1">
          <a:off x="3747710" y="39087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214</xdr:row>
      <xdr:rowOff>123824</xdr:rowOff>
    </xdr:from>
    <xdr:to>
      <xdr:col>5</xdr:col>
      <xdr:colOff>1428750</xdr:colOff>
      <xdr:row>214</xdr:row>
      <xdr:rowOff>1219199</xdr:rowOff>
    </xdr:to>
    <xdr:sp macro="" textlink="">
      <xdr:nvSpPr>
        <xdr:cNvPr id="963" name="Rounded Rectangle 962">
          <a:extLst>
            <a:ext uri="{FF2B5EF4-FFF2-40B4-BE49-F238E27FC236}">
              <a16:creationId xmlns:a16="http://schemas.microsoft.com/office/drawing/2014/main" id="{00000000-0008-0000-0600-0000C3030000}"/>
            </a:ext>
          </a:extLst>
        </xdr:cNvPr>
        <xdr:cNvSpPr/>
      </xdr:nvSpPr>
      <xdr:spPr>
        <a:xfrm>
          <a:off x="3745230" y="39260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214</xdr:row>
      <xdr:rowOff>238127</xdr:rowOff>
    </xdr:from>
    <xdr:to>
      <xdr:col>5</xdr:col>
      <xdr:colOff>790575</xdr:colOff>
      <xdr:row>214</xdr:row>
      <xdr:rowOff>361950</xdr:rowOff>
    </xdr:to>
    <xdr:cxnSp macro="">
      <xdr:nvCxnSpPr>
        <xdr:cNvPr id="964" name="Straight Connector 963">
          <a:extLst>
            <a:ext uri="{FF2B5EF4-FFF2-40B4-BE49-F238E27FC236}">
              <a16:creationId xmlns:a16="http://schemas.microsoft.com/office/drawing/2014/main" id="{00000000-0008-0000-0600-0000C4030000}"/>
            </a:ext>
          </a:extLst>
        </xdr:cNvPr>
        <xdr:cNvCxnSpPr/>
      </xdr:nvCxnSpPr>
      <xdr:spPr>
        <a:xfrm flipH="1" flipV="1">
          <a:off x="3749041" y="39321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214</xdr:row>
      <xdr:rowOff>133352</xdr:rowOff>
    </xdr:from>
    <xdr:to>
      <xdr:col>5</xdr:col>
      <xdr:colOff>885825</xdr:colOff>
      <xdr:row>214</xdr:row>
      <xdr:rowOff>257175</xdr:rowOff>
    </xdr:to>
    <xdr:cxnSp macro="">
      <xdr:nvCxnSpPr>
        <xdr:cNvPr id="965" name="Straight Connector 964">
          <a:extLst>
            <a:ext uri="{FF2B5EF4-FFF2-40B4-BE49-F238E27FC236}">
              <a16:creationId xmlns:a16="http://schemas.microsoft.com/office/drawing/2014/main" id="{00000000-0008-0000-0600-0000C5030000}"/>
            </a:ext>
          </a:extLst>
        </xdr:cNvPr>
        <xdr:cNvCxnSpPr/>
      </xdr:nvCxnSpPr>
      <xdr:spPr>
        <a:xfrm flipH="1" flipV="1">
          <a:off x="3745231" y="39269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212</xdr:row>
      <xdr:rowOff>127000</xdr:rowOff>
    </xdr:from>
    <xdr:to>
      <xdr:col>5</xdr:col>
      <xdr:colOff>356235</xdr:colOff>
      <xdr:row>212</xdr:row>
      <xdr:rowOff>309880</xdr:rowOff>
    </xdr:to>
    <xdr:cxnSp macro="">
      <xdr:nvCxnSpPr>
        <xdr:cNvPr id="966" name="Straight Connector 965">
          <a:extLst>
            <a:ext uri="{FF2B5EF4-FFF2-40B4-BE49-F238E27FC236}">
              <a16:creationId xmlns:a16="http://schemas.microsoft.com/office/drawing/2014/main" id="{00000000-0008-0000-0600-0000C6030000}"/>
            </a:ext>
          </a:extLst>
        </xdr:cNvPr>
        <xdr:cNvCxnSpPr/>
      </xdr:nvCxnSpPr>
      <xdr:spPr>
        <a:xfrm flipH="1" flipV="1">
          <a:off x="3480435" y="3889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212</xdr:row>
      <xdr:rowOff>400050</xdr:rowOff>
    </xdr:from>
    <xdr:to>
      <xdr:col>5</xdr:col>
      <xdr:colOff>1666875</xdr:colOff>
      <xdr:row>212</xdr:row>
      <xdr:rowOff>400050</xdr:rowOff>
    </xdr:to>
    <xdr:cxnSp macro="">
      <xdr:nvCxnSpPr>
        <xdr:cNvPr id="967" name="Straight Connector 966">
          <a:extLst>
            <a:ext uri="{FF2B5EF4-FFF2-40B4-BE49-F238E27FC236}">
              <a16:creationId xmlns:a16="http://schemas.microsoft.com/office/drawing/2014/main" id="{00000000-0008-0000-0600-0000C7030000}"/>
            </a:ext>
          </a:extLst>
        </xdr:cNvPr>
        <xdr:cNvCxnSpPr/>
      </xdr:nvCxnSpPr>
      <xdr:spPr>
        <a:xfrm>
          <a:off x="3476625" y="38949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212</xdr:row>
      <xdr:rowOff>127000</xdr:rowOff>
    </xdr:from>
    <xdr:to>
      <xdr:col>5</xdr:col>
      <xdr:colOff>356810</xdr:colOff>
      <xdr:row>212</xdr:row>
      <xdr:rowOff>409912</xdr:rowOff>
    </xdr:to>
    <xdr:cxnSp macro="">
      <xdr:nvCxnSpPr>
        <xdr:cNvPr id="968" name="Straight Connector 967">
          <a:extLst>
            <a:ext uri="{FF2B5EF4-FFF2-40B4-BE49-F238E27FC236}">
              <a16:creationId xmlns:a16="http://schemas.microsoft.com/office/drawing/2014/main" id="{00000000-0008-0000-0600-0000C8030000}"/>
            </a:ext>
          </a:extLst>
        </xdr:cNvPr>
        <xdr:cNvCxnSpPr/>
      </xdr:nvCxnSpPr>
      <xdr:spPr>
        <a:xfrm flipH="1" flipV="1">
          <a:off x="3481009" y="3889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212</xdr:row>
      <xdr:rowOff>134252</xdr:rowOff>
    </xdr:from>
    <xdr:to>
      <xdr:col>5</xdr:col>
      <xdr:colOff>1652211</xdr:colOff>
      <xdr:row>212</xdr:row>
      <xdr:rowOff>417164</xdr:rowOff>
    </xdr:to>
    <xdr:cxnSp macro="">
      <xdr:nvCxnSpPr>
        <xdr:cNvPr id="969" name="Straight Connector 968">
          <a:extLst>
            <a:ext uri="{FF2B5EF4-FFF2-40B4-BE49-F238E27FC236}">
              <a16:creationId xmlns:a16="http://schemas.microsoft.com/office/drawing/2014/main" id="{00000000-0008-0000-0600-0000C9030000}"/>
            </a:ext>
          </a:extLst>
        </xdr:cNvPr>
        <xdr:cNvCxnSpPr/>
      </xdr:nvCxnSpPr>
      <xdr:spPr>
        <a:xfrm flipH="1" flipV="1">
          <a:off x="3747710" y="3890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213</xdr:row>
      <xdr:rowOff>127000</xdr:rowOff>
    </xdr:from>
    <xdr:to>
      <xdr:col>5</xdr:col>
      <xdr:colOff>356235</xdr:colOff>
      <xdr:row>213</xdr:row>
      <xdr:rowOff>309880</xdr:rowOff>
    </xdr:to>
    <xdr:cxnSp macro="">
      <xdr:nvCxnSpPr>
        <xdr:cNvPr id="970" name="Straight Connector 969">
          <a:extLst>
            <a:ext uri="{FF2B5EF4-FFF2-40B4-BE49-F238E27FC236}">
              <a16:creationId xmlns:a16="http://schemas.microsoft.com/office/drawing/2014/main" id="{00000000-0008-0000-0600-0000CA030000}"/>
            </a:ext>
          </a:extLst>
        </xdr:cNvPr>
        <xdr:cNvCxnSpPr/>
      </xdr:nvCxnSpPr>
      <xdr:spPr>
        <a:xfrm flipH="1" flipV="1">
          <a:off x="3480435" y="39080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213</xdr:row>
      <xdr:rowOff>152400</xdr:rowOff>
    </xdr:from>
    <xdr:to>
      <xdr:col>5</xdr:col>
      <xdr:colOff>1676400</xdr:colOff>
      <xdr:row>213</xdr:row>
      <xdr:rowOff>152400</xdr:rowOff>
    </xdr:to>
    <xdr:cxnSp macro="">
      <xdr:nvCxnSpPr>
        <xdr:cNvPr id="971" name="Straight Connector 970">
          <a:extLst>
            <a:ext uri="{FF2B5EF4-FFF2-40B4-BE49-F238E27FC236}">
              <a16:creationId xmlns:a16="http://schemas.microsoft.com/office/drawing/2014/main" id="{00000000-0008-0000-0600-0000CB030000}"/>
            </a:ext>
          </a:extLst>
        </xdr:cNvPr>
        <xdr:cNvCxnSpPr/>
      </xdr:nvCxnSpPr>
      <xdr:spPr>
        <a:xfrm>
          <a:off x="3486150" y="39105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213</xdr:row>
      <xdr:rowOff>127000</xdr:rowOff>
    </xdr:from>
    <xdr:to>
      <xdr:col>5</xdr:col>
      <xdr:colOff>356810</xdr:colOff>
      <xdr:row>213</xdr:row>
      <xdr:rowOff>409912</xdr:rowOff>
    </xdr:to>
    <xdr:cxnSp macro="">
      <xdr:nvCxnSpPr>
        <xdr:cNvPr id="972" name="Straight Connector 971">
          <a:extLst>
            <a:ext uri="{FF2B5EF4-FFF2-40B4-BE49-F238E27FC236}">
              <a16:creationId xmlns:a16="http://schemas.microsoft.com/office/drawing/2014/main" id="{00000000-0008-0000-0600-0000CC030000}"/>
            </a:ext>
          </a:extLst>
        </xdr:cNvPr>
        <xdr:cNvCxnSpPr/>
      </xdr:nvCxnSpPr>
      <xdr:spPr>
        <a:xfrm flipH="1" flipV="1">
          <a:off x="3481009" y="39080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213</xdr:row>
      <xdr:rowOff>134252</xdr:rowOff>
    </xdr:from>
    <xdr:to>
      <xdr:col>5</xdr:col>
      <xdr:colOff>1652211</xdr:colOff>
      <xdr:row>213</xdr:row>
      <xdr:rowOff>417164</xdr:rowOff>
    </xdr:to>
    <xdr:cxnSp macro="">
      <xdr:nvCxnSpPr>
        <xdr:cNvPr id="973" name="Straight Connector 972">
          <a:extLst>
            <a:ext uri="{FF2B5EF4-FFF2-40B4-BE49-F238E27FC236}">
              <a16:creationId xmlns:a16="http://schemas.microsoft.com/office/drawing/2014/main" id="{00000000-0008-0000-0600-0000CD030000}"/>
            </a:ext>
          </a:extLst>
        </xdr:cNvPr>
        <xdr:cNvCxnSpPr/>
      </xdr:nvCxnSpPr>
      <xdr:spPr>
        <a:xfrm flipH="1" flipV="1">
          <a:off x="3747710" y="39087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214</xdr:row>
      <xdr:rowOff>123824</xdr:rowOff>
    </xdr:from>
    <xdr:to>
      <xdr:col>5</xdr:col>
      <xdr:colOff>1428750</xdr:colOff>
      <xdr:row>214</xdr:row>
      <xdr:rowOff>1219199</xdr:rowOff>
    </xdr:to>
    <xdr:sp macro="" textlink="">
      <xdr:nvSpPr>
        <xdr:cNvPr id="974" name="Rounded Rectangle 973">
          <a:extLst>
            <a:ext uri="{FF2B5EF4-FFF2-40B4-BE49-F238E27FC236}">
              <a16:creationId xmlns:a16="http://schemas.microsoft.com/office/drawing/2014/main" id="{00000000-0008-0000-0600-0000CE030000}"/>
            </a:ext>
          </a:extLst>
        </xdr:cNvPr>
        <xdr:cNvSpPr/>
      </xdr:nvSpPr>
      <xdr:spPr>
        <a:xfrm>
          <a:off x="3745230" y="39260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214</xdr:row>
      <xdr:rowOff>238127</xdr:rowOff>
    </xdr:from>
    <xdr:to>
      <xdr:col>5</xdr:col>
      <xdr:colOff>790575</xdr:colOff>
      <xdr:row>214</xdr:row>
      <xdr:rowOff>361950</xdr:rowOff>
    </xdr:to>
    <xdr:cxnSp macro="">
      <xdr:nvCxnSpPr>
        <xdr:cNvPr id="975" name="Straight Connector 974">
          <a:extLst>
            <a:ext uri="{FF2B5EF4-FFF2-40B4-BE49-F238E27FC236}">
              <a16:creationId xmlns:a16="http://schemas.microsoft.com/office/drawing/2014/main" id="{00000000-0008-0000-0600-0000CF030000}"/>
            </a:ext>
          </a:extLst>
        </xdr:cNvPr>
        <xdr:cNvCxnSpPr/>
      </xdr:nvCxnSpPr>
      <xdr:spPr>
        <a:xfrm flipH="1" flipV="1">
          <a:off x="3749041" y="39321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214</xdr:row>
      <xdr:rowOff>133352</xdr:rowOff>
    </xdr:from>
    <xdr:to>
      <xdr:col>5</xdr:col>
      <xdr:colOff>885825</xdr:colOff>
      <xdr:row>214</xdr:row>
      <xdr:rowOff>257175</xdr:rowOff>
    </xdr:to>
    <xdr:cxnSp macro="">
      <xdr:nvCxnSpPr>
        <xdr:cNvPr id="976" name="Straight Connector 975">
          <a:extLst>
            <a:ext uri="{FF2B5EF4-FFF2-40B4-BE49-F238E27FC236}">
              <a16:creationId xmlns:a16="http://schemas.microsoft.com/office/drawing/2014/main" id="{00000000-0008-0000-0600-0000D0030000}"/>
            </a:ext>
          </a:extLst>
        </xdr:cNvPr>
        <xdr:cNvCxnSpPr/>
      </xdr:nvCxnSpPr>
      <xdr:spPr>
        <a:xfrm flipH="1" flipV="1">
          <a:off x="3745231" y="39269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212</xdr:row>
      <xdr:rowOff>127000</xdr:rowOff>
    </xdr:from>
    <xdr:to>
      <xdr:col>5</xdr:col>
      <xdr:colOff>356235</xdr:colOff>
      <xdr:row>212</xdr:row>
      <xdr:rowOff>309880</xdr:rowOff>
    </xdr:to>
    <xdr:cxnSp macro="">
      <xdr:nvCxnSpPr>
        <xdr:cNvPr id="977" name="Straight Connector 976">
          <a:extLst>
            <a:ext uri="{FF2B5EF4-FFF2-40B4-BE49-F238E27FC236}">
              <a16:creationId xmlns:a16="http://schemas.microsoft.com/office/drawing/2014/main" id="{00000000-0008-0000-0600-0000D1030000}"/>
            </a:ext>
          </a:extLst>
        </xdr:cNvPr>
        <xdr:cNvCxnSpPr/>
      </xdr:nvCxnSpPr>
      <xdr:spPr>
        <a:xfrm flipH="1" flipV="1">
          <a:off x="3480435" y="3889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212</xdr:row>
      <xdr:rowOff>400050</xdr:rowOff>
    </xdr:from>
    <xdr:to>
      <xdr:col>5</xdr:col>
      <xdr:colOff>1666875</xdr:colOff>
      <xdr:row>212</xdr:row>
      <xdr:rowOff>400050</xdr:rowOff>
    </xdr:to>
    <xdr:cxnSp macro="">
      <xdr:nvCxnSpPr>
        <xdr:cNvPr id="978" name="Straight Connector 977">
          <a:extLst>
            <a:ext uri="{FF2B5EF4-FFF2-40B4-BE49-F238E27FC236}">
              <a16:creationId xmlns:a16="http://schemas.microsoft.com/office/drawing/2014/main" id="{00000000-0008-0000-0600-0000D2030000}"/>
            </a:ext>
          </a:extLst>
        </xdr:cNvPr>
        <xdr:cNvCxnSpPr/>
      </xdr:nvCxnSpPr>
      <xdr:spPr>
        <a:xfrm>
          <a:off x="3476625" y="38949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212</xdr:row>
      <xdr:rowOff>127000</xdr:rowOff>
    </xdr:from>
    <xdr:to>
      <xdr:col>5</xdr:col>
      <xdr:colOff>356810</xdr:colOff>
      <xdr:row>212</xdr:row>
      <xdr:rowOff>409912</xdr:rowOff>
    </xdr:to>
    <xdr:cxnSp macro="">
      <xdr:nvCxnSpPr>
        <xdr:cNvPr id="979" name="Straight Connector 978">
          <a:extLst>
            <a:ext uri="{FF2B5EF4-FFF2-40B4-BE49-F238E27FC236}">
              <a16:creationId xmlns:a16="http://schemas.microsoft.com/office/drawing/2014/main" id="{00000000-0008-0000-0600-0000D3030000}"/>
            </a:ext>
          </a:extLst>
        </xdr:cNvPr>
        <xdr:cNvCxnSpPr/>
      </xdr:nvCxnSpPr>
      <xdr:spPr>
        <a:xfrm flipH="1" flipV="1">
          <a:off x="3481009" y="3889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212</xdr:row>
      <xdr:rowOff>134252</xdr:rowOff>
    </xdr:from>
    <xdr:to>
      <xdr:col>5</xdr:col>
      <xdr:colOff>1652211</xdr:colOff>
      <xdr:row>212</xdr:row>
      <xdr:rowOff>417164</xdr:rowOff>
    </xdr:to>
    <xdr:cxnSp macro="">
      <xdr:nvCxnSpPr>
        <xdr:cNvPr id="980" name="Straight Connector 979">
          <a:extLst>
            <a:ext uri="{FF2B5EF4-FFF2-40B4-BE49-F238E27FC236}">
              <a16:creationId xmlns:a16="http://schemas.microsoft.com/office/drawing/2014/main" id="{00000000-0008-0000-0600-0000D4030000}"/>
            </a:ext>
          </a:extLst>
        </xdr:cNvPr>
        <xdr:cNvCxnSpPr/>
      </xdr:nvCxnSpPr>
      <xdr:spPr>
        <a:xfrm flipH="1" flipV="1">
          <a:off x="3747710" y="3890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213</xdr:row>
      <xdr:rowOff>127000</xdr:rowOff>
    </xdr:from>
    <xdr:to>
      <xdr:col>5</xdr:col>
      <xdr:colOff>356235</xdr:colOff>
      <xdr:row>213</xdr:row>
      <xdr:rowOff>309880</xdr:rowOff>
    </xdr:to>
    <xdr:cxnSp macro="">
      <xdr:nvCxnSpPr>
        <xdr:cNvPr id="981" name="Straight Connector 980">
          <a:extLst>
            <a:ext uri="{FF2B5EF4-FFF2-40B4-BE49-F238E27FC236}">
              <a16:creationId xmlns:a16="http://schemas.microsoft.com/office/drawing/2014/main" id="{00000000-0008-0000-0600-0000D5030000}"/>
            </a:ext>
          </a:extLst>
        </xdr:cNvPr>
        <xdr:cNvCxnSpPr/>
      </xdr:nvCxnSpPr>
      <xdr:spPr>
        <a:xfrm flipH="1" flipV="1">
          <a:off x="3480435" y="39080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213</xdr:row>
      <xdr:rowOff>152400</xdr:rowOff>
    </xdr:from>
    <xdr:to>
      <xdr:col>5</xdr:col>
      <xdr:colOff>1676400</xdr:colOff>
      <xdr:row>213</xdr:row>
      <xdr:rowOff>152400</xdr:rowOff>
    </xdr:to>
    <xdr:cxnSp macro="">
      <xdr:nvCxnSpPr>
        <xdr:cNvPr id="982" name="Straight Connector 981">
          <a:extLst>
            <a:ext uri="{FF2B5EF4-FFF2-40B4-BE49-F238E27FC236}">
              <a16:creationId xmlns:a16="http://schemas.microsoft.com/office/drawing/2014/main" id="{00000000-0008-0000-0600-0000D6030000}"/>
            </a:ext>
          </a:extLst>
        </xdr:cNvPr>
        <xdr:cNvCxnSpPr/>
      </xdr:nvCxnSpPr>
      <xdr:spPr>
        <a:xfrm>
          <a:off x="3486150" y="39105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213</xdr:row>
      <xdr:rowOff>127000</xdr:rowOff>
    </xdr:from>
    <xdr:to>
      <xdr:col>5</xdr:col>
      <xdr:colOff>356810</xdr:colOff>
      <xdr:row>213</xdr:row>
      <xdr:rowOff>409912</xdr:rowOff>
    </xdr:to>
    <xdr:cxnSp macro="">
      <xdr:nvCxnSpPr>
        <xdr:cNvPr id="983" name="Straight Connector 982">
          <a:extLst>
            <a:ext uri="{FF2B5EF4-FFF2-40B4-BE49-F238E27FC236}">
              <a16:creationId xmlns:a16="http://schemas.microsoft.com/office/drawing/2014/main" id="{00000000-0008-0000-0600-0000D7030000}"/>
            </a:ext>
          </a:extLst>
        </xdr:cNvPr>
        <xdr:cNvCxnSpPr/>
      </xdr:nvCxnSpPr>
      <xdr:spPr>
        <a:xfrm flipH="1" flipV="1">
          <a:off x="3481009" y="39080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214</xdr:row>
      <xdr:rowOff>123824</xdr:rowOff>
    </xdr:from>
    <xdr:to>
      <xdr:col>5</xdr:col>
      <xdr:colOff>1428750</xdr:colOff>
      <xdr:row>214</xdr:row>
      <xdr:rowOff>1219199</xdr:rowOff>
    </xdr:to>
    <xdr:sp macro="" textlink="">
      <xdr:nvSpPr>
        <xdr:cNvPr id="984" name="Rounded Rectangle 983">
          <a:extLst>
            <a:ext uri="{FF2B5EF4-FFF2-40B4-BE49-F238E27FC236}">
              <a16:creationId xmlns:a16="http://schemas.microsoft.com/office/drawing/2014/main" id="{00000000-0008-0000-0600-0000D8030000}"/>
            </a:ext>
          </a:extLst>
        </xdr:cNvPr>
        <xdr:cNvSpPr/>
      </xdr:nvSpPr>
      <xdr:spPr>
        <a:xfrm>
          <a:off x="3745230" y="39260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214</xdr:row>
      <xdr:rowOff>238127</xdr:rowOff>
    </xdr:from>
    <xdr:to>
      <xdr:col>5</xdr:col>
      <xdr:colOff>790575</xdr:colOff>
      <xdr:row>214</xdr:row>
      <xdr:rowOff>361950</xdr:rowOff>
    </xdr:to>
    <xdr:cxnSp macro="">
      <xdr:nvCxnSpPr>
        <xdr:cNvPr id="985" name="Straight Connector 984">
          <a:extLst>
            <a:ext uri="{FF2B5EF4-FFF2-40B4-BE49-F238E27FC236}">
              <a16:creationId xmlns:a16="http://schemas.microsoft.com/office/drawing/2014/main" id="{00000000-0008-0000-0600-0000D9030000}"/>
            </a:ext>
          </a:extLst>
        </xdr:cNvPr>
        <xdr:cNvCxnSpPr/>
      </xdr:nvCxnSpPr>
      <xdr:spPr>
        <a:xfrm flipH="1" flipV="1">
          <a:off x="3749041" y="39321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214</xdr:row>
      <xdr:rowOff>133352</xdr:rowOff>
    </xdr:from>
    <xdr:to>
      <xdr:col>5</xdr:col>
      <xdr:colOff>885825</xdr:colOff>
      <xdr:row>214</xdr:row>
      <xdr:rowOff>257175</xdr:rowOff>
    </xdr:to>
    <xdr:cxnSp macro="">
      <xdr:nvCxnSpPr>
        <xdr:cNvPr id="986" name="Straight Connector 985">
          <a:extLst>
            <a:ext uri="{FF2B5EF4-FFF2-40B4-BE49-F238E27FC236}">
              <a16:creationId xmlns:a16="http://schemas.microsoft.com/office/drawing/2014/main" id="{00000000-0008-0000-0600-0000DA030000}"/>
            </a:ext>
          </a:extLst>
        </xdr:cNvPr>
        <xdr:cNvCxnSpPr/>
      </xdr:nvCxnSpPr>
      <xdr:spPr>
        <a:xfrm flipH="1" flipV="1">
          <a:off x="3745231" y="39269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219</xdr:row>
      <xdr:rowOff>127000</xdr:rowOff>
    </xdr:from>
    <xdr:to>
      <xdr:col>5</xdr:col>
      <xdr:colOff>356235</xdr:colOff>
      <xdr:row>219</xdr:row>
      <xdr:rowOff>309880</xdr:rowOff>
    </xdr:to>
    <xdr:cxnSp macro="">
      <xdr:nvCxnSpPr>
        <xdr:cNvPr id="987" name="Straight Connector 986">
          <a:extLst>
            <a:ext uri="{FF2B5EF4-FFF2-40B4-BE49-F238E27FC236}">
              <a16:creationId xmlns:a16="http://schemas.microsoft.com/office/drawing/2014/main" id="{00000000-0008-0000-0600-0000DB030000}"/>
            </a:ext>
          </a:extLst>
        </xdr:cNvPr>
        <xdr:cNvCxnSpPr/>
      </xdr:nvCxnSpPr>
      <xdr:spPr>
        <a:xfrm flipH="1" flipV="1">
          <a:off x="3480435" y="40177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219</xdr:row>
      <xdr:rowOff>400050</xdr:rowOff>
    </xdr:from>
    <xdr:to>
      <xdr:col>5</xdr:col>
      <xdr:colOff>1666875</xdr:colOff>
      <xdr:row>219</xdr:row>
      <xdr:rowOff>400050</xdr:rowOff>
    </xdr:to>
    <xdr:cxnSp macro="">
      <xdr:nvCxnSpPr>
        <xdr:cNvPr id="988" name="Straight Connector 987">
          <a:extLst>
            <a:ext uri="{FF2B5EF4-FFF2-40B4-BE49-F238E27FC236}">
              <a16:creationId xmlns:a16="http://schemas.microsoft.com/office/drawing/2014/main" id="{00000000-0008-0000-0600-0000DC030000}"/>
            </a:ext>
          </a:extLst>
        </xdr:cNvPr>
        <xdr:cNvCxnSpPr/>
      </xdr:nvCxnSpPr>
      <xdr:spPr>
        <a:xfrm>
          <a:off x="3476625" y="402297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219</xdr:row>
      <xdr:rowOff>127000</xdr:rowOff>
    </xdr:from>
    <xdr:to>
      <xdr:col>5</xdr:col>
      <xdr:colOff>356810</xdr:colOff>
      <xdr:row>219</xdr:row>
      <xdr:rowOff>409912</xdr:rowOff>
    </xdr:to>
    <xdr:cxnSp macro="">
      <xdr:nvCxnSpPr>
        <xdr:cNvPr id="989" name="Straight Connector 988">
          <a:extLst>
            <a:ext uri="{FF2B5EF4-FFF2-40B4-BE49-F238E27FC236}">
              <a16:creationId xmlns:a16="http://schemas.microsoft.com/office/drawing/2014/main" id="{00000000-0008-0000-0600-0000DD030000}"/>
            </a:ext>
          </a:extLst>
        </xdr:cNvPr>
        <xdr:cNvCxnSpPr/>
      </xdr:nvCxnSpPr>
      <xdr:spPr>
        <a:xfrm flipH="1" flipV="1">
          <a:off x="3481009" y="40177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1661160</xdr:colOff>
      <xdr:row>219</xdr:row>
      <xdr:rowOff>153035</xdr:rowOff>
    </xdr:from>
    <xdr:to>
      <xdr:col>5</xdr:col>
      <xdr:colOff>1661161</xdr:colOff>
      <xdr:row>219</xdr:row>
      <xdr:rowOff>435947</xdr:rowOff>
    </xdr:to>
    <xdr:cxnSp macro="">
      <xdr:nvCxnSpPr>
        <xdr:cNvPr id="990" name="Straight Connector 989">
          <a:extLst>
            <a:ext uri="{FF2B5EF4-FFF2-40B4-BE49-F238E27FC236}">
              <a16:creationId xmlns:a16="http://schemas.microsoft.com/office/drawing/2014/main" id="{00000000-0008-0000-0600-0000DE030000}"/>
            </a:ext>
          </a:extLst>
        </xdr:cNvPr>
        <xdr:cNvCxnSpPr/>
      </xdr:nvCxnSpPr>
      <xdr:spPr>
        <a:xfrm flipH="1" flipV="1">
          <a:off x="3749040" y="40203755"/>
          <a:ext cx="1" cy="3145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220</xdr:row>
      <xdr:rowOff>190500</xdr:rowOff>
    </xdr:from>
    <xdr:to>
      <xdr:col>5</xdr:col>
      <xdr:colOff>1628775</xdr:colOff>
      <xdr:row>220</xdr:row>
      <xdr:rowOff>190500</xdr:rowOff>
    </xdr:to>
    <xdr:cxnSp macro="">
      <xdr:nvCxnSpPr>
        <xdr:cNvPr id="991" name="Straight Connector 990">
          <a:extLst>
            <a:ext uri="{FF2B5EF4-FFF2-40B4-BE49-F238E27FC236}">
              <a16:creationId xmlns:a16="http://schemas.microsoft.com/office/drawing/2014/main" id="{00000000-0008-0000-0600-0000DF030000}"/>
            </a:ext>
          </a:extLst>
        </xdr:cNvPr>
        <xdr:cNvCxnSpPr/>
      </xdr:nvCxnSpPr>
      <xdr:spPr>
        <a:xfrm>
          <a:off x="3438525" y="4041648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223</xdr:row>
      <xdr:rowOff>123824</xdr:rowOff>
    </xdr:from>
    <xdr:to>
      <xdr:col>5</xdr:col>
      <xdr:colOff>1428750</xdr:colOff>
      <xdr:row>223</xdr:row>
      <xdr:rowOff>1219199</xdr:rowOff>
    </xdr:to>
    <xdr:sp macro="" textlink="">
      <xdr:nvSpPr>
        <xdr:cNvPr id="992" name="Rounded Rectangle 991">
          <a:extLst>
            <a:ext uri="{FF2B5EF4-FFF2-40B4-BE49-F238E27FC236}">
              <a16:creationId xmlns:a16="http://schemas.microsoft.com/office/drawing/2014/main" id="{00000000-0008-0000-0600-0000E0030000}"/>
            </a:ext>
          </a:extLst>
        </xdr:cNvPr>
        <xdr:cNvSpPr/>
      </xdr:nvSpPr>
      <xdr:spPr>
        <a:xfrm>
          <a:off x="3745230" y="409060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223</xdr:row>
      <xdr:rowOff>238127</xdr:rowOff>
    </xdr:from>
    <xdr:to>
      <xdr:col>5</xdr:col>
      <xdr:colOff>790575</xdr:colOff>
      <xdr:row>223</xdr:row>
      <xdr:rowOff>361950</xdr:rowOff>
    </xdr:to>
    <xdr:cxnSp macro="">
      <xdr:nvCxnSpPr>
        <xdr:cNvPr id="993" name="Straight Connector 992">
          <a:extLst>
            <a:ext uri="{FF2B5EF4-FFF2-40B4-BE49-F238E27FC236}">
              <a16:creationId xmlns:a16="http://schemas.microsoft.com/office/drawing/2014/main" id="{00000000-0008-0000-0600-0000E1030000}"/>
            </a:ext>
          </a:extLst>
        </xdr:cNvPr>
        <xdr:cNvCxnSpPr/>
      </xdr:nvCxnSpPr>
      <xdr:spPr>
        <a:xfrm flipH="1" flipV="1">
          <a:off x="3749041" y="409670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223</xdr:row>
      <xdr:rowOff>133352</xdr:rowOff>
    </xdr:from>
    <xdr:to>
      <xdr:col>5</xdr:col>
      <xdr:colOff>885825</xdr:colOff>
      <xdr:row>223</xdr:row>
      <xdr:rowOff>257175</xdr:rowOff>
    </xdr:to>
    <xdr:cxnSp macro="">
      <xdr:nvCxnSpPr>
        <xdr:cNvPr id="994" name="Straight Connector 993">
          <a:extLst>
            <a:ext uri="{FF2B5EF4-FFF2-40B4-BE49-F238E27FC236}">
              <a16:creationId xmlns:a16="http://schemas.microsoft.com/office/drawing/2014/main" id="{00000000-0008-0000-0600-0000E2030000}"/>
            </a:ext>
          </a:extLst>
        </xdr:cNvPr>
        <xdr:cNvCxnSpPr/>
      </xdr:nvCxnSpPr>
      <xdr:spPr>
        <a:xfrm flipH="1" flipV="1">
          <a:off x="3745231" y="409155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221</xdr:row>
      <xdr:rowOff>174625</xdr:rowOff>
    </xdr:from>
    <xdr:to>
      <xdr:col>5</xdr:col>
      <xdr:colOff>327661</xdr:colOff>
      <xdr:row>221</xdr:row>
      <xdr:rowOff>457537</xdr:rowOff>
    </xdr:to>
    <xdr:cxnSp macro="">
      <xdr:nvCxnSpPr>
        <xdr:cNvPr id="995" name="Straight Connector 994">
          <a:extLst>
            <a:ext uri="{FF2B5EF4-FFF2-40B4-BE49-F238E27FC236}">
              <a16:creationId xmlns:a16="http://schemas.microsoft.com/office/drawing/2014/main" id="{00000000-0008-0000-0600-0000E3030000}"/>
            </a:ext>
          </a:extLst>
        </xdr:cNvPr>
        <xdr:cNvCxnSpPr/>
      </xdr:nvCxnSpPr>
      <xdr:spPr>
        <a:xfrm flipH="1" flipV="1">
          <a:off x="3451860" y="4059110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221</xdr:row>
      <xdr:rowOff>200025</xdr:rowOff>
    </xdr:from>
    <xdr:to>
      <xdr:col>5</xdr:col>
      <xdr:colOff>1638300</xdr:colOff>
      <xdr:row>221</xdr:row>
      <xdr:rowOff>200025</xdr:rowOff>
    </xdr:to>
    <xdr:cxnSp macro="">
      <xdr:nvCxnSpPr>
        <xdr:cNvPr id="996" name="Straight Connector 995">
          <a:extLst>
            <a:ext uri="{FF2B5EF4-FFF2-40B4-BE49-F238E27FC236}">
              <a16:creationId xmlns:a16="http://schemas.microsoft.com/office/drawing/2014/main" id="{00000000-0008-0000-0600-0000E4030000}"/>
            </a:ext>
          </a:extLst>
        </xdr:cNvPr>
        <xdr:cNvCxnSpPr/>
      </xdr:nvCxnSpPr>
      <xdr:spPr>
        <a:xfrm>
          <a:off x="3448050" y="4060126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222</xdr:row>
      <xdr:rowOff>174625</xdr:rowOff>
    </xdr:from>
    <xdr:to>
      <xdr:col>5</xdr:col>
      <xdr:colOff>327661</xdr:colOff>
      <xdr:row>222</xdr:row>
      <xdr:rowOff>457537</xdr:rowOff>
    </xdr:to>
    <xdr:cxnSp macro="">
      <xdr:nvCxnSpPr>
        <xdr:cNvPr id="997" name="Straight Connector 996">
          <a:extLst>
            <a:ext uri="{FF2B5EF4-FFF2-40B4-BE49-F238E27FC236}">
              <a16:creationId xmlns:a16="http://schemas.microsoft.com/office/drawing/2014/main" id="{00000000-0008-0000-0600-0000E5030000}"/>
            </a:ext>
          </a:extLst>
        </xdr:cNvPr>
        <xdr:cNvCxnSpPr/>
      </xdr:nvCxnSpPr>
      <xdr:spPr>
        <a:xfrm flipH="1" flipV="1">
          <a:off x="3451860" y="4077398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222</xdr:row>
      <xdr:rowOff>200025</xdr:rowOff>
    </xdr:from>
    <xdr:to>
      <xdr:col>5</xdr:col>
      <xdr:colOff>1638300</xdr:colOff>
      <xdr:row>222</xdr:row>
      <xdr:rowOff>200025</xdr:rowOff>
    </xdr:to>
    <xdr:cxnSp macro="">
      <xdr:nvCxnSpPr>
        <xdr:cNvPr id="998" name="Straight Connector 997">
          <a:extLst>
            <a:ext uri="{FF2B5EF4-FFF2-40B4-BE49-F238E27FC236}">
              <a16:creationId xmlns:a16="http://schemas.microsoft.com/office/drawing/2014/main" id="{00000000-0008-0000-0600-0000E6030000}"/>
            </a:ext>
          </a:extLst>
        </xdr:cNvPr>
        <xdr:cNvCxnSpPr/>
      </xdr:nvCxnSpPr>
      <xdr:spPr>
        <a:xfrm>
          <a:off x="3448050" y="4078414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1623060</xdr:colOff>
      <xdr:row>221</xdr:row>
      <xdr:rowOff>182245</xdr:rowOff>
    </xdr:from>
    <xdr:to>
      <xdr:col>5</xdr:col>
      <xdr:colOff>1623061</xdr:colOff>
      <xdr:row>221</xdr:row>
      <xdr:rowOff>465157</xdr:rowOff>
    </xdr:to>
    <xdr:cxnSp macro="">
      <xdr:nvCxnSpPr>
        <xdr:cNvPr id="999" name="Straight Connector 998">
          <a:extLst>
            <a:ext uri="{FF2B5EF4-FFF2-40B4-BE49-F238E27FC236}">
              <a16:creationId xmlns:a16="http://schemas.microsoft.com/office/drawing/2014/main" id="{00000000-0008-0000-0600-0000E7030000}"/>
            </a:ext>
          </a:extLst>
        </xdr:cNvPr>
        <xdr:cNvCxnSpPr/>
      </xdr:nvCxnSpPr>
      <xdr:spPr>
        <a:xfrm flipH="1" flipV="1">
          <a:off x="3749040" y="40598725"/>
          <a:ext cx="1" cy="97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227</xdr:row>
      <xdr:rowOff>127000</xdr:rowOff>
    </xdr:from>
    <xdr:to>
      <xdr:col>5</xdr:col>
      <xdr:colOff>356235</xdr:colOff>
      <xdr:row>227</xdr:row>
      <xdr:rowOff>309880</xdr:rowOff>
    </xdr:to>
    <xdr:cxnSp macro="">
      <xdr:nvCxnSpPr>
        <xdr:cNvPr id="1000" name="Straight Connector 999">
          <a:extLst>
            <a:ext uri="{FF2B5EF4-FFF2-40B4-BE49-F238E27FC236}">
              <a16:creationId xmlns:a16="http://schemas.microsoft.com/office/drawing/2014/main" id="{00000000-0008-0000-0600-0000E8030000}"/>
            </a:ext>
          </a:extLst>
        </xdr:cNvPr>
        <xdr:cNvCxnSpPr/>
      </xdr:nvCxnSpPr>
      <xdr:spPr>
        <a:xfrm flipH="1" flipV="1">
          <a:off x="3480435" y="416407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227</xdr:row>
      <xdr:rowOff>400050</xdr:rowOff>
    </xdr:from>
    <xdr:to>
      <xdr:col>5</xdr:col>
      <xdr:colOff>1666875</xdr:colOff>
      <xdr:row>227</xdr:row>
      <xdr:rowOff>400050</xdr:rowOff>
    </xdr:to>
    <xdr:cxnSp macro="">
      <xdr:nvCxnSpPr>
        <xdr:cNvPr id="1001" name="Straight Connector 1000">
          <a:extLst>
            <a:ext uri="{FF2B5EF4-FFF2-40B4-BE49-F238E27FC236}">
              <a16:creationId xmlns:a16="http://schemas.microsoft.com/office/drawing/2014/main" id="{00000000-0008-0000-0600-0000E9030000}"/>
            </a:ext>
          </a:extLst>
        </xdr:cNvPr>
        <xdr:cNvCxnSpPr/>
      </xdr:nvCxnSpPr>
      <xdr:spPr>
        <a:xfrm>
          <a:off x="3476625" y="416928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227</xdr:row>
      <xdr:rowOff>127000</xdr:rowOff>
    </xdr:from>
    <xdr:to>
      <xdr:col>5</xdr:col>
      <xdr:colOff>356810</xdr:colOff>
      <xdr:row>227</xdr:row>
      <xdr:rowOff>409912</xdr:rowOff>
    </xdr:to>
    <xdr:cxnSp macro="">
      <xdr:nvCxnSpPr>
        <xdr:cNvPr id="1002" name="Straight Connector 1001">
          <a:extLst>
            <a:ext uri="{FF2B5EF4-FFF2-40B4-BE49-F238E27FC236}">
              <a16:creationId xmlns:a16="http://schemas.microsoft.com/office/drawing/2014/main" id="{00000000-0008-0000-0600-0000EA030000}"/>
            </a:ext>
          </a:extLst>
        </xdr:cNvPr>
        <xdr:cNvCxnSpPr/>
      </xdr:nvCxnSpPr>
      <xdr:spPr>
        <a:xfrm flipH="1" flipV="1">
          <a:off x="3481009" y="416407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1661160</xdr:colOff>
      <xdr:row>227</xdr:row>
      <xdr:rowOff>153035</xdr:rowOff>
    </xdr:from>
    <xdr:to>
      <xdr:col>5</xdr:col>
      <xdr:colOff>1661161</xdr:colOff>
      <xdr:row>227</xdr:row>
      <xdr:rowOff>435947</xdr:rowOff>
    </xdr:to>
    <xdr:cxnSp macro="">
      <xdr:nvCxnSpPr>
        <xdr:cNvPr id="1003" name="Straight Connector 1002">
          <a:extLst>
            <a:ext uri="{FF2B5EF4-FFF2-40B4-BE49-F238E27FC236}">
              <a16:creationId xmlns:a16="http://schemas.microsoft.com/office/drawing/2014/main" id="{00000000-0008-0000-0600-0000EB030000}"/>
            </a:ext>
          </a:extLst>
        </xdr:cNvPr>
        <xdr:cNvCxnSpPr/>
      </xdr:nvCxnSpPr>
      <xdr:spPr>
        <a:xfrm flipH="1" flipV="1">
          <a:off x="3749040" y="41666795"/>
          <a:ext cx="1" cy="3145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228</xdr:row>
      <xdr:rowOff>190500</xdr:rowOff>
    </xdr:from>
    <xdr:to>
      <xdr:col>5</xdr:col>
      <xdr:colOff>1628775</xdr:colOff>
      <xdr:row>228</xdr:row>
      <xdr:rowOff>190500</xdr:rowOff>
    </xdr:to>
    <xdr:cxnSp macro="">
      <xdr:nvCxnSpPr>
        <xdr:cNvPr id="1004" name="Straight Connector 1003">
          <a:extLst>
            <a:ext uri="{FF2B5EF4-FFF2-40B4-BE49-F238E27FC236}">
              <a16:creationId xmlns:a16="http://schemas.microsoft.com/office/drawing/2014/main" id="{00000000-0008-0000-0600-0000EC030000}"/>
            </a:ext>
          </a:extLst>
        </xdr:cNvPr>
        <xdr:cNvCxnSpPr/>
      </xdr:nvCxnSpPr>
      <xdr:spPr>
        <a:xfrm>
          <a:off x="3438525" y="4187952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231</xdr:row>
      <xdr:rowOff>123824</xdr:rowOff>
    </xdr:from>
    <xdr:to>
      <xdr:col>5</xdr:col>
      <xdr:colOff>1428750</xdr:colOff>
      <xdr:row>231</xdr:row>
      <xdr:rowOff>1219199</xdr:rowOff>
    </xdr:to>
    <xdr:sp macro="" textlink="">
      <xdr:nvSpPr>
        <xdr:cNvPr id="1005" name="Rounded Rectangle 1004">
          <a:extLst>
            <a:ext uri="{FF2B5EF4-FFF2-40B4-BE49-F238E27FC236}">
              <a16:creationId xmlns:a16="http://schemas.microsoft.com/office/drawing/2014/main" id="{00000000-0008-0000-0600-0000ED030000}"/>
            </a:ext>
          </a:extLst>
        </xdr:cNvPr>
        <xdr:cNvSpPr/>
      </xdr:nvSpPr>
      <xdr:spPr>
        <a:xfrm>
          <a:off x="3745230" y="423691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231</xdr:row>
      <xdr:rowOff>238127</xdr:rowOff>
    </xdr:from>
    <xdr:to>
      <xdr:col>5</xdr:col>
      <xdr:colOff>790575</xdr:colOff>
      <xdr:row>231</xdr:row>
      <xdr:rowOff>361950</xdr:rowOff>
    </xdr:to>
    <xdr:cxnSp macro="">
      <xdr:nvCxnSpPr>
        <xdr:cNvPr id="1006" name="Straight Connector 1005">
          <a:extLst>
            <a:ext uri="{FF2B5EF4-FFF2-40B4-BE49-F238E27FC236}">
              <a16:creationId xmlns:a16="http://schemas.microsoft.com/office/drawing/2014/main" id="{00000000-0008-0000-0600-0000EE030000}"/>
            </a:ext>
          </a:extLst>
        </xdr:cNvPr>
        <xdr:cNvCxnSpPr/>
      </xdr:nvCxnSpPr>
      <xdr:spPr>
        <a:xfrm flipH="1" flipV="1">
          <a:off x="3749041" y="424300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231</xdr:row>
      <xdr:rowOff>133352</xdr:rowOff>
    </xdr:from>
    <xdr:to>
      <xdr:col>5</xdr:col>
      <xdr:colOff>885825</xdr:colOff>
      <xdr:row>231</xdr:row>
      <xdr:rowOff>257175</xdr:rowOff>
    </xdr:to>
    <xdr:cxnSp macro="">
      <xdr:nvCxnSpPr>
        <xdr:cNvPr id="1007" name="Straight Connector 1006">
          <a:extLst>
            <a:ext uri="{FF2B5EF4-FFF2-40B4-BE49-F238E27FC236}">
              <a16:creationId xmlns:a16="http://schemas.microsoft.com/office/drawing/2014/main" id="{00000000-0008-0000-0600-0000EF030000}"/>
            </a:ext>
          </a:extLst>
        </xdr:cNvPr>
        <xdr:cNvCxnSpPr/>
      </xdr:nvCxnSpPr>
      <xdr:spPr>
        <a:xfrm flipH="1" flipV="1">
          <a:off x="3745231" y="423786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229</xdr:row>
      <xdr:rowOff>174625</xdr:rowOff>
    </xdr:from>
    <xdr:to>
      <xdr:col>5</xdr:col>
      <xdr:colOff>327661</xdr:colOff>
      <xdr:row>229</xdr:row>
      <xdr:rowOff>457537</xdr:rowOff>
    </xdr:to>
    <xdr:cxnSp macro="">
      <xdr:nvCxnSpPr>
        <xdr:cNvPr id="1008" name="Straight Connector 1007">
          <a:extLst>
            <a:ext uri="{FF2B5EF4-FFF2-40B4-BE49-F238E27FC236}">
              <a16:creationId xmlns:a16="http://schemas.microsoft.com/office/drawing/2014/main" id="{00000000-0008-0000-0600-0000F0030000}"/>
            </a:ext>
          </a:extLst>
        </xdr:cNvPr>
        <xdr:cNvCxnSpPr/>
      </xdr:nvCxnSpPr>
      <xdr:spPr>
        <a:xfrm flipH="1" flipV="1">
          <a:off x="3451860" y="4205414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229</xdr:row>
      <xdr:rowOff>200025</xdr:rowOff>
    </xdr:from>
    <xdr:to>
      <xdr:col>5</xdr:col>
      <xdr:colOff>1638300</xdr:colOff>
      <xdr:row>229</xdr:row>
      <xdr:rowOff>200025</xdr:rowOff>
    </xdr:to>
    <xdr:cxnSp macro="">
      <xdr:nvCxnSpPr>
        <xdr:cNvPr id="1009" name="Straight Connector 1008">
          <a:extLst>
            <a:ext uri="{FF2B5EF4-FFF2-40B4-BE49-F238E27FC236}">
              <a16:creationId xmlns:a16="http://schemas.microsoft.com/office/drawing/2014/main" id="{00000000-0008-0000-0600-0000F1030000}"/>
            </a:ext>
          </a:extLst>
        </xdr:cNvPr>
        <xdr:cNvCxnSpPr/>
      </xdr:nvCxnSpPr>
      <xdr:spPr>
        <a:xfrm>
          <a:off x="3448050" y="4206430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230</xdr:row>
      <xdr:rowOff>174625</xdr:rowOff>
    </xdr:from>
    <xdr:to>
      <xdr:col>5</xdr:col>
      <xdr:colOff>327661</xdr:colOff>
      <xdr:row>230</xdr:row>
      <xdr:rowOff>457537</xdr:rowOff>
    </xdr:to>
    <xdr:cxnSp macro="">
      <xdr:nvCxnSpPr>
        <xdr:cNvPr id="1010" name="Straight Connector 1009">
          <a:extLst>
            <a:ext uri="{FF2B5EF4-FFF2-40B4-BE49-F238E27FC236}">
              <a16:creationId xmlns:a16="http://schemas.microsoft.com/office/drawing/2014/main" id="{00000000-0008-0000-0600-0000F2030000}"/>
            </a:ext>
          </a:extLst>
        </xdr:cNvPr>
        <xdr:cNvCxnSpPr/>
      </xdr:nvCxnSpPr>
      <xdr:spPr>
        <a:xfrm flipH="1" flipV="1">
          <a:off x="3451860" y="4223702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230</xdr:row>
      <xdr:rowOff>200025</xdr:rowOff>
    </xdr:from>
    <xdr:to>
      <xdr:col>5</xdr:col>
      <xdr:colOff>1638300</xdr:colOff>
      <xdr:row>230</xdr:row>
      <xdr:rowOff>200025</xdr:rowOff>
    </xdr:to>
    <xdr:cxnSp macro="">
      <xdr:nvCxnSpPr>
        <xdr:cNvPr id="1011" name="Straight Connector 1010">
          <a:extLst>
            <a:ext uri="{FF2B5EF4-FFF2-40B4-BE49-F238E27FC236}">
              <a16:creationId xmlns:a16="http://schemas.microsoft.com/office/drawing/2014/main" id="{00000000-0008-0000-0600-0000F3030000}"/>
            </a:ext>
          </a:extLst>
        </xdr:cNvPr>
        <xdr:cNvCxnSpPr/>
      </xdr:nvCxnSpPr>
      <xdr:spPr>
        <a:xfrm>
          <a:off x="3448050" y="4224718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1623060</xdr:colOff>
      <xdr:row>229</xdr:row>
      <xdr:rowOff>182245</xdr:rowOff>
    </xdr:from>
    <xdr:to>
      <xdr:col>5</xdr:col>
      <xdr:colOff>1623061</xdr:colOff>
      <xdr:row>229</xdr:row>
      <xdr:rowOff>465157</xdr:rowOff>
    </xdr:to>
    <xdr:cxnSp macro="">
      <xdr:nvCxnSpPr>
        <xdr:cNvPr id="1012" name="Straight Connector 1011">
          <a:extLst>
            <a:ext uri="{FF2B5EF4-FFF2-40B4-BE49-F238E27FC236}">
              <a16:creationId xmlns:a16="http://schemas.microsoft.com/office/drawing/2014/main" id="{00000000-0008-0000-0600-0000F4030000}"/>
            </a:ext>
          </a:extLst>
        </xdr:cNvPr>
        <xdr:cNvCxnSpPr/>
      </xdr:nvCxnSpPr>
      <xdr:spPr>
        <a:xfrm flipH="1" flipV="1">
          <a:off x="3749040" y="42061765"/>
          <a:ext cx="1" cy="97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235</xdr:row>
      <xdr:rowOff>127000</xdr:rowOff>
    </xdr:from>
    <xdr:to>
      <xdr:col>5</xdr:col>
      <xdr:colOff>356235</xdr:colOff>
      <xdr:row>235</xdr:row>
      <xdr:rowOff>309880</xdr:rowOff>
    </xdr:to>
    <xdr:cxnSp macro="">
      <xdr:nvCxnSpPr>
        <xdr:cNvPr id="1013" name="Straight Connector 1012">
          <a:extLst>
            <a:ext uri="{FF2B5EF4-FFF2-40B4-BE49-F238E27FC236}">
              <a16:creationId xmlns:a16="http://schemas.microsoft.com/office/drawing/2014/main" id="{00000000-0008-0000-0600-0000F5030000}"/>
            </a:ext>
          </a:extLst>
        </xdr:cNvPr>
        <xdr:cNvCxnSpPr/>
      </xdr:nvCxnSpPr>
      <xdr:spPr>
        <a:xfrm flipH="1" flipV="1">
          <a:off x="3480435" y="431038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235</xdr:row>
      <xdr:rowOff>400050</xdr:rowOff>
    </xdr:from>
    <xdr:to>
      <xdr:col>5</xdr:col>
      <xdr:colOff>1666875</xdr:colOff>
      <xdr:row>235</xdr:row>
      <xdr:rowOff>400050</xdr:rowOff>
    </xdr:to>
    <xdr:cxnSp macro="">
      <xdr:nvCxnSpPr>
        <xdr:cNvPr id="1014" name="Straight Connector 1013">
          <a:extLst>
            <a:ext uri="{FF2B5EF4-FFF2-40B4-BE49-F238E27FC236}">
              <a16:creationId xmlns:a16="http://schemas.microsoft.com/office/drawing/2014/main" id="{00000000-0008-0000-0600-0000F6030000}"/>
            </a:ext>
          </a:extLst>
        </xdr:cNvPr>
        <xdr:cNvCxnSpPr/>
      </xdr:nvCxnSpPr>
      <xdr:spPr>
        <a:xfrm>
          <a:off x="3476625" y="431558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235</xdr:row>
      <xdr:rowOff>127000</xdr:rowOff>
    </xdr:from>
    <xdr:to>
      <xdr:col>5</xdr:col>
      <xdr:colOff>356810</xdr:colOff>
      <xdr:row>235</xdr:row>
      <xdr:rowOff>409912</xdr:rowOff>
    </xdr:to>
    <xdr:cxnSp macro="">
      <xdr:nvCxnSpPr>
        <xdr:cNvPr id="1015" name="Straight Connector 1014">
          <a:extLst>
            <a:ext uri="{FF2B5EF4-FFF2-40B4-BE49-F238E27FC236}">
              <a16:creationId xmlns:a16="http://schemas.microsoft.com/office/drawing/2014/main" id="{00000000-0008-0000-0600-0000F7030000}"/>
            </a:ext>
          </a:extLst>
        </xdr:cNvPr>
        <xdr:cNvCxnSpPr/>
      </xdr:nvCxnSpPr>
      <xdr:spPr>
        <a:xfrm flipH="1" flipV="1">
          <a:off x="3481009" y="431038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235</xdr:row>
      <xdr:rowOff>134252</xdr:rowOff>
    </xdr:from>
    <xdr:to>
      <xdr:col>5</xdr:col>
      <xdr:colOff>1652211</xdr:colOff>
      <xdr:row>235</xdr:row>
      <xdr:rowOff>417164</xdr:rowOff>
    </xdr:to>
    <xdr:cxnSp macro="">
      <xdr:nvCxnSpPr>
        <xdr:cNvPr id="1016" name="Straight Connector 1015">
          <a:extLst>
            <a:ext uri="{FF2B5EF4-FFF2-40B4-BE49-F238E27FC236}">
              <a16:creationId xmlns:a16="http://schemas.microsoft.com/office/drawing/2014/main" id="{00000000-0008-0000-0600-0000F8030000}"/>
            </a:ext>
          </a:extLst>
        </xdr:cNvPr>
        <xdr:cNvCxnSpPr/>
      </xdr:nvCxnSpPr>
      <xdr:spPr>
        <a:xfrm flipH="1" flipV="1">
          <a:off x="3747710" y="431110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236</xdr:row>
      <xdr:rowOff>127000</xdr:rowOff>
    </xdr:from>
    <xdr:to>
      <xdr:col>5</xdr:col>
      <xdr:colOff>356235</xdr:colOff>
      <xdr:row>236</xdr:row>
      <xdr:rowOff>309880</xdr:rowOff>
    </xdr:to>
    <xdr:cxnSp macro="">
      <xdr:nvCxnSpPr>
        <xdr:cNvPr id="1017" name="Straight Connector 1016">
          <a:extLst>
            <a:ext uri="{FF2B5EF4-FFF2-40B4-BE49-F238E27FC236}">
              <a16:creationId xmlns:a16="http://schemas.microsoft.com/office/drawing/2014/main" id="{00000000-0008-0000-0600-0000F9030000}"/>
            </a:ext>
          </a:extLst>
        </xdr:cNvPr>
        <xdr:cNvCxnSpPr/>
      </xdr:nvCxnSpPr>
      <xdr:spPr>
        <a:xfrm flipH="1" flipV="1">
          <a:off x="3480435" y="43286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236</xdr:row>
      <xdr:rowOff>152400</xdr:rowOff>
    </xdr:from>
    <xdr:to>
      <xdr:col>5</xdr:col>
      <xdr:colOff>1676400</xdr:colOff>
      <xdr:row>236</xdr:row>
      <xdr:rowOff>152400</xdr:rowOff>
    </xdr:to>
    <xdr:cxnSp macro="">
      <xdr:nvCxnSpPr>
        <xdr:cNvPr id="1018" name="Straight Connector 1017">
          <a:extLst>
            <a:ext uri="{FF2B5EF4-FFF2-40B4-BE49-F238E27FC236}">
              <a16:creationId xmlns:a16="http://schemas.microsoft.com/office/drawing/2014/main" id="{00000000-0008-0000-0600-0000FA030000}"/>
            </a:ext>
          </a:extLst>
        </xdr:cNvPr>
        <xdr:cNvCxnSpPr/>
      </xdr:nvCxnSpPr>
      <xdr:spPr>
        <a:xfrm>
          <a:off x="3486150" y="433120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236</xdr:row>
      <xdr:rowOff>127000</xdr:rowOff>
    </xdr:from>
    <xdr:to>
      <xdr:col>5</xdr:col>
      <xdr:colOff>356810</xdr:colOff>
      <xdr:row>236</xdr:row>
      <xdr:rowOff>409912</xdr:rowOff>
    </xdr:to>
    <xdr:cxnSp macro="">
      <xdr:nvCxnSpPr>
        <xdr:cNvPr id="1019" name="Straight Connector 1018">
          <a:extLst>
            <a:ext uri="{FF2B5EF4-FFF2-40B4-BE49-F238E27FC236}">
              <a16:creationId xmlns:a16="http://schemas.microsoft.com/office/drawing/2014/main" id="{00000000-0008-0000-0600-0000FB030000}"/>
            </a:ext>
          </a:extLst>
        </xdr:cNvPr>
        <xdr:cNvCxnSpPr/>
      </xdr:nvCxnSpPr>
      <xdr:spPr>
        <a:xfrm flipH="1" flipV="1">
          <a:off x="3481009" y="43286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236</xdr:row>
      <xdr:rowOff>134252</xdr:rowOff>
    </xdr:from>
    <xdr:to>
      <xdr:col>5</xdr:col>
      <xdr:colOff>1652211</xdr:colOff>
      <xdr:row>236</xdr:row>
      <xdr:rowOff>417164</xdr:rowOff>
    </xdr:to>
    <xdr:cxnSp macro="">
      <xdr:nvCxnSpPr>
        <xdr:cNvPr id="1020" name="Straight Connector 1019">
          <a:extLst>
            <a:ext uri="{FF2B5EF4-FFF2-40B4-BE49-F238E27FC236}">
              <a16:creationId xmlns:a16="http://schemas.microsoft.com/office/drawing/2014/main" id="{00000000-0008-0000-0600-0000FC030000}"/>
            </a:ext>
          </a:extLst>
        </xdr:cNvPr>
        <xdr:cNvCxnSpPr/>
      </xdr:nvCxnSpPr>
      <xdr:spPr>
        <a:xfrm flipH="1" flipV="1">
          <a:off x="3747710" y="43293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237</xdr:row>
      <xdr:rowOff>123824</xdr:rowOff>
    </xdr:from>
    <xdr:to>
      <xdr:col>5</xdr:col>
      <xdr:colOff>1428750</xdr:colOff>
      <xdr:row>237</xdr:row>
      <xdr:rowOff>1219199</xdr:rowOff>
    </xdr:to>
    <xdr:sp macro="" textlink="">
      <xdr:nvSpPr>
        <xdr:cNvPr id="1021" name="Rounded Rectangle 1020">
          <a:extLst>
            <a:ext uri="{FF2B5EF4-FFF2-40B4-BE49-F238E27FC236}">
              <a16:creationId xmlns:a16="http://schemas.microsoft.com/office/drawing/2014/main" id="{00000000-0008-0000-0600-0000FD030000}"/>
            </a:ext>
          </a:extLst>
        </xdr:cNvPr>
        <xdr:cNvSpPr/>
      </xdr:nvSpPr>
      <xdr:spPr>
        <a:xfrm>
          <a:off x="3745230" y="434663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237</xdr:row>
      <xdr:rowOff>238127</xdr:rowOff>
    </xdr:from>
    <xdr:to>
      <xdr:col>5</xdr:col>
      <xdr:colOff>790575</xdr:colOff>
      <xdr:row>237</xdr:row>
      <xdr:rowOff>361950</xdr:rowOff>
    </xdr:to>
    <xdr:cxnSp macro="">
      <xdr:nvCxnSpPr>
        <xdr:cNvPr id="1022" name="Straight Connector 1021">
          <a:extLst>
            <a:ext uri="{FF2B5EF4-FFF2-40B4-BE49-F238E27FC236}">
              <a16:creationId xmlns:a16="http://schemas.microsoft.com/office/drawing/2014/main" id="{00000000-0008-0000-0600-0000FE030000}"/>
            </a:ext>
          </a:extLst>
        </xdr:cNvPr>
        <xdr:cNvCxnSpPr/>
      </xdr:nvCxnSpPr>
      <xdr:spPr>
        <a:xfrm flipH="1" flipV="1">
          <a:off x="3749041" y="435273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237</xdr:row>
      <xdr:rowOff>133352</xdr:rowOff>
    </xdr:from>
    <xdr:to>
      <xdr:col>5</xdr:col>
      <xdr:colOff>885825</xdr:colOff>
      <xdr:row>237</xdr:row>
      <xdr:rowOff>257175</xdr:rowOff>
    </xdr:to>
    <xdr:cxnSp macro="">
      <xdr:nvCxnSpPr>
        <xdr:cNvPr id="1023" name="Straight Connector 1022">
          <a:extLst>
            <a:ext uri="{FF2B5EF4-FFF2-40B4-BE49-F238E27FC236}">
              <a16:creationId xmlns:a16="http://schemas.microsoft.com/office/drawing/2014/main" id="{00000000-0008-0000-0600-0000FF030000}"/>
            </a:ext>
          </a:extLst>
        </xdr:cNvPr>
        <xdr:cNvCxnSpPr/>
      </xdr:nvCxnSpPr>
      <xdr:spPr>
        <a:xfrm flipH="1" flipV="1">
          <a:off x="3745231" y="434759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235</xdr:row>
      <xdr:rowOff>127000</xdr:rowOff>
    </xdr:from>
    <xdr:to>
      <xdr:col>5</xdr:col>
      <xdr:colOff>356235</xdr:colOff>
      <xdr:row>235</xdr:row>
      <xdr:rowOff>309880</xdr:rowOff>
    </xdr:to>
    <xdr:cxnSp macro="">
      <xdr:nvCxnSpPr>
        <xdr:cNvPr id="1024" name="Straight Connector 1023">
          <a:extLst>
            <a:ext uri="{FF2B5EF4-FFF2-40B4-BE49-F238E27FC236}">
              <a16:creationId xmlns:a16="http://schemas.microsoft.com/office/drawing/2014/main" id="{00000000-0008-0000-0600-000000040000}"/>
            </a:ext>
          </a:extLst>
        </xdr:cNvPr>
        <xdr:cNvCxnSpPr/>
      </xdr:nvCxnSpPr>
      <xdr:spPr>
        <a:xfrm flipH="1" flipV="1">
          <a:off x="3480435" y="431038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235</xdr:row>
      <xdr:rowOff>400050</xdr:rowOff>
    </xdr:from>
    <xdr:to>
      <xdr:col>5</xdr:col>
      <xdr:colOff>1666875</xdr:colOff>
      <xdr:row>235</xdr:row>
      <xdr:rowOff>400050</xdr:rowOff>
    </xdr:to>
    <xdr:cxnSp macro="">
      <xdr:nvCxnSpPr>
        <xdr:cNvPr id="1025" name="Straight Connector 1024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CxnSpPr/>
      </xdr:nvCxnSpPr>
      <xdr:spPr>
        <a:xfrm>
          <a:off x="3476625" y="431558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235</xdr:row>
      <xdr:rowOff>127000</xdr:rowOff>
    </xdr:from>
    <xdr:to>
      <xdr:col>5</xdr:col>
      <xdr:colOff>356810</xdr:colOff>
      <xdr:row>235</xdr:row>
      <xdr:rowOff>409912</xdr:rowOff>
    </xdr:to>
    <xdr:cxnSp macro="">
      <xdr:nvCxnSpPr>
        <xdr:cNvPr id="1026" name="Straight Connector 1025">
          <a:extLst>
            <a:ext uri="{FF2B5EF4-FFF2-40B4-BE49-F238E27FC236}">
              <a16:creationId xmlns:a16="http://schemas.microsoft.com/office/drawing/2014/main" id="{00000000-0008-0000-0600-000002040000}"/>
            </a:ext>
          </a:extLst>
        </xdr:cNvPr>
        <xdr:cNvCxnSpPr/>
      </xdr:nvCxnSpPr>
      <xdr:spPr>
        <a:xfrm flipH="1" flipV="1">
          <a:off x="3481009" y="431038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235</xdr:row>
      <xdr:rowOff>134252</xdr:rowOff>
    </xdr:from>
    <xdr:to>
      <xdr:col>5</xdr:col>
      <xdr:colOff>1652211</xdr:colOff>
      <xdr:row>235</xdr:row>
      <xdr:rowOff>417164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id="{00000000-0008-0000-0600-000003040000}"/>
            </a:ext>
          </a:extLst>
        </xdr:cNvPr>
        <xdr:cNvCxnSpPr/>
      </xdr:nvCxnSpPr>
      <xdr:spPr>
        <a:xfrm flipH="1" flipV="1">
          <a:off x="3747710" y="431110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236</xdr:row>
      <xdr:rowOff>127000</xdr:rowOff>
    </xdr:from>
    <xdr:to>
      <xdr:col>5</xdr:col>
      <xdr:colOff>356235</xdr:colOff>
      <xdr:row>236</xdr:row>
      <xdr:rowOff>309880</xdr:rowOff>
    </xdr:to>
    <xdr:cxnSp macro="">
      <xdr:nvCxnSpPr>
        <xdr:cNvPr id="1028" name="Straight Connector 1027">
          <a:extLst>
            <a:ext uri="{FF2B5EF4-FFF2-40B4-BE49-F238E27FC236}">
              <a16:creationId xmlns:a16="http://schemas.microsoft.com/office/drawing/2014/main" id="{00000000-0008-0000-0600-000004040000}"/>
            </a:ext>
          </a:extLst>
        </xdr:cNvPr>
        <xdr:cNvCxnSpPr/>
      </xdr:nvCxnSpPr>
      <xdr:spPr>
        <a:xfrm flipH="1" flipV="1">
          <a:off x="3480435" y="43286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236</xdr:row>
      <xdr:rowOff>152400</xdr:rowOff>
    </xdr:from>
    <xdr:to>
      <xdr:col>5</xdr:col>
      <xdr:colOff>1676400</xdr:colOff>
      <xdr:row>236</xdr:row>
      <xdr:rowOff>152400</xdr:rowOff>
    </xdr:to>
    <xdr:cxnSp macro="">
      <xdr:nvCxnSpPr>
        <xdr:cNvPr id="1029" name="Straight Connector 1028">
          <a:extLst>
            <a:ext uri="{FF2B5EF4-FFF2-40B4-BE49-F238E27FC236}">
              <a16:creationId xmlns:a16="http://schemas.microsoft.com/office/drawing/2014/main" id="{00000000-0008-0000-0600-000005040000}"/>
            </a:ext>
          </a:extLst>
        </xdr:cNvPr>
        <xdr:cNvCxnSpPr/>
      </xdr:nvCxnSpPr>
      <xdr:spPr>
        <a:xfrm>
          <a:off x="3486150" y="433120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236</xdr:row>
      <xdr:rowOff>127000</xdr:rowOff>
    </xdr:from>
    <xdr:to>
      <xdr:col>5</xdr:col>
      <xdr:colOff>356810</xdr:colOff>
      <xdr:row>236</xdr:row>
      <xdr:rowOff>409912</xdr:rowOff>
    </xdr:to>
    <xdr:cxnSp macro="">
      <xdr:nvCxnSpPr>
        <xdr:cNvPr id="1030" name="Straight Connector 1029">
          <a:extLst>
            <a:ext uri="{FF2B5EF4-FFF2-40B4-BE49-F238E27FC236}">
              <a16:creationId xmlns:a16="http://schemas.microsoft.com/office/drawing/2014/main" id="{00000000-0008-0000-0600-000006040000}"/>
            </a:ext>
          </a:extLst>
        </xdr:cNvPr>
        <xdr:cNvCxnSpPr/>
      </xdr:nvCxnSpPr>
      <xdr:spPr>
        <a:xfrm flipH="1" flipV="1">
          <a:off x="3481009" y="43286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236</xdr:row>
      <xdr:rowOff>134252</xdr:rowOff>
    </xdr:from>
    <xdr:to>
      <xdr:col>5</xdr:col>
      <xdr:colOff>1652211</xdr:colOff>
      <xdr:row>236</xdr:row>
      <xdr:rowOff>417164</xdr:rowOff>
    </xdr:to>
    <xdr:cxnSp macro="">
      <xdr:nvCxnSpPr>
        <xdr:cNvPr id="1031" name="Straight Connector 1030">
          <a:extLst>
            <a:ext uri="{FF2B5EF4-FFF2-40B4-BE49-F238E27FC236}">
              <a16:creationId xmlns:a16="http://schemas.microsoft.com/office/drawing/2014/main" id="{00000000-0008-0000-0600-000007040000}"/>
            </a:ext>
          </a:extLst>
        </xdr:cNvPr>
        <xdr:cNvCxnSpPr/>
      </xdr:nvCxnSpPr>
      <xdr:spPr>
        <a:xfrm flipH="1" flipV="1">
          <a:off x="3747710" y="43293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237</xdr:row>
      <xdr:rowOff>123824</xdr:rowOff>
    </xdr:from>
    <xdr:to>
      <xdr:col>5</xdr:col>
      <xdr:colOff>1428750</xdr:colOff>
      <xdr:row>237</xdr:row>
      <xdr:rowOff>1219199</xdr:rowOff>
    </xdr:to>
    <xdr:sp macro="" textlink="">
      <xdr:nvSpPr>
        <xdr:cNvPr id="1032" name="Rounded Rectangle 1031">
          <a:extLst>
            <a:ext uri="{FF2B5EF4-FFF2-40B4-BE49-F238E27FC236}">
              <a16:creationId xmlns:a16="http://schemas.microsoft.com/office/drawing/2014/main" id="{00000000-0008-0000-0600-000008040000}"/>
            </a:ext>
          </a:extLst>
        </xdr:cNvPr>
        <xdr:cNvSpPr/>
      </xdr:nvSpPr>
      <xdr:spPr>
        <a:xfrm>
          <a:off x="3745230" y="434663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237</xdr:row>
      <xdr:rowOff>238127</xdr:rowOff>
    </xdr:from>
    <xdr:to>
      <xdr:col>5</xdr:col>
      <xdr:colOff>790575</xdr:colOff>
      <xdr:row>237</xdr:row>
      <xdr:rowOff>361950</xdr:rowOff>
    </xdr:to>
    <xdr:cxnSp macro="">
      <xdr:nvCxnSpPr>
        <xdr:cNvPr id="1033" name="Straight Connector 1032">
          <a:extLst>
            <a:ext uri="{FF2B5EF4-FFF2-40B4-BE49-F238E27FC236}">
              <a16:creationId xmlns:a16="http://schemas.microsoft.com/office/drawing/2014/main" id="{00000000-0008-0000-0600-000009040000}"/>
            </a:ext>
          </a:extLst>
        </xdr:cNvPr>
        <xdr:cNvCxnSpPr/>
      </xdr:nvCxnSpPr>
      <xdr:spPr>
        <a:xfrm flipH="1" flipV="1">
          <a:off x="3749041" y="435273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237</xdr:row>
      <xdr:rowOff>133352</xdr:rowOff>
    </xdr:from>
    <xdr:to>
      <xdr:col>5</xdr:col>
      <xdr:colOff>885825</xdr:colOff>
      <xdr:row>237</xdr:row>
      <xdr:rowOff>257175</xdr:rowOff>
    </xdr:to>
    <xdr:cxnSp macro="">
      <xdr:nvCxnSpPr>
        <xdr:cNvPr id="1034" name="Straight Connector 1033">
          <a:extLst>
            <a:ext uri="{FF2B5EF4-FFF2-40B4-BE49-F238E27FC236}">
              <a16:creationId xmlns:a16="http://schemas.microsoft.com/office/drawing/2014/main" id="{00000000-0008-0000-0600-00000A040000}"/>
            </a:ext>
          </a:extLst>
        </xdr:cNvPr>
        <xdr:cNvCxnSpPr/>
      </xdr:nvCxnSpPr>
      <xdr:spPr>
        <a:xfrm flipH="1" flipV="1">
          <a:off x="3745231" y="434759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235</xdr:row>
      <xdr:rowOff>127000</xdr:rowOff>
    </xdr:from>
    <xdr:to>
      <xdr:col>5</xdr:col>
      <xdr:colOff>356235</xdr:colOff>
      <xdr:row>235</xdr:row>
      <xdr:rowOff>309880</xdr:rowOff>
    </xdr:to>
    <xdr:cxnSp macro="">
      <xdr:nvCxnSpPr>
        <xdr:cNvPr id="1035" name="Straight Connector 1034">
          <a:extLst>
            <a:ext uri="{FF2B5EF4-FFF2-40B4-BE49-F238E27FC236}">
              <a16:creationId xmlns:a16="http://schemas.microsoft.com/office/drawing/2014/main" id="{00000000-0008-0000-0600-00000B040000}"/>
            </a:ext>
          </a:extLst>
        </xdr:cNvPr>
        <xdr:cNvCxnSpPr/>
      </xdr:nvCxnSpPr>
      <xdr:spPr>
        <a:xfrm flipH="1" flipV="1">
          <a:off x="3480435" y="431038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235</xdr:row>
      <xdr:rowOff>400050</xdr:rowOff>
    </xdr:from>
    <xdr:to>
      <xdr:col>5</xdr:col>
      <xdr:colOff>1666875</xdr:colOff>
      <xdr:row>235</xdr:row>
      <xdr:rowOff>400050</xdr:rowOff>
    </xdr:to>
    <xdr:cxnSp macro="">
      <xdr:nvCxnSpPr>
        <xdr:cNvPr id="1036" name="Straight Connector 1035">
          <a:extLst>
            <a:ext uri="{FF2B5EF4-FFF2-40B4-BE49-F238E27FC236}">
              <a16:creationId xmlns:a16="http://schemas.microsoft.com/office/drawing/2014/main" id="{00000000-0008-0000-0600-00000C040000}"/>
            </a:ext>
          </a:extLst>
        </xdr:cNvPr>
        <xdr:cNvCxnSpPr/>
      </xdr:nvCxnSpPr>
      <xdr:spPr>
        <a:xfrm>
          <a:off x="3476625" y="431558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235</xdr:row>
      <xdr:rowOff>127000</xdr:rowOff>
    </xdr:from>
    <xdr:to>
      <xdr:col>5</xdr:col>
      <xdr:colOff>356810</xdr:colOff>
      <xdr:row>235</xdr:row>
      <xdr:rowOff>409912</xdr:rowOff>
    </xdr:to>
    <xdr:cxnSp macro="">
      <xdr:nvCxnSpPr>
        <xdr:cNvPr id="1037" name="Straight Connector 1036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CxnSpPr/>
      </xdr:nvCxnSpPr>
      <xdr:spPr>
        <a:xfrm flipH="1" flipV="1">
          <a:off x="3481009" y="431038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235</xdr:row>
      <xdr:rowOff>134252</xdr:rowOff>
    </xdr:from>
    <xdr:to>
      <xdr:col>5</xdr:col>
      <xdr:colOff>1652211</xdr:colOff>
      <xdr:row>235</xdr:row>
      <xdr:rowOff>417164</xdr:rowOff>
    </xdr:to>
    <xdr:cxnSp macro="">
      <xdr:nvCxnSpPr>
        <xdr:cNvPr id="1038" name="Straight Connector 1037">
          <a:extLst>
            <a:ext uri="{FF2B5EF4-FFF2-40B4-BE49-F238E27FC236}">
              <a16:creationId xmlns:a16="http://schemas.microsoft.com/office/drawing/2014/main" id="{00000000-0008-0000-0600-00000E040000}"/>
            </a:ext>
          </a:extLst>
        </xdr:cNvPr>
        <xdr:cNvCxnSpPr/>
      </xdr:nvCxnSpPr>
      <xdr:spPr>
        <a:xfrm flipH="1" flipV="1">
          <a:off x="3747710" y="431110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236</xdr:row>
      <xdr:rowOff>127000</xdr:rowOff>
    </xdr:from>
    <xdr:to>
      <xdr:col>5</xdr:col>
      <xdr:colOff>356235</xdr:colOff>
      <xdr:row>236</xdr:row>
      <xdr:rowOff>309880</xdr:rowOff>
    </xdr:to>
    <xdr:cxnSp macro="">
      <xdr:nvCxnSpPr>
        <xdr:cNvPr id="1039" name="Straight Connector 1038">
          <a:extLst>
            <a:ext uri="{FF2B5EF4-FFF2-40B4-BE49-F238E27FC236}">
              <a16:creationId xmlns:a16="http://schemas.microsoft.com/office/drawing/2014/main" id="{00000000-0008-0000-0600-00000F040000}"/>
            </a:ext>
          </a:extLst>
        </xdr:cNvPr>
        <xdr:cNvCxnSpPr/>
      </xdr:nvCxnSpPr>
      <xdr:spPr>
        <a:xfrm flipH="1" flipV="1">
          <a:off x="3480435" y="43286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236</xdr:row>
      <xdr:rowOff>152400</xdr:rowOff>
    </xdr:from>
    <xdr:to>
      <xdr:col>5</xdr:col>
      <xdr:colOff>1676400</xdr:colOff>
      <xdr:row>236</xdr:row>
      <xdr:rowOff>152400</xdr:rowOff>
    </xdr:to>
    <xdr:cxnSp macro="">
      <xdr:nvCxnSpPr>
        <xdr:cNvPr id="1040" name="Straight Connector 1039">
          <a:extLst>
            <a:ext uri="{FF2B5EF4-FFF2-40B4-BE49-F238E27FC236}">
              <a16:creationId xmlns:a16="http://schemas.microsoft.com/office/drawing/2014/main" id="{00000000-0008-0000-0600-000010040000}"/>
            </a:ext>
          </a:extLst>
        </xdr:cNvPr>
        <xdr:cNvCxnSpPr/>
      </xdr:nvCxnSpPr>
      <xdr:spPr>
        <a:xfrm>
          <a:off x="3486150" y="433120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236</xdr:row>
      <xdr:rowOff>127000</xdr:rowOff>
    </xdr:from>
    <xdr:to>
      <xdr:col>5</xdr:col>
      <xdr:colOff>356810</xdr:colOff>
      <xdr:row>236</xdr:row>
      <xdr:rowOff>409912</xdr:rowOff>
    </xdr:to>
    <xdr:cxnSp macro="">
      <xdr:nvCxnSpPr>
        <xdr:cNvPr id="1041" name="Straight Connector 1040">
          <a:extLst>
            <a:ext uri="{FF2B5EF4-FFF2-40B4-BE49-F238E27FC236}">
              <a16:creationId xmlns:a16="http://schemas.microsoft.com/office/drawing/2014/main" id="{00000000-0008-0000-0600-000011040000}"/>
            </a:ext>
          </a:extLst>
        </xdr:cNvPr>
        <xdr:cNvCxnSpPr/>
      </xdr:nvCxnSpPr>
      <xdr:spPr>
        <a:xfrm flipH="1" flipV="1">
          <a:off x="3481009" y="43286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236</xdr:row>
      <xdr:rowOff>134252</xdr:rowOff>
    </xdr:from>
    <xdr:to>
      <xdr:col>5</xdr:col>
      <xdr:colOff>1652211</xdr:colOff>
      <xdr:row>236</xdr:row>
      <xdr:rowOff>417164</xdr:rowOff>
    </xdr:to>
    <xdr:cxnSp macro="">
      <xdr:nvCxnSpPr>
        <xdr:cNvPr id="1042" name="Straight Connector 1041">
          <a:extLst>
            <a:ext uri="{FF2B5EF4-FFF2-40B4-BE49-F238E27FC236}">
              <a16:creationId xmlns:a16="http://schemas.microsoft.com/office/drawing/2014/main" id="{00000000-0008-0000-0600-000012040000}"/>
            </a:ext>
          </a:extLst>
        </xdr:cNvPr>
        <xdr:cNvCxnSpPr/>
      </xdr:nvCxnSpPr>
      <xdr:spPr>
        <a:xfrm flipH="1" flipV="1">
          <a:off x="3747710" y="43293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237</xdr:row>
      <xdr:rowOff>123824</xdr:rowOff>
    </xdr:from>
    <xdr:to>
      <xdr:col>5</xdr:col>
      <xdr:colOff>1428750</xdr:colOff>
      <xdr:row>237</xdr:row>
      <xdr:rowOff>1219199</xdr:rowOff>
    </xdr:to>
    <xdr:sp macro="" textlink="">
      <xdr:nvSpPr>
        <xdr:cNvPr id="1043" name="Rounded Rectangle 1042">
          <a:extLst>
            <a:ext uri="{FF2B5EF4-FFF2-40B4-BE49-F238E27FC236}">
              <a16:creationId xmlns:a16="http://schemas.microsoft.com/office/drawing/2014/main" id="{00000000-0008-0000-0600-000013040000}"/>
            </a:ext>
          </a:extLst>
        </xdr:cNvPr>
        <xdr:cNvSpPr/>
      </xdr:nvSpPr>
      <xdr:spPr>
        <a:xfrm>
          <a:off x="3745230" y="434663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237</xdr:row>
      <xdr:rowOff>238127</xdr:rowOff>
    </xdr:from>
    <xdr:to>
      <xdr:col>5</xdr:col>
      <xdr:colOff>790575</xdr:colOff>
      <xdr:row>237</xdr:row>
      <xdr:rowOff>361950</xdr:rowOff>
    </xdr:to>
    <xdr:cxnSp macro="">
      <xdr:nvCxnSpPr>
        <xdr:cNvPr id="1044" name="Straight Connector 1043">
          <a:extLst>
            <a:ext uri="{FF2B5EF4-FFF2-40B4-BE49-F238E27FC236}">
              <a16:creationId xmlns:a16="http://schemas.microsoft.com/office/drawing/2014/main" id="{00000000-0008-0000-0600-000014040000}"/>
            </a:ext>
          </a:extLst>
        </xdr:cNvPr>
        <xdr:cNvCxnSpPr/>
      </xdr:nvCxnSpPr>
      <xdr:spPr>
        <a:xfrm flipH="1" flipV="1">
          <a:off x="3749041" y="435273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237</xdr:row>
      <xdr:rowOff>133352</xdr:rowOff>
    </xdr:from>
    <xdr:to>
      <xdr:col>5</xdr:col>
      <xdr:colOff>885825</xdr:colOff>
      <xdr:row>237</xdr:row>
      <xdr:rowOff>257175</xdr:rowOff>
    </xdr:to>
    <xdr:cxnSp macro="">
      <xdr:nvCxnSpPr>
        <xdr:cNvPr id="1045" name="Straight Connector 1044">
          <a:extLst>
            <a:ext uri="{FF2B5EF4-FFF2-40B4-BE49-F238E27FC236}">
              <a16:creationId xmlns:a16="http://schemas.microsoft.com/office/drawing/2014/main" id="{00000000-0008-0000-0600-000015040000}"/>
            </a:ext>
          </a:extLst>
        </xdr:cNvPr>
        <xdr:cNvCxnSpPr/>
      </xdr:nvCxnSpPr>
      <xdr:spPr>
        <a:xfrm flipH="1" flipV="1">
          <a:off x="3745231" y="434759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235</xdr:row>
      <xdr:rowOff>127000</xdr:rowOff>
    </xdr:from>
    <xdr:to>
      <xdr:col>5</xdr:col>
      <xdr:colOff>356235</xdr:colOff>
      <xdr:row>235</xdr:row>
      <xdr:rowOff>309880</xdr:rowOff>
    </xdr:to>
    <xdr:cxnSp macro="">
      <xdr:nvCxnSpPr>
        <xdr:cNvPr id="1046" name="Straight Connector 1045">
          <a:extLst>
            <a:ext uri="{FF2B5EF4-FFF2-40B4-BE49-F238E27FC236}">
              <a16:creationId xmlns:a16="http://schemas.microsoft.com/office/drawing/2014/main" id="{00000000-0008-0000-0600-000016040000}"/>
            </a:ext>
          </a:extLst>
        </xdr:cNvPr>
        <xdr:cNvCxnSpPr/>
      </xdr:nvCxnSpPr>
      <xdr:spPr>
        <a:xfrm flipH="1" flipV="1">
          <a:off x="3480435" y="431038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235</xdr:row>
      <xdr:rowOff>400050</xdr:rowOff>
    </xdr:from>
    <xdr:to>
      <xdr:col>5</xdr:col>
      <xdr:colOff>1666875</xdr:colOff>
      <xdr:row>235</xdr:row>
      <xdr:rowOff>400050</xdr:rowOff>
    </xdr:to>
    <xdr:cxnSp macro="">
      <xdr:nvCxnSpPr>
        <xdr:cNvPr id="1047" name="Straight Connector 1046">
          <a:extLst>
            <a:ext uri="{FF2B5EF4-FFF2-40B4-BE49-F238E27FC236}">
              <a16:creationId xmlns:a16="http://schemas.microsoft.com/office/drawing/2014/main" id="{00000000-0008-0000-0600-000017040000}"/>
            </a:ext>
          </a:extLst>
        </xdr:cNvPr>
        <xdr:cNvCxnSpPr/>
      </xdr:nvCxnSpPr>
      <xdr:spPr>
        <a:xfrm>
          <a:off x="3476625" y="431558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235</xdr:row>
      <xdr:rowOff>127000</xdr:rowOff>
    </xdr:from>
    <xdr:to>
      <xdr:col>5</xdr:col>
      <xdr:colOff>356810</xdr:colOff>
      <xdr:row>235</xdr:row>
      <xdr:rowOff>409912</xdr:rowOff>
    </xdr:to>
    <xdr:cxnSp macro="">
      <xdr:nvCxnSpPr>
        <xdr:cNvPr id="1048" name="Straight Connector 1047">
          <a:extLst>
            <a:ext uri="{FF2B5EF4-FFF2-40B4-BE49-F238E27FC236}">
              <a16:creationId xmlns:a16="http://schemas.microsoft.com/office/drawing/2014/main" id="{00000000-0008-0000-0600-000018040000}"/>
            </a:ext>
          </a:extLst>
        </xdr:cNvPr>
        <xdr:cNvCxnSpPr/>
      </xdr:nvCxnSpPr>
      <xdr:spPr>
        <a:xfrm flipH="1" flipV="1">
          <a:off x="3481009" y="431038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235</xdr:row>
      <xdr:rowOff>134252</xdr:rowOff>
    </xdr:from>
    <xdr:to>
      <xdr:col>5</xdr:col>
      <xdr:colOff>1652211</xdr:colOff>
      <xdr:row>235</xdr:row>
      <xdr:rowOff>417164</xdr:rowOff>
    </xdr:to>
    <xdr:cxnSp macro="">
      <xdr:nvCxnSpPr>
        <xdr:cNvPr id="1049" name="Straight Connector 1048">
          <a:extLst>
            <a:ext uri="{FF2B5EF4-FFF2-40B4-BE49-F238E27FC236}">
              <a16:creationId xmlns:a16="http://schemas.microsoft.com/office/drawing/2014/main" id="{00000000-0008-0000-0600-000019040000}"/>
            </a:ext>
          </a:extLst>
        </xdr:cNvPr>
        <xdr:cNvCxnSpPr/>
      </xdr:nvCxnSpPr>
      <xdr:spPr>
        <a:xfrm flipH="1" flipV="1">
          <a:off x="3747710" y="431110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236</xdr:row>
      <xdr:rowOff>127000</xdr:rowOff>
    </xdr:from>
    <xdr:to>
      <xdr:col>5</xdr:col>
      <xdr:colOff>356235</xdr:colOff>
      <xdr:row>236</xdr:row>
      <xdr:rowOff>309880</xdr:rowOff>
    </xdr:to>
    <xdr:cxnSp macro="">
      <xdr:nvCxnSpPr>
        <xdr:cNvPr id="1050" name="Straight Connector 1049">
          <a:extLst>
            <a:ext uri="{FF2B5EF4-FFF2-40B4-BE49-F238E27FC236}">
              <a16:creationId xmlns:a16="http://schemas.microsoft.com/office/drawing/2014/main" id="{00000000-0008-0000-0600-00001A040000}"/>
            </a:ext>
          </a:extLst>
        </xdr:cNvPr>
        <xdr:cNvCxnSpPr/>
      </xdr:nvCxnSpPr>
      <xdr:spPr>
        <a:xfrm flipH="1" flipV="1">
          <a:off x="3480435" y="43286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236</xdr:row>
      <xdr:rowOff>152400</xdr:rowOff>
    </xdr:from>
    <xdr:to>
      <xdr:col>5</xdr:col>
      <xdr:colOff>1676400</xdr:colOff>
      <xdr:row>236</xdr:row>
      <xdr:rowOff>152400</xdr:rowOff>
    </xdr:to>
    <xdr:cxnSp macro="">
      <xdr:nvCxnSpPr>
        <xdr:cNvPr id="1051" name="Straight Connector 1050">
          <a:extLst>
            <a:ext uri="{FF2B5EF4-FFF2-40B4-BE49-F238E27FC236}">
              <a16:creationId xmlns:a16="http://schemas.microsoft.com/office/drawing/2014/main" id="{00000000-0008-0000-0600-00001B040000}"/>
            </a:ext>
          </a:extLst>
        </xdr:cNvPr>
        <xdr:cNvCxnSpPr/>
      </xdr:nvCxnSpPr>
      <xdr:spPr>
        <a:xfrm>
          <a:off x="3486150" y="433120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236</xdr:row>
      <xdr:rowOff>127000</xdr:rowOff>
    </xdr:from>
    <xdr:to>
      <xdr:col>5</xdr:col>
      <xdr:colOff>356810</xdr:colOff>
      <xdr:row>236</xdr:row>
      <xdr:rowOff>409912</xdr:rowOff>
    </xdr:to>
    <xdr:cxnSp macro="">
      <xdr:nvCxnSpPr>
        <xdr:cNvPr id="1052" name="Straight Connector 1051">
          <a:extLst>
            <a:ext uri="{FF2B5EF4-FFF2-40B4-BE49-F238E27FC236}">
              <a16:creationId xmlns:a16="http://schemas.microsoft.com/office/drawing/2014/main" id="{00000000-0008-0000-0600-00001C040000}"/>
            </a:ext>
          </a:extLst>
        </xdr:cNvPr>
        <xdr:cNvCxnSpPr/>
      </xdr:nvCxnSpPr>
      <xdr:spPr>
        <a:xfrm flipH="1" flipV="1">
          <a:off x="3481009" y="43286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237</xdr:row>
      <xdr:rowOff>123824</xdr:rowOff>
    </xdr:from>
    <xdr:to>
      <xdr:col>5</xdr:col>
      <xdr:colOff>1428750</xdr:colOff>
      <xdr:row>237</xdr:row>
      <xdr:rowOff>1219199</xdr:rowOff>
    </xdr:to>
    <xdr:sp macro="" textlink="">
      <xdr:nvSpPr>
        <xdr:cNvPr id="1053" name="Rounded Rectangle 1052">
          <a:extLst>
            <a:ext uri="{FF2B5EF4-FFF2-40B4-BE49-F238E27FC236}">
              <a16:creationId xmlns:a16="http://schemas.microsoft.com/office/drawing/2014/main" id="{00000000-0008-0000-0600-00001D040000}"/>
            </a:ext>
          </a:extLst>
        </xdr:cNvPr>
        <xdr:cNvSpPr/>
      </xdr:nvSpPr>
      <xdr:spPr>
        <a:xfrm>
          <a:off x="3745230" y="434663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237</xdr:row>
      <xdr:rowOff>238127</xdr:rowOff>
    </xdr:from>
    <xdr:to>
      <xdr:col>5</xdr:col>
      <xdr:colOff>790575</xdr:colOff>
      <xdr:row>237</xdr:row>
      <xdr:rowOff>361950</xdr:rowOff>
    </xdr:to>
    <xdr:cxnSp macro="">
      <xdr:nvCxnSpPr>
        <xdr:cNvPr id="1054" name="Straight Connector 1053">
          <a:extLst>
            <a:ext uri="{FF2B5EF4-FFF2-40B4-BE49-F238E27FC236}">
              <a16:creationId xmlns:a16="http://schemas.microsoft.com/office/drawing/2014/main" id="{00000000-0008-0000-0600-00001E040000}"/>
            </a:ext>
          </a:extLst>
        </xdr:cNvPr>
        <xdr:cNvCxnSpPr/>
      </xdr:nvCxnSpPr>
      <xdr:spPr>
        <a:xfrm flipH="1" flipV="1">
          <a:off x="3749041" y="435273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237</xdr:row>
      <xdr:rowOff>133352</xdr:rowOff>
    </xdr:from>
    <xdr:to>
      <xdr:col>5</xdr:col>
      <xdr:colOff>885825</xdr:colOff>
      <xdr:row>237</xdr:row>
      <xdr:rowOff>257175</xdr:rowOff>
    </xdr:to>
    <xdr:cxnSp macro="">
      <xdr:nvCxnSpPr>
        <xdr:cNvPr id="1055" name="Straight Connector 1054">
          <a:extLst>
            <a:ext uri="{FF2B5EF4-FFF2-40B4-BE49-F238E27FC236}">
              <a16:creationId xmlns:a16="http://schemas.microsoft.com/office/drawing/2014/main" id="{00000000-0008-0000-0600-00001F040000}"/>
            </a:ext>
          </a:extLst>
        </xdr:cNvPr>
        <xdr:cNvCxnSpPr/>
      </xdr:nvCxnSpPr>
      <xdr:spPr>
        <a:xfrm flipH="1" flipV="1">
          <a:off x="3745231" y="434759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241</xdr:row>
      <xdr:rowOff>127000</xdr:rowOff>
    </xdr:from>
    <xdr:to>
      <xdr:col>5</xdr:col>
      <xdr:colOff>356235</xdr:colOff>
      <xdr:row>241</xdr:row>
      <xdr:rowOff>309880</xdr:rowOff>
    </xdr:to>
    <xdr:cxnSp macro="">
      <xdr:nvCxnSpPr>
        <xdr:cNvPr id="1056" name="Straight Connector 1055">
          <a:extLst>
            <a:ext uri="{FF2B5EF4-FFF2-40B4-BE49-F238E27FC236}">
              <a16:creationId xmlns:a16="http://schemas.microsoft.com/office/drawing/2014/main" id="{00000000-0008-0000-0600-000020040000}"/>
            </a:ext>
          </a:extLst>
        </xdr:cNvPr>
        <xdr:cNvCxnSpPr/>
      </xdr:nvCxnSpPr>
      <xdr:spPr>
        <a:xfrm flipH="1" flipV="1">
          <a:off x="3480435" y="442010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241</xdr:row>
      <xdr:rowOff>400050</xdr:rowOff>
    </xdr:from>
    <xdr:to>
      <xdr:col>5</xdr:col>
      <xdr:colOff>1666875</xdr:colOff>
      <xdr:row>241</xdr:row>
      <xdr:rowOff>400050</xdr:rowOff>
    </xdr:to>
    <xdr:cxnSp macro="">
      <xdr:nvCxnSpPr>
        <xdr:cNvPr id="1057" name="Straight Connector 1056">
          <a:extLst>
            <a:ext uri="{FF2B5EF4-FFF2-40B4-BE49-F238E27FC236}">
              <a16:creationId xmlns:a16="http://schemas.microsoft.com/office/drawing/2014/main" id="{00000000-0008-0000-0600-000021040000}"/>
            </a:ext>
          </a:extLst>
        </xdr:cNvPr>
        <xdr:cNvCxnSpPr/>
      </xdr:nvCxnSpPr>
      <xdr:spPr>
        <a:xfrm>
          <a:off x="3476625" y="442531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241</xdr:row>
      <xdr:rowOff>127000</xdr:rowOff>
    </xdr:from>
    <xdr:to>
      <xdr:col>5</xdr:col>
      <xdr:colOff>356810</xdr:colOff>
      <xdr:row>241</xdr:row>
      <xdr:rowOff>409912</xdr:rowOff>
    </xdr:to>
    <xdr:cxnSp macro="">
      <xdr:nvCxnSpPr>
        <xdr:cNvPr id="1058" name="Straight Connector 1057">
          <a:extLst>
            <a:ext uri="{FF2B5EF4-FFF2-40B4-BE49-F238E27FC236}">
              <a16:creationId xmlns:a16="http://schemas.microsoft.com/office/drawing/2014/main" id="{00000000-0008-0000-0600-000022040000}"/>
            </a:ext>
          </a:extLst>
        </xdr:cNvPr>
        <xdr:cNvCxnSpPr/>
      </xdr:nvCxnSpPr>
      <xdr:spPr>
        <a:xfrm flipH="1" flipV="1">
          <a:off x="3481009" y="44201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241</xdr:row>
      <xdr:rowOff>134252</xdr:rowOff>
    </xdr:from>
    <xdr:to>
      <xdr:col>5</xdr:col>
      <xdr:colOff>1652211</xdr:colOff>
      <xdr:row>241</xdr:row>
      <xdr:rowOff>417164</xdr:rowOff>
    </xdr:to>
    <xdr:cxnSp macro="">
      <xdr:nvCxnSpPr>
        <xdr:cNvPr id="1059" name="Straight Connector 1058">
          <a:extLst>
            <a:ext uri="{FF2B5EF4-FFF2-40B4-BE49-F238E27FC236}">
              <a16:creationId xmlns:a16="http://schemas.microsoft.com/office/drawing/2014/main" id="{00000000-0008-0000-0600-000023040000}"/>
            </a:ext>
          </a:extLst>
        </xdr:cNvPr>
        <xdr:cNvCxnSpPr/>
      </xdr:nvCxnSpPr>
      <xdr:spPr>
        <a:xfrm flipH="1" flipV="1">
          <a:off x="3747710" y="442083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242</xdr:row>
      <xdr:rowOff>127000</xdr:rowOff>
    </xdr:from>
    <xdr:to>
      <xdr:col>5</xdr:col>
      <xdr:colOff>356235</xdr:colOff>
      <xdr:row>242</xdr:row>
      <xdr:rowOff>309880</xdr:rowOff>
    </xdr:to>
    <xdr:cxnSp macro="">
      <xdr:nvCxnSpPr>
        <xdr:cNvPr id="1060" name="Straight Connector 1059">
          <a:extLst>
            <a:ext uri="{FF2B5EF4-FFF2-40B4-BE49-F238E27FC236}">
              <a16:creationId xmlns:a16="http://schemas.microsoft.com/office/drawing/2014/main" id="{00000000-0008-0000-0600-000024040000}"/>
            </a:ext>
          </a:extLst>
        </xdr:cNvPr>
        <xdr:cNvCxnSpPr/>
      </xdr:nvCxnSpPr>
      <xdr:spPr>
        <a:xfrm flipH="1" flipV="1">
          <a:off x="3480435" y="4438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242</xdr:row>
      <xdr:rowOff>152400</xdr:rowOff>
    </xdr:from>
    <xdr:to>
      <xdr:col>5</xdr:col>
      <xdr:colOff>1676400</xdr:colOff>
      <xdr:row>242</xdr:row>
      <xdr:rowOff>152400</xdr:rowOff>
    </xdr:to>
    <xdr:cxnSp macro="">
      <xdr:nvCxnSpPr>
        <xdr:cNvPr id="1061" name="Straight Connector 1060">
          <a:extLst>
            <a:ext uri="{FF2B5EF4-FFF2-40B4-BE49-F238E27FC236}">
              <a16:creationId xmlns:a16="http://schemas.microsoft.com/office/drawing/2014/main" id="{00000000-0008-0000-0600-000025040000}"/>
            </a:ext>
          </a:extLst>
        </xdr:cNvPr>
        <xdr:cNvCxnSpPr/>
      </xdr:nvCxnSpPr>
      <xdr:spPr>
        <a:xfrm>
          <a:off x="3486150" y="444093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242</xdr:row>
      <xdr:rowOff>127000</xdr:rowOff>
    </xdr:from>
    <xdr:to>
      <xdr:col>5</xdr:col>
      <xdr:colOff>356810</xdr:colOff>
      <xdr:row>242</xdr:row>
      <xdr:rowOff>409912</xdr:rowOff>
    </xdr:to>
    <xdr:cxnSp macro="">
      <xdr:nvCxnSpPr>
        <xdr:cNvPr id="1062" name="Straight Connector 1061">
          <a:extLst>
            <a:ext uri="{FF2B5EF4-FFF2-40B4-BE49-F238E27FC236}">
              <a16:creationId xmlns:a16="http://schemas.microsoft.com/office/drawing/2014/main" id="{00000000-0008-0000-0600-000026040000}"/>
            </a:ext>
          </a:extLst>
        </xdr:cNvPr>
        <xdr:cNvCxnSpPr/>
      </xdr:nvCxnSpPr>
      <xdr:spPr>
        <a:xfrm flipH="1" flipV="1">
          <a:off x="3481009" y="4438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242</xdr:row>
      <xdr:rowOff>134252</xdr:rowOff>
    </xdr:from>
    <xdr:to>
      <xdr:col>5</xdr:col>
      <xdr:colOff>1652211</xdr:colOff>
      <xdr:row>242</xdr:row>
      <xdr:rowOff>417164</xdr:rowOff>
    </xdr:to>
    <xdr:cxnSp macro="">
      <xdr:nvCxnSpPr>
        <xdr:cNvPr id="1063" name="Straight Connector 1062">
          <a:extLst>
            <a:ext uri="{FF2B5EF4-FFF2-40B4-BE49-F238E27FC236}">
              <a16:creationId xmlns:a16="http://schemas.microsoft.com/office/drawing/2014/main" id="{00000000-0008-0000-0600-000027040000}"/>
            </a:ext>
          </a:extLst>
        </xdr:cNvPr>
        <xdr:cNvCxnSpPr/>
      </xdr:nvCxnSpPr>
      <xdr:spPr>
        <a:xfrm flipH="1" flipV="1">
          <a:off x="3747710" y="4439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243</xdr:row>
      <xdr:rowOff>123824</xdr:rowOff>
    </xdr:from>
    <xdr:to>
      <xdr:col>5</xdr:col>
      <xdr:colOff>1428750</xdr:colOff>
      <xdr:row>243</xdr:row>
      <xdr:rowOff>1219199</xdr:rowOff>
    </xdr:to>
    <xdr:sp macro="" textlink="">
      <xdr:nvSpPr>
        <xdr:cNvPr id="1064" name="Rounded Rectangle 1063">
          <a:extLst>
            <a:ext uri="{FF2B5EF4-FFF2-40B4-BE49-F238E27FC236}">
              <a16:creationId xmlns:a16="http://schemas.microsoft.com/office/drawing/2014/main" id="{00000000-0008-0000-0600-000028040000}"/>
            </a:ext>
          </a:extLst>
        </xdr:cNvPr>
        <xdr:cNvSpPr/>
      </xdr:nvSpPr>
      <xdr:spPr>
        <a:xfrm>
          <a:off x="3745230" y="445636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243</xdr:row>
      <xdr:rowOff>238127</xdr:rowOff>
    </xdr:from>
    <xdr:to>
      <xdr:col>5</xdr:col>
      <xdr:colOff>790575</xdr:colOff>
      <xdr:row>243</xdr:row>
      <xdr:rowOff>361950</xdr:rowOff>
    </xdr:to>
    <xdr:cxnSp macro="">
      <xdr:nvCxnSpPr>
        <xdr:cNvPr id="1065" name="Straight Connector 1064">
          <a:extLst>
            <a:ext uri="{FF2B5EF4-FFF2-40B4-BE49-F238E27FC236}">
              <a16:creationId xmlns:a16="http://schemas.microsoft.com/office/drawing/2014/main" id="{00000000-0008-0000-0600-000029040000}"/>
            </a:ext>
          </a:extLst>
        </xdr:cNvPr>
        <xdr:cNvCxnSpPr/>
      </xdr:nvCxnSpPr>
      <xdr:spPr>
        <a:xfrm flipH="1" flipV="1">
          <a:off x="3749041" y="446246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243</xdr:row>
      <xdr:rowOff>133352</xdr:rowOff>
    </xdr:from>
    <xdr:to>
      <xdr:col>5</xdr:col>
      <xdr:colOff>885825</xdr:colOff>
      <xdr:row>243</xdr:row>
      <xdr:rowOff>257175</xdr:rowOff>
    </xdr:to>
    <xdr:cxnSp macro="">
      <xdr:nvCxnSpPr>
        <xdr:cNvPr id="1066" name="Straight Connector 1065">
          <a:extLst>
            <a:ext uri="{FF2B5EF4-FFF2-40B4-BE49-F238E27FC236}">
              <a16:creationId xmlns:a16="http://schemas.microsoft.com/office/drawing/2014/main" id="{00000000-0008-0000-0600-00002A040000}"/>
            </a:ext>
          </a:extLst>
        </xdr:cNvPr>
        <xdr:cNvCxnSpPr/>
      </xdr:nvCxnSpPr>
      <xdr:spPr>
        <a:xfrm flipH="1" flipV="1">
          <a:off x="3745231" y="445731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241</xdr:row>
      <xdr:rowOff>127000</xdr:rowOff>
    </xdr:from>
    <xdr:to>
      <xdr:col>5</xdr:col>
      <xdr:colOff>356235</xdr:colOff>
      <xdr:row>241</xdr:row>
      <xdr:rowOff>309880</xdr:rowOff>
    </xdr:to>
    <xdr:cxnSp macro="">
      <xdr:nvCxnSpPr>
        <xdr:cNvPr id="1067" name="Straight Connector 1066">
          <a:extLst>
            <a:ext uri="{FF2B5EF4-FFF2-40B4-BE49-F238E27FC236}">
              <a16:creationId xmlns:a16="http://schemas.microsoft.com/office/drawing/2014/main" id="{00000000-0008-0000-0600-00002B040000}"/>
            </a:ext>
          </a:extLst>
        </xdr:cNvPr>
        <xdr:cNvCxnSpPr/>
      </xdr:nvCxnSpPr>
      <xdr:spPr>
        <a:xfrm flipH="1" flipV="1">
          <a:off x="3480435" y="442010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241</xdr:row>
      <xdr:rowOff>400050</xdr:rowOff>
    </xdr:from>
    <xdr:to>
      <xdr:col>5</xdr:col>
      <xdr:colOff>1666875</xdr:colOff>
      <xdr:row>241</xdr:row>
      <xdr:rowOff>400050</xdr:rowOff>
    </xdr:to>
    <xdr:cxnSp macro="">
      <xdr:nvCxnSpPr>
        <xdr:cNvPr id="1068" name="Straight Connector 1067">
          <a:extLst>
            <a:ext uri="{FF2B5EF4-FFF2-40B4-BE49-F238E27FC236}">
              <a16:creationId xmlns:a16="http://schemas.microsoft.com/office/drawing/2014/main" id="{00000000-0008-0000-0600-00002C040000}"/>
            </a:ext>
          </a:extLst>
        </xdr:cNvPr>
        <xdr:cNvCxnSpPr/>
      </xdr:nvCxnSpPr>
      <xdr:spPr>
        <a:xfrm>
          <a:off x="3476625" y="442531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241</xdr:row>
      <xdr:rowOff>127000</xdr:rowOff>
    </xdr:from>
    <xdr:to>
      <xdr:col>5</xdr:col>
      <xdr:colOff>356810</xdr:colOff>
      <xdr:row>241</xdr:row>
      <xdr:rowOff>409912</xdr:rowOff>
    </xdr:to>
    <xdr:cxnSp macro="">
      <xdr:nvCxnSpPr>
        <xdr:cNvPr id="1069" name="Straight Connector 1068">
          <a:extLst>
            <a:ext uri="{FF2B5EF4-FFF2-40B4-BE49-F238E27FC236}">
              <a16:creationId xmlns:a16="http://schemas.microsoft.com/office/drawing/2014/main" id="{00000000-0008-0000-0600-00002D040000}"/>
            </a:ext>
          </a:extLst>
        </xdr:cNvPr>
        <xdr:cNvCxnSpPr/>
      </xdr:nvCxnSpPr>
      <xdr:spPr>
        <a:xfrm flipH="1" flipV="1">
          <a:off x="3481009" y="44201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241</xdr:row>
      <xdr:rowOff>134252</xdr:rowOff>
    </xdr:from>
    <xdr:to>
      <xdr:col>5</xdr:col>
      <xdr:colOff>1652211</xdr:colOff>
      <xdr:row>241</xdr:row>
      <xdr:rowOff>417164</xdr:rowOff>
    </xdr:to>
    <xdr:cxnSp macro="">
      <xdr:nvCxnSpPr>
        <xdr:cNvPr id="1070" name="Straight Connector 1069">
          <a:extLst>
            <a:ext uri="{FF2B5EF4-FFF2-40B4-BE49-F238E27FC236}">
              <a16:creationId xmlns:a16="http://schemas.microsoft.com/office/drawing/2014/main" id="{00000000-0008-0000-0600-00002E040000}"/>
            </a:ext>
          </a:extLst>
        </xdr:cNvPr>
        <xdr:cNvCxnSpPr/>
      </xdr:nvCxnSpPr>
      <xdr:spPr>
        <a:xfrm flipH="1" flipV="1">
          <a:off x="3747710" y="442083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242</xdr:row>
      <xdr:rowOff>127000</xdr:rowOff>
    </xdr:from>
    <xdr:to>
      <xdr:col>5</xdr:col>
      <xdr:colOff>356235</xdr:colOff>
      <xdr:row>242</xdr:row>
      <xdr:rowOff>309880</xdr:rowOff>
    </xdr:to>
    <xdr:cxnSp macro="">
      <xdr:nvCxnSpPr>
        <xdr:cNvPr id="1071" name="Straight Connector 1070">
          <a:extLst>
            <a:ext uri="{FF2B5EF4-FFF2-40B4-BE49-F238E27FC236}">
              <a16:creationId xmlns:a16="http://schemas.microsoft.com/office/drawing/2014/main" id="{00000000-0008-0000-0600-00002F040000}"/>
            </a:ext>
          </a:extLst>
        </xdr:cNvPr>
        <xdr:cNvCxnSpPr/>
      </xdr:nvCxnSpPr>
      <xdr:spPr>
        <a:xfrm flipH="1" flipV="1">
          <a:off x="3480435" y="4438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242</xdr:row>
      <xdr:rowOff>152400</xdr:rowOff>
    </xdr:from>
    <xdr:to>
      <xdr:col>5</xdr:col>
      <xdr:colOff>1676400</xdr:colOff>
      <xdr:row>242</xdr:row>
      <xdr:rowOff>152400</xdr:rowOff>
    </xdr:to>
    <xdr:cxnSp macro="">
      <xdr:nvCxnSpPr>
        <xdr:cNvPr id="1072" name="Straight Connector 1071">
          <a:extLst>
            <a:ext uri="{FF2B5EF4-FFF2-40B4-BE49-F238E27FC236}">
              <a16:creationId xmlns:a16="http://schemas.microsoft.com/office/drawing/2014/main" id="{00000000-0008-0000-0600-000030040000}"/>
            </a:ext>
          </a:extLst>
        </xdr:cNvPr>
        <xdr:cNvCxnSpPr/>
      </xdr:nvCxnSpPr>
      <xdr:spPr>
        <a:xfrm>
          <a:off x="3486150" y="444093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242</xdr:row>
      <xdr:rowOff>127000</xdr:rowOff>
    </xdr:from>
    <xdr:to>
      <xdr:col>5</xdr:col>
      <xdr:colOff>356810</xdr:colOff>
      <xdr:row>242</xdr:row>
      <xdr:rowOff>409912</xdr:rowOff>
    </xdr:to>
    <xdr:cxnSp macro="">
      <xdr:nvCxnSpPr>
        <xdr:cNvPr id="1073" name="Straight Connector 1072">
          <a:extLst>
            <a:ext uri="{FF2B5EF4-FFF2-40B4-BE49-F238E27FC236}">
              <a16:creationId xmlns:a16="http://schemas.microsoft.com/office/drawing/2014/main" id="{00000000-0008-0000-0600-000031040000}"/>
            </a:ext>
          </a:extLst>
        </xdr:cNvPr>
        <xdr:cNvCxnSpPr/>
      </xdr:nvCxnSpPr>
      <xdr:spPr>
        <a:xfrm flipH="1" flipV="1">
          <a:off x="3481009" y="4438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242</xdr:row>
      <xdr:rowOff>134252</xdr:rowOff>
    </xdr:from>
    <xdr:to>
      <xdr:col>5</xdr:col>
      <xdr:colOff>1652211</xdr:colOff>
      <xdr:row>242</xdr:row>
      <xdr:rowOff>417164</xdr:rowOff>
    </xdr:to>
    <xdr:cxnSp macro="">
      <xdr:nvCxnSpPr>
        <xdr:cNvPr id="1074" name="Straight Connector 1073">
          <a:extLst>
            <a:ext uri="{FF2B5EF4-FFF2-40B4-BE49-F238E27FC236}">
              <a16:creationId xmlns:a16="http://schemas.microsoft.com/office/drawing/2014/main" id="{00000000-0008-0000-0600-000032040000}"/>
            </a:ext>
          </a:extLst>
        </xdr:cNvPr>
        <xdr:cNvCxnSpPr/>
      </xdr:nvCxnSpPr>
      <xdr:spPr>
        <a:xfrm flipH="1" flipV="1">
          <a:off x="3747710" y="4439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243</xdr:row>
      <xdr:rowOff>123824</xdr:rowOff>
    </xdr:from>
    <xdr:to>
      <xdr:col>5</xdr:col>
      <xdr:colOff>1428750</xdr:colOff>
      <xdr:row>243</xdr:row>
      <xdr:rowOff>1219199</xdr:rowOff>
    </xdr:to>
    <xdr:sp macro="" textlink="">
      <xdr:nvSpPr>
        <xdr:cNvPr id="1075" name="Rounded Rectangle 1074">
          <a:extLst>
            <a:ext uri="{FF2B5EF4-FFF2-40B4-BE49-F238E27FC236}">
              <a16:creationId xmlns:a16="http://schemas.microsoft.com/office/drawing/2014/main" id="{00000000-0008-0000-0600-000033040000}"/>
            </a:ext>
          </a:extLst>
        </xdr:cNvPr>
        <xdr:cNvSpPr/>
      </xdr:nvSpPr>
      <xdr:spPr>
        <a:xfrm>
          <a:off x="3745230" y="445636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243</xdr:row>
      <xdr:rowOff>238127</xdr:rowOff>
    </xdr:from>
    <xdr:to>
      <xdr:col>5</xdr:col>
      <xdr:colOff>790575</xdr:colOff>
      <xdr:row>243</xdr:row>
      <xdr:rowOff>361950</xdr:rowOff>
    </xdr:to>
    <xdr:cxnSp macro="">
      <xdr:nvCxnSpPr>
        <xdr:cNvPr id="1076" name="Straight Connector 1075">
          <a:extLst>
            <a:ext uri="{FF2B5EF4-FFF2-40B4-BE49-F238E27FC236}">
              <a16:creationId xmlns:a16="http://schemas.microsoft.com/office/drawing/2014/main" id="{00000000-0008-0000-0600-000034040000}"/>
            </a:ext>
          </a:extLst>
        </xdr:cNvPr>
        <xdr:cNvCxnSpPr/>
      </xdr:nvCxnSpPr>
      <xdr:spPr>
        <a:xfrm flipH="1" flipV="1">
          <a:off x="3749041" y="446246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243</xdr:row>
      <xdr:rowOff>133352</xdr:rowOff>
    </xdr:from>
    <xdr:to>
      <xdr:col>5</xdr:col>
      <xdr:colOff>885825</xdr:colOff>
      <xdr:row>243</xdr:row>
      <xdr:rowOff>257175</xdr:rowOff>
    </xdr:to>
    <xdr:cxnSp macro="">
      <xdr:nvCxnSpPr>
        <xdr:cNvPr id="1077" name="Straight Connector 1076">
          <a:extLst>
            <a:ext uri="{FF2B5EF4-FFF2-40B4-BE49-F238E27FC236}">
              <a16:creationId xmlns:a16="http://schemas.microsoft.com/office/drawing/2014/main" id="{00000000-0008-0000-0600-000035040000}"/>
            </a:ext>
          </a:extLst>
        </xdr:cNvPr>
        <xdr:cNvCxnSpPr/>
      </xdr:nvCxnSpPr>
      <xdr:spPr>
        <a:xfrm flipH="1" flipV="1">
          <a:off x="3745231" y="445731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241</xdr:row>
      <xdr:rowOff>127000</xdr:rowOff>
    </xdr:from>
    <xdr:to>
      <xdr:col>5</xdr:col>
      <xdr:colOff>356235</xdr:colOff>
      <xdr:row>241</xdr:row>
      <xdr:rowOff>309880</xdr:rowOff>
    </xdr:to>
    <xdr:cxnSp macro="">
      <xdr:nvCxnSpPr>
        <xdr:cNvPr id="1078" name="Straight Connector 1077">
          <a:extLst>
            <a:ext uri="{FF2B5EF4-FFF2-40B4-BE49-F238E27FC236}">
              <a16:creationId xmlns:a16="http://schemas.microsoft.com/office/drawing/2014/main" id="{00000000-0008-0000-0600-000036040000}"/>
            </a:ext>
          </a:extLst>
        </xdr:cNvPr>
        <xdr:cNvCxnSpPr/>
      </xdr:nvCxnSpPr>
      <xdr:spPr>
        <a:xfrm flipH="1" flipV="1">
          <a:off x="3480435" y="442010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241</xdr:row>
      <xdr:rowOff>400050</xdr:rowOff>
    </xdr:from>
    <xdr:to>
      <xdr:col>5</xdr:col>
      <xdr:colOff>1666875</xdr:colOff>
      <xdr:row>241</xdr:row>
      <xdr:rowOff>400050</xdr:rowOff>
    </xdr:to>
    <xdr:cxnSp macro="">
      <xdr:nvCxnSpPr>
        <xdr:cNvPr id="1079" name="Straight Connector 1078">
          <a:extLst>
            <a:ext uri="{FF2B5EF4-FFF2-40B4-BE49-F238E27FC236}">
              <a16:creationId xmlns:a16="http://schemas.microsoft.com/office/drawing/2014/main" id="{00000000-0008-0000-0600-000037040000}"/>
            </a:ext>
          </a:extLst>
        </xdr:cNvPr>
        <xdr:cNvCxnSpPr/>
      </xdr:nvCxnSpPr>
      <xdr:spPr>
        <a:xfrm>
          <a:off x="3476625" y="442531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241</xdr:row>
      <xdr:rowOff>127000</xdr:rowOff>
    </xdr:from>
    <xdr:to>
      <xdr:col>5</xdr:col>
      <xdr:colOff>356810</xdr:colOff>
      <xdr:row>241</xdr:row>
      <xdr:rowOff>409912</xdr:rowOff>
    </xdr:to>
    <xdr:cxnSp macro="">
      <xdr:nvCxnSpPr>
        <xdr:cNvPr id="1080" name="Straight Connector 1079">
          <a:extLst>
            <a:ext uri="{FF2B5EF4-FFF2-40B4-BE49-F238E27FC236}">
              <a16:creationId xmlns:a16="http://schemas.microsoft.com/office/drawing/2014/main" id="{00000000-0008-0000-0600-000038040000}"/>
            </a:ext>
          </a:extLst>
        </xdr:cNvPr>
        <xdr:cNvCxnSpPr/>
      </xdr:nvCxnSpPr>
      <xdr:spPr>
        <a:xfrm flipH="1" flipV="1">
          <a:off x="3481009" y="44201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241</xdr:row>
      <xdr:rowOff>134252</xdr:rowOff>
    </xdr:from>
    <xdr:to>
      <xdr:col>5</xdr:col>
      <xdr:colOff>1652211</xdr:colOff>
      <xdr:row>241</xdr:row>
      <xdr:rowOff>417164</xdr:rowOff>
    </xdr:to>
    <xdr:cxnSp macro="">
      <xdr:nvCxnSpPr>
        <xdr:cNvPr id="1081" name="Straight Connector 1080">
          <a:extLst>
            <a:ext uri="{FF2B5EF4-FFF2-40B4-BE49-F238E27FC236}">
              <a16:creationId xmlns:a16="http://schemas.microsoft.com/office/drawing/2014/main" id="{00000000-0008-0000-0600-000039040000}"/>
            </a:ext>
          </a:extLst>
        </xdr:cNvPr>
        <xdr:cNvCxnSpPr/>
      </xdr:nvCxnSpPr>
      <xdr:spPr>
        <a:xfrm flipH="1" flipV="1">
          <a:off x="3747710" y="442083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242</xdr:row>
      <xdr:rowOff>127000</xdr:rowOff>
    </xdr:from>
    <xdr:to>
      <xdr:col>5</xdr:col>
      <xdr:colOff>356235</xdr:colOff>
      <xdr:row>242</xdr:row>
      <xdr:rowOff>309880</xdr:rowOff>
    </xdr:to>
    <xdr:cxnSp macro="">
      <xdr:nvCxnSpPr>
        <xdr:cNvPr id="1082" name="Straight Connector 1081">
          <a:extLst>
            <a:ext uri="{FF2B5EF4-FFF2-40B4-BE49-F238E27FC236}">
              <a16:creationId xmlns:a16="http://schemas.microsoft.com/office/drawing/2014/main" id="{00000000-0008-0000-0600-00003A040000}"/>
            </a:ext>
          </a:extLst>
        </xdr:cNvPr>
        <xdr:cNvCxnSpPr/>
      </xdr:nvCxnSpPr>
      <xdr:spPr>
        <a:xfrm flipH="1" flipV="1">
          <a:off x="3480435" y="4438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242</xdr:row>
      <xdr:rowOff>152400</xdr:rowOff>
    </xdr:from>
    <xdr:to>
      <xdr:col>5</xdr:col>
      <xdr:colOff>1676400</xdr:colOff>
      <xdr:row>242</xdr:row>
      <xdr:rowOff>152400</xdr:rowOff>
    </xdr:to>
    <xdr:cxnSp macro="">
      <xdr:nvCxnSpPr>
        <xdr:cNvPr id="1083" name="Straight Connector 1082">
          <a:extLst>
            <a:ext uri="{FF2B5EF4-FFF2-40B4-BE49-F238E27FC236}">
              <a16:creationId xmlns:a16="http://schemas.microsoft.com/office/drawing/2014/main" id="{00000000-0008-0000-0600-00003B040000}"/>
            </a:ext>
          </a:extLst>
        </xdr:cNvPr>
        <xdr:cNvCxnSpPr/>
      </xdr:nvCxnSpPr>
      <xdr:spPr>
        <a:xfrm>
          <a:off x="3486150" y="444093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242</xdr:row>
      <xdr:rowOff>127000</xdr:rowOff>
    </xdr:from>
    <xdr:to>
      <xdr:col>5</xdr:col>
      <xdr:colOff>356810</xdr:colOff>
      <xdr:row>242</xdr:row>
      <xdr:rowOff>409912</xdr:rowOff>
    </xdr:to>
    <xdr:cxnSp macro="">
      <xdr:nvCxnSpPr>
        <xdr:cNvPr id="1084" name="Straight Connector 1083">
          <a:extLst>
            <a:ext uri="{FF2B5EF4-FFF2-40B4-BE49-F238E27FC236}">
              <a16:creationId xmlns:a16="http://schemas.microsoft.com/office/drawing/2014/main" id="{00000000-0008-0000-0600-00003C040000}"/>
            </a:ext>
          </a:extLst>
        </xdr:cNvPr>
        <xdr:cNvCxnSpPr/>
      </xdr:nvCxnSpPr>
      <xdr:spPr>
        <a:xfrm flipH="1" flipV="1">
          <a:off x="3481009" y="4438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242</xdr:row>
      <xdr:rowOff>134252</xdr:rowOff>
    </xdr:from>
    <xdr:to>
      <xdr:col>5</xdr:col>
      <xdr:colOff>1652211</xdr:colOff>
      <xdr:row>242</xdr:row>
      <xdr:rowOff>417164</xdr:rowOff>
    </xdr:to>
    <xdr:cxnSp macro="">
      <xdr:nvCxnSpPr>
        <xdr:cNvPr id="1085" name="Straight Connector 1084">
          <a:extLst>
            <a:ext uri="{FF2B5EF4-FFF2-40B4-BE49-F238E27FC236}">
              <a16:creationId xmlns:a16="http://schemas.microsoft.com/office/drawing/2014/main" id="{00000000-0008-0000-0600-00003D040000}"/>
            </a:ext>
          </a:extLst>
        </xdr:cNvPr>
        <xdr:cNvCxnSpPr/>
      </xdr:nvCxnSpPr>
      <xdr:spPr>
        <a:xfrm flipH="1" flipV="1">
          <a:off x="3747710" y="4439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243</xdr:row>
      <xdr:rowOff>123824</xdr:rowOff>
    </xdr:from>
    <xdr:to>
      <xdr:col>5</xdr:col>
      <xdr:colOff>1428750</xdr:colOff>
      <xdr:row>243</xdr:row>
      <xdr:rowOff>1219199</xdr:rowOff>
    </xdr:to>
    <xdr:sp macro="" textlink="">
      <xdr:nvSpPr>
        <xdr:cNvPr id="1086" name="Rounded Rectangle 1085">
          <a:extLst>
            <a:ext uri="{FF2B5EF4-FFF2-40B4-BE49-F238E27FC236}">
              <a16:creationId xmlns:a16="http://schemas.microsoft.com/office/drawing/2014/main" id="{00000000-0008-0000-0600-00003E040000}"/>
            </a:ext>
          </a:extLst>
        </xdr:cNvPr>
        <xdr:cNvSpPr/>
      </xdr:nvSpPr>
      <xdr:spPr>
        <a:xfrm>
          <a:off x="3745230" y="445636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243</xdr:row>
      <xdr:rowOff>238127</xdr:rowOff>
    </xdr:from>
    <xdr:to>
      <xdr:col>5</xdr:col>
      <xdr:colOff>790575</xdr:colOff>
      <xdr:row>243</xdr:row>
      <xdr:rowOff>361950</xdr:rowOff>
    </xdr:to>
    <xdr:cxnSp macro="">
      <xdr:nvCxnSpPr>
        <xdr:cNvPr id="1087" name="Straight Connector 1086">
          <a:extLst>
            <a:ext uri="{FF2B5EF4-FFF2-40B4-BE49-F238E27FC236}">
              <a16:creationId xmlns:a16="http://schemas.microsoft.com/office/drawing/2014/main" id="{00000000-0008-0000-0600-00003F040000}"/>
            </a:ext>
          </a:extLst>
        </xdr:cNvPr>
        <xdr:cNvCxnSpPr/>
      </xdr:nvCxnSpPr>
      <xdr:spPr>
        <a:xfrm flipH="1" flipV="1">
          <a:off x="3749041" y="446246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243</xdr:row>
      <xdr:rowOff>133352</xdr:rowOff>
    </xdr:from>
    <xdr:to>
      <xdr:col>5</xdr:col>
      <xdr:colOff>885825</xdr:colOff>
      <xdr:row>243</xdr:row>
      <xdr:rowOff>257175</xdr:rowOff>
    </xdr:to>
    <xdr:cxnSp macro="">
      <xdr:nvCxnSpPr>
        <xdr:cNvPr id="1088" name="Straight Connector 1087">
          <a:extLst>
            <a:ext uri="{FF2B5EF4-FFF2-40B4-BE49-F238E27FC236}">
              <a16:creationId xmlns:a16="http://schemas.microsoft.com/office/drawing/2014/main" id="{00000000-0008-0000-0600-000040040000}"/>
            </a:ext>
          </a:extLst>
        </xdr:cNvPr>
        <xdr:cNvCxnSpPr/>
      </xdr:nvCxnSpPr>
      <xdr:spPr>
        <a:xfrm flipH="1" flipV="1">
          <a:off x="3745231" y="445731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241</xdr:row>
      <xdr:rowOff>127000</xdr:rowOff>
    </xdr:from>
    <xdr:to>
      <xdr:col>5</xdr:col>
      <xdr:colOff>356235</xdr:colOff>
      <xdr:row>241</xdr:row>
      <xdr:rowOff>309880</xdr:rowOff>
    </xdr:to>
    <xdr:cxnSp macro="">
      <xdr:nvCxnSpPr>
        <xdr:cNvPr id="1089" name="Straight Connector 1088">
          <a:extLst>
            <a:ext uri="{FF2B5EF4-FFF2-40B4-BE49-F238E27FC236}">
              <a16:creationId xmlns:a16="http://schemas.microsoft.com/office/drawing/2014/main" id="{00000000-0008-0000-0600-000041040000}"/>
            </a:ext>
          </a:extLst>
        </xdr:cNvPr>
        <xdr:cNvCxnSpPr/>
      </xdr:nvCxnSpPr>
      <xdr:spPr>
        <a:xfrm flipH="1" flipV="1">
          <a:off x="3480435" y="442010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241</xdr:row>
      <xdr:rowOff>400050</xdr:rowOff>
    </xdr:from>
    <xdr:to>
      <xdr:col>5</xdr:col>
      <xdr:colOff>1666875</xdr:colOff>
      <xdr:row>241</xdr:row>
      <xdr:rowOff>400050</xdr:rowOff>
    </xdr:to>
    <xdr:cxnSp macro="">
      <xdr:nvCxnSpPr>
        <xdr:cNvPr id="1090" name="Straight Connector 1089">
          <a:extLst>
            <a:ext uri="{FF2B5EF4-FFF2-40B4-BE49-F238E27FC236}">
              <a16:creationId xmlns:a16="http://schemas.microsoft.com/office/drawing/2014/main" id="{00000000-0008-0000-0600-000042040000}"/>
            </a:ext>
          </a:extLst>
        </xdr:cNvPr>
        <xdr:cNvCxnSpPr/>
      </xdr:nvCxnSpPr>
      <xdr:spPr>
        <a:xfrm>
          <a:off x="3476625" y="442531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241</xdr:row>
      <xdr:rowOff>127000</xdr:rowOff>
    </xdr:from>
    <xdr:to>
      <xdr:col>5</xdr:col>
      <xdr:colOff>356810</xdr:colOff>
      <xdr:row>241</xdr:row>
      <xdr:rowOff>409912</xdr:rowOff>
    </xdr:to>
    <xdr:cxnSp macro="">
      <xdr:nvCxnSpPr>
        <xdr:cNvPr id="1091" name="Straight Connector 1090">
          <a:extLst>
            <a:ext uri="{FF2B5EF4-FFF2-40B4-BE49-F238E27FC236}">
              <a16:creationId xmlns:a16="http://schemas.microsoft.com/office/drawing/2014/main" id="{00000000-0008-0000-0600-000043040000}"/>
            </a:ext>
          </a:extLst>
        </xdr:cNvPr>
        <xdr:cNvCxnSpPr/>
      </xdr:nvCxnSpPr>
      <xdr:spPr>
        <a:xfrm flipH="1" flipV="1">
          <a:off x="3481009" y="44201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241</xdr:row>
      <xdr:rowOff>134252</xdr:rowOff>
    </xdr:from>
    <xdr:to>
      <xdr:col>5</xdr:col>
      <xdr:colOff>1652211</xdr:colOff>
      <xdr:row>241</xdr:row>
      <xdr:rowOff>417164</xdr:rowOff>
    </xdr:to>
    <xdr:cxnSp macro="">
      <xdr:nvCxnSpPr>
        <xdr:cNvPr id="1092" name="Straight Connector 1091">
          <a:extLst>
            <a:ext uri="{FF2B5EF4-FFF2-40B4-BE49-F238E27FC236}">
              <a16:creationId xmlns:a16="http://schemas.microsoft.com/office/drawing/2014/main" id="{00000000-0008-0000-0600-000044040000}"/>
            </a:ext>
          </a:extLst>
        </xdr:cNvPr>
        <xdr:cNvCxnSpPr/>
      </xdr:nvCxnSpPr>
      <xdr:spPr>
        <a:xfrm flipH="1" flipV="1">
          <a:off x="3747710" y="442083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242</xdr:row>
      <xdr:rowOff>127000</xdr:rowOff>
    </xdr:from>
    <xdr:to>
      <xdr:col>5</xdr:col>
      <xdr:colOff>356235</xdr:colOff>
      <xdr:row>242</xdr:row>
      <xdr:rowOff>309880</xdr:rowOff>
    </xdr:to>
    <xdr:cxnSp macro="">
      <xdr:nvCxnSpPr>
        <xdr:cNvPr id="1093" name="Straight Connector 1092">
          <a:extLst>
            <a:ext uri="{FF2B5EF4-FFF2-40B4-BE49-F238E27FC236}">
              <a16:creationId xmlns:a16="http://schemas.microsoft.com/office/drawing/2014/main" id="{00000000-0008-0000-0600-000045040000}"/>
            </a:ext>
          </a:extLst>
        </xdr:cNvPr>
        <xdr:cNvCxnSpPr/>
      </xdr:nvCxnSpPr>
      <xdr:spPr>
        <a:xfrm flipH="1" flipV="1">
          <a:off x="3480435" y="4438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242</xdr:row>
      <xdr:rowOff>152400</xdr:rowOff>
    </xdr:from>
    <xdr:to>
      <xdr:col>5</xdr:col>
      <xdr:colOff>1676400</xdr:colOff>
      <xdr:row>242</xdr:row>
      <xdr:rowOff>152400</xdr:rowOff>
    </xdr:to>
    <xdr:cxnSp macro="">
      <xdr:nvCxnSpPr>
        <xdr:cNvPr id="1094" name="Straight Connector 1093">
          <a:extLst>
            <a:ext uri="{FF2B5EF4-FFF2-40B4-BE49-F238E27FC236}">
              <a16:creationId xmlns:a16="http://schemas.microsoft.com/office/drawing/2014/main" id="{00000000-0008-0000-0600-000046040000}"/>
            </a:ext>
          </a:extLst>
        </xdr:cNvPr>
        <xdr:cNvCxnSpPr/>
      </xdr:nvCxnSpPr>
      <xdr:spPr>
        <a:xfrm>
          <a:off x="3486150" y="444093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242</xdr:row>
      <xdr:rowOff>127000</xdr:rowOff>
    </xdr:from>
    <xdr:to>
      <xdr:col>5</xdr:col>
      <xdr:colOff>356810</xdr:colOff>
      <xdr:row>242</xdr:row>
      <xdr:rowOff>409912</xdr:rowOff>
    </xdr:to>
    <xdr:cxnSp macro="">
      <xdr:nvCxnSpPr>
        <xdr:cNvPr id="1095" name="Straight Connector 1094">
          <a:extLst>
            <a:ext uri="{FF2B5EF4-FFF2-40B4-BE49-F238E27FC236}">
              <a16:creationId xmlns:a16="http://schemas.microsoft.com/office/drawing/2014/main" id="{00000000-0008-0000-0600-000047040000}"/>
            </a:ext>
          </a:extLst>
        </xdr:cNvPr>
        <xdr:cNvCxnSpPr/>
      </xdr:nvCxnSpPr>
      <xdr:spPr>
        <a:xfrm flipH="1" flipV="1">
          <a:off x="3481009" y="4438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243</xdr:row>
      <xdr:rowOff>123824</xdr:rowOff>
    </xdr:from>
    <xdr:to>
      <xdr:col>5</xdr:col>
      <xdr:colOff>1428750</xdr:colOff>
      <xdr:row>243</xdr:row>
      <xdr:rowOff>1219199</xdr:rowOff>
    </xdr:to>
    <xdr:sp macro="" textlink="">
      <xdr:nvSpPr>
        <xdr:cNvPr id="1096" name="Rounded Rectangle 1095">
          <a:extLst>
            <a:ext uri="{FF2B5EF4-FFF2-40B4-BE49-F238E27FC236}">
              <a16:creationId xmlns:a16="http://schemas.microsoft.com/office/drawing/2014/main" id="{00000000-0008-0000-0600-000048040000}"/>
            </a:ext>
          </a:extLst>
        </xdr:cNvPr>
        <xdr:cNvSpPr/>
      </xdr:nvSpPr>
      <xdr:spPr>
        <a:xfrm>
          <a:off x="3745230" y="445636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243</xdr:row>
      <xdr:rowOff>238127</xdr:rowOff>
    </xdr:from>
    <xdr:to>
      <xdr:col>5</xdr:col>
      <xdr:colOff>790575</xdr:colOff>
      <xdr:row>243</xdr:row>
      <xdr:rowOff>361950</xdr:rowOff>
    </xdr:to>
    <xdr:cxnSp macro="">
      <xdr:nvCxnSpPr>
        <xdr:cNvPr id="1097" name="Straight Connector 1096">
          <a:extLst>
            <a:ext uri="{FF2B5EF4-FFF2-40B4-BE49-F238E27FC236}">
              <a16:creationId xmlns:a16="http://schemas.microsoft.com/office/drawing/2014/main" id="{00000000-0008-0000-0600-000049040000}"/>
            </a:ext>
          </a:extLst>
        </xdr:cNvPr>
        <xdr:cNvCxnSpPr/>
      </xdr:nvCxnSpPr>
      <xdr:spPr>
        <a:xfrm flipH="1" flipV="1">
          <a:off x="3749041" y="446246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243</xdr:row>
      <xdr:rowOff>133352</xdr:rowOff>
    </xdr:from>
    <xdr:to>
      <xdr:col>5</xdr:col>
      <xdr:colOff>885825</xdr:colOff>
      <xdr:row>243</xdr:row>
      <xdr:rowOff>257175</xdr:rowOff>
    </xdr:to>
    <xdr:cxnSp macro="">
      <xdr:nvCxnSpPr>
        <xdr:cNvPr id="1098" name="Straight Connector 1097">
          <a:extLst>
            <a:ext uri="{FF2B5EF4-FFF2-40B4-BE49-F238E27FC236}">
              <a16:creationId xmlns:a16="http://schemas.microsoft.com/office/drawing/2014/main" id="{00000000-0008-0000-0600-00004A040000}"/>
            </a:ext>
          </a:extLst>
        </xdr:cNvPr>
        <xdr:cNvCxnSpPr/>
      </xdr:nvCxnSpPr>
      <xdr:spPr>
        <a:xfrm flipH="1" flipV="1">
          <a:off x="3745231" y="445731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247</xdr:row>
      <xdr:rowOff>127000</xdr:rowOff>
    </xdr:from>
    <xdr:to>
      <xdr:col>5</xdr:col>
      <xdr:colOff>356235</xdr:colOff>
      <xdr:row>247</xdr:row>
      <xdr:rowOff>309880</xdr:rowOff>
    </xdr:to>
    <xdr:cxnSp macro="">
      <xdr:nvCxnSpPr>
        <xdr:cNvPr id="1099" name="Straight Connector 1098">
          <a:extLst>
            <a:ext uri="{FF2B5EF4-FFF2-40B4-BE49-F238E27FC236}">
              <a16:creationId xmlns:a16="http://schemas.microsoft.com/office/drawing/2014/main" id="{00000000-0008-0000-0600-00004B040000}"/>
            </a:ext>
          </a:extLst>
        </xdr:cNvPr>
        <xdr:cNvCxnSpPr/>
      </xdr:nvCxnSpPr>
      <xdr:spPr>
        <a:xfrm flipH="1" flipV="1">
          <a:off x="3480435" y="4529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247</xdr:row>
      <xdr:rowOff>400050</xdr:rowOff>
    </xdr:from>
    <xdr:to>
      <xdr:col>5</xdr:col>
      <xdr:colOff>1666875</xdr:colOff>
      <xdr:row>247</xdr:row>
      <xdr:rowOff>400050</xdr:rowOff>
    </xdr:to>
    <xdr:cxnSp macro="">
      <xdr:nvCxnSpPr>
        <xdr:cNvPr id="1100" name="Straight Connector 1099">
          <a:extLst>
            <a:ext uri="{FF2B5EF4-FFF2-40B4-BE49-F238E27FC236}">
              <a16:creationId xmlns:a16="http://schemas.microsoft.com/office/drawing/2014/main" id="{00000000-0008-0000-0600-00004C040000}"/>
            </a:ext>
          </a:extLst>
        </xdr:cNvPr>
        <xdr:cNvCxnSpPr/>
      </xdr:nvCxnSpPr>
      <xdr:spPr>
        <a:xfrm>
          <a:off x="3476625" y="4535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247</xdr:row>
      <xdr:rowOff>127000</xdr:rowOff>
    </xdr:from>
    <xdr:to>
      <xdr:col>5</xdr:col>
      <xdr:colOff>356810</xdr:colOff>
      <xdr:row>247</xdr:row>
      <xdr:rowOff>409912</xdr:rowOff>
    </xdr:to>
    <xdr:cxnSp macro="">
      <xdr:nvCxnSpPr>
        <xdr:cNvPr id="1101" name="Straight Connector 1100">
          <a:extLst>
            <a:ext uri="{FF2B5EF4-FFF2-40B4-BE49-F238E27FC236}">
              <a16:creationId xmlns:a16="http://schemas.microsoft.com/office/drawing/2014/main" id="{00000000-0008-0000-0600-00004D040000}"/>
            </a:ext>
          </a:extLst>
        </xdr:cNvPr>
        <xdr:cNvCxnSpPr/>
      </xdr:nvCxnSpPr>
      <xdr:spPr>
        <a:xfrm flipH="1" flipV="1">
          <a:off x="3481009" y="4529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247</xdr:row>
      <xdr:rowOff>134252</xdr:rowOff>
    </xdr:from>
    <xdr:to>
      <xdr:col>5</xdr:col>
      <xdr:colOff>1652211</xdr:colOff>
      <xdr:row>247</xdr:row>
      <xdr:rowOff>417164</xdr:rowOff>
    </xdr:to>
    <xdr:cxnSp macro="">
      <xdr:nvCxnSpPr>
        <xdr:cNvPr id="1102" name="Straight Connector 1101">
          <a:extLst>
            <a:ext uri="{FF2B5EF4-FFF2-40B4-BE49-F238E27FC236}">
              <a16:creationId xmlns:a16="http://schemas.microsoft.com/office/drawing/2014/main" id="{00000000-0008-0000-0600-00004E040000}"/>
            </a:ext>
          </a:extLst>
        </xdr:cNvPr>
        <xdr:cNvCxnSpPr/>
      </xdr:nvCxnSpPr>
      <xdr:spPr>
        <a:xfrm flipH="1" flipV="1">
          <a:off x="3747710" y="4530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248</xdr:row>
      <xdr:rowOff>127000</xdr:rowOff>
    </xdr:from>
    <xdr:to>
      <xdr:col>5</xdr:col>
      <xdr:colOff>356235</xdr:colOff>
      <xdr:row>248</xdr:row>
      <xdr:rowOff>309880</xdr:rowOff>
    </xdr:to>
    <xdr:cxnSp macro="">
      <xdr:nvCxnSpPr>
        <xdr:cNvPr id="1103" name="Straight Connector 1102">
          <a:extLst>
            <a:ext uri="{FF2B5EF4-FFF2-40B4-BE49-F238E27FC236}">
              <a16:creationId xmlns:a16="http://schemas.microsoft.com/office/drawing/2014/main" id="{00000000-0008-0000-0600-00004F040000}"/>
            </a:ext>
          </a:extLst>
        </xdr:cNvPr>
        <xdr:cNvCxnSpPr/>
      </xdr:nvCxnSpPr>
      <xdr:spPr>
        <a:xfrm flipH="1" flipV="1">
          <a:off x="3480435" y="4548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248</xdr:row>
      <xdr:rowOff>152400</xdr:rowOff>
    </xdr:from>
    <xdr:to>
      <xdr:col>5</xdr:col>
      <xdr:colOff>1676400</xdr:colOff>
      <xdr:row>248</xdr:row>
      <xdr:rowOff>152400</xdr:rowOff>
    </xdr:to>
    <xdr:cxnSp macro="">
      <xdr:nvCxnSpPr>
        <xdr:cNvPr id="1104" name="Straight Connector 1103">
          <a:extLst>
            <a:ext uri="{FF2B5EF4-FFF2-40B4-BE49-F238E27FC236}">
              <a16:creationId xmlns:a16="http://schemas.microsoft.com/office/drawing/2014/main" id="{00000000-0008-0000-0600-000050040000}"/>
            </a:ext>
          </a:extLst>
        </xdr:cNvPr>
        <xdr:cNvCxnSpPr/>
      </xdr:nvCxnSpPr>
      <xdr:spPr>
        <a:xfrm>
          <a:off x="3486150" y="4550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248</xdr:row>
      <xdr:rowOff>127000</xdr:rowOff>
    </xdr:from>
    <xdr:to>
      <xdr:col>5</xdr:col>
      <xdr:colOff>356810</xdr:colOff>
      <xdr:row>248</xdr:row>
      <xdr:rowOff>409912</xdr:rowOff>
    </xdr:to>
    <xdr:cxnSp macro="">
      <xdr:nvCxnSpPr>
        <xdr:cNvPr id="1105" name="Straight Connector 1104">
          <a:extLst>
            <a:ext uri="{FF2B5EF4-FFF2-40B4-BE49-F238E27FC236}">
              <a16:creationId xmlns:a16="http://schemas.microsoft.com/office/drawing/2014/main" id="{00000000-0008-0000-0600-000051040000}"/>
            </a:ext>
          </a:extLst>
        </xdr:cNvPr>
        <xdr:cNvCxnSpPr/>
      </xdr:nvCxnSpPr>
      <xdr:spPr>
        <a:xfrm flipH="1" flipV="1">
          <a:off x="3481009" y="4548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248</xdr:row>
      <xdr:rowOff>134252</xdr:rowOff>
    </xdr:from>
    <xdr:to>
      <xdr:col>5</xdr:col>
      <xdr:colOff>1652211</xdr:colOff>
      <xdr:row>248</xdr:row>
      <xdr:rowOff>417164</xdr:rowOff>
    </xdr:to>
    <xdr:cxnSp macro="">
      <xdr:nvCxnSpPr>
        <xdr:cNvPr id="1106" name="Straight Connector 1105">
          <a:extLst>
            <a:ext uri="{FF2B5EF4-FFF2-40B4-BE49-F238E27FC236}">
              <a16:creationId xmlns:a16="http://schemas.microsoft.com/office/drawing/2014/main" id="{00000000-0008-0000-0600-000052040000}"/>
            </a:ext>
          </a:extLst>
        </xdr:cNvPr>
        <xdr:cNvCxnSpPr/>
      </xdr:nvCxnSpPr>
      <xdr:spPr>
        <a:xfrm flipH="1" flipV="1">
          <a:off x="3747710" y="45488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249</xdr:row>
      <xdr:rowOff>123824</xdr:rowOff>
    </xdr:from>
    <xdr:to>
      <xdr:col>5</xdr:col>
      <xdr:colOff>1428750</xdr:colOff>
      <xdr:row>249</xdr:row>
      <xdr:rowOff>1219199</xdr:rowOff>
    </xdr:to>
    <xdr:sp macro="" textlink="">
      <xdr:nvSpPr>
        <xdr:cNvPr id="1107" name="Rounded Rectangle 1106">
          <a:extLst>
            <a:ext uri="{FF2B5EF4-FFF2-40B4-BE49-F238E27FC236}">
              <a16:creationId xmlns:a16="http://schemas.microsoft.com/office/drawing/2014/main" id="{00000000-0008-0000-0600-000053040000}"/>
            </a:ext>
          </a:extLst>
        </xdr:cNvPr>
        <xdr:cNvSpPr/>
      </xdr:nvSpPr>
      <xdr:spPr>
        <a:xfrm>
          <a:off x="3745230" y="4566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249</xdr:row>
      <xdr:rowOff>238127</xdr:rowOff>
    </xdr:from>
    <xdr:to>
      <xdr:col>5</xdr:col>
      <xdr:colOff>790575</xdr:colOff>
      <xdr:row>249</xdr:row>
      <xdr:rowOff>361950</xdr:rowOff>
    </xdr:to>
    <xdr:cxnSp macro="">
      <xdr:nvCxnSpPr>
        <xdr:cNvPr id="1108" name="Straight Connector 1107">
          <a:extLst>
            <a:ext uri="{FF2B5EF4-FFF2-40B4-BE49-F238E27FC236}">
              <a16:creationId xmlns:a16="http://schemas.microsoft.com/office/drawing/2014/main" id="{00000000-0008-0000-0600-000054040000}"/>
            </a:ext>
          </a:extLst>
        </xdr:cNvPr>
        <xdr:cNvCxnSpPr/>
      </xdr:nvCxnSpPr>
      <xdr:spPr>
        <a:xfrm flipH="1" flipV="1">
          <a:off x="3749041" y="4572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249</xdr:row>
      <xdr:rowOff>133352</xdr:rowOff>
    </xdr:from>
    <xdr:to>
      <xdr:col>5</xdr:col>
      <xdr:colOff>885825</xdr:colOff>
      <xdr:row>249</xdr:row>
      <xdr:rowOff>257175</xdr:rowOff>
    </xdr:to>
    <xdr:cxnSp macro="">
      <xdr:nvCxnSpPr>
        <xdr:cNvPr id="1109" name="Straight Connector 1108">
          <a:extLst>
            <a:ext uri="{FF2B5EF4-FFF2-40B4-BE49-F238E27FC236}">
              <a16:creationId xmlns:a16="http://schemas.microsoft.com/office/drawing/2014/main" id="{00000000-0008-0000-0600-000055040000}"/>
            </a:ext>
          </a:extLst>
        </xdr:cNvPr>
        <xdr:cNvCxnSpPr/>
      </xdr:nvCxnSpPr>
      <xdr:spPr>
        <a:xfrm flipH="1" flipV="1">
          <a:off x="3745231" y="4567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247</xdr:row>
      <xdr:rowOff>127000</xdr:rowOff>
    </xdr:from>
    <xdr:to>
      <xdr:col>5</xdr:col>
      <xdr:colOff>356235</xdr:colOff>
      <xdr:row>247</xdr:row>
      <xdr:rowOff>309880</xdr:rowOff>
    </xdr:to>
    <xdr:cxnSp macro="">
      <xdr:nvCxnSpPr>
        <xdr:cNvPr id="1110" name="Straight Connector 1109">
          <a:extLst>
            <a:ext uri="{FF2B5EF4-FFF2-40B4-BE49-F238E27FC236}">
              <a16:creationId xmlns:a16="http://schemas.microsoft.com/office/drawing/2014/main" id="{00000000-0008-0000-0600-000056040000}"/>
            </a:ext>
          </a:extLst>
        </xdr:cNvPr>
        <xdr:cNvCxnSpPr/>
      </xdr:nvCxnSpPr>
      <xdr:spPr>
        <a:xfrm flipH="1" flipV="1">
          <a:off x="3480435" y="4529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247</xdr:row>
      <xdr:rowOff>400050</xdr:rowOff>
    </xdr:from>
    <xdr:to>
      <xdr:col>5</xdr:col>
      <xdr:colOff>1666875</xdr:colOff>
      <xdr:row>247</xdr:row>
      <xdr:rowOff>400050</xdr:rowOff>
    </xdr:to>
    <xdr:cxnSp macro="">
      <xdr:nvCxnSpPr>
        <xdr:cNvPr id="1111" name="Straight Connector 1110">
          <a:extLst>
            <a:ext uri="{FF2B5EF4-FFF2-40B4-BE49-F238E27FC236}">
              <a16:creationId xmlns:a16="http://schemas.microsoft.com/office/drawing/2014/main" id="{00000000-0008-0000-0600-000057040000}"/>
            </a:ext>
          </a:extLst>
        </xdr:cNvPr>
        <xdr:cNvCxnSpPr/>
      </xdr:nvCxnSpPr>
      <xdr:spPr>
        <a:xfrm>
          <a:off x="3476625" y="4535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247</xdr:row>
      <xdr:rowOff>127000</xdr:rowOff>
    </xdr:from>
    <xdr:to>
      <xdr:col>5</xdr:col>
      <xdr:colOff>356810</xdr:colOff>
      <xdr:row>247</xdr:row>
      <xdr:rowOff>409912</xdr:rowOff>
    </xdr:to>
    <xdr:cxnSp macro="">
      <xdr:nvCxnSpPr>
        <xdr:cNvPr id="1112" name="Straight Connector 1111">
          <a:extLst>
            <a:ext uri="{FF2B5EF4-FFF2-40B4-BE49-F238E27FC236}">
              <a16:creationId xmlns:a16="http://schemas.microsoft.com/office/drawing/2014/main" id="{00000000-0008-0000-0600-000058040000}"/>
            </a:ext>
          </a:extLst>
        </xdr:cNvPr>
        <xdr:cNvCxnSpPr/>
      </xdr:nvCxnSpPr>
      <xdr:spPr>
        <a:xfrm flipH="1" flipV="1">
          <a:off x="3481009" y="4529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247</xdr:row>
      <xdr:rowOff>134252</xdr:rowOff>
    </xdr:from>
    <xdr:to>
      <xdr:col>5</xdr:col>
      <xdr:colOff>1652211</xdr:colOff>
      <xdr:row>247</xdr:row>
      <xdr:rowOff>417164</xdr:rowOff>
    </xdr:to>
    <xdr:cxnSp macro="">
      <xdr:nvCxnSpPr>
        <xdr:cNvPr id="1113" name="Straight Connector 1112">
          <a:extLst>
            <a:ext uri="{FF2B5EF4-FFF2-40B4-BE49-F238E27FC236}">
              <a16:creationId xmlns:a16="http://schemas.microsoft.com/office/drawing/2014/main" id="{00000000-0008-0000-0600-000059040000}"/>
            </a:ext>
          </a:extLst>
        </xdr:cNvPr>
        <xdr:cNvCxnSpPr/>
      </xdr:nvCxnSpPr>
      <xdr:spPr>
        <a:xfrm flipH="1" flipV="1">
          <a:off x="3747710" y="4530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248</xdr:row>
      <xdr:rowOff>127000</xdr:rowOff>
    </xdr:from>
    <xdr:to>
      <xdr:col>5</xdr:col>
      <xdr:colOff>356235</xdr:colOff>
      <xdr:row>248</xdr:row>
      <xdr:rowOff>309880</xdr:rowOff>
    </xdr:to>
    <xdr:cxnSp macro="">
      <xdr:nvCxnSpPr>
        <xdr:cNvPr id="1114" name="Straight Connector 1113">
          <a:extLst>
            <a:ext uri="{FF2B5EF4-FFF2-40B4-BE49-F238E27FC236}">
              <a16:creationId xmlns:a16="http://schemas.microsoft.com/office/drawing/2014/main" id="{00000000-0008-0000-0600-00005A040000}"/>
            </a:ext>
          </a:extLst>
        </xdr:cNvPr>
        <xdr:cNvCxnSpPr/>
      </xdr:nvCxnSpPr>
      <xdr:spPr>
        <a:xfrm flipH="1" flipV="1">
          <a:off x="3480435" y="4548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248</xdr:row>
      <xdr:rowOff>152400</xdr:rowOff>
    </xdr:from>
    <xdr:to>
      <xdr:col>5</xdr:col>
      <xdr:colOff>1676400</xdr:colOff>
      <xdr:row>248</xdr:row>
      <xdr:rowOff>152400</xdr:rowOff>
    </xdr:to>
    <xdr:cxnSp macro="">
      <xdr:nvCxnSpPr>
        <xdr:cNvPr id="1115" name="Straight Connector 1114">
          <a:extLst>
            <a:ext uri="{FF2B5EF4-FFF2-40B4-BE49-F238E27FC236}">
              <a16:creationId xmlns:a16="http://schemas.microsoft.com/office/drawing/2014/main" id="{00000000-0008-0000-0600-00005B040000}"/>
            </a:ext>
          </a:extLst>
        </xdr:cNvPr>
        <xdr:cNvCxnSpPr/>
      </xdr:nvCxnSpPr>
      <xdr:spPr>
        <a:xfrm>
          <a:off x="3486150" y="4550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248</xdr:row>
      <xdr:rowOff>127000</xdr:rowOff>
    </xdr:from>
    <xdr:to>
      <xdr:col>5</xdr:col>
      <xdr:colOff>356810</xdr:colOff>
      <xdr:row>248</xdr:row>
      <xdr:rowOff>409912</xdr:rowOff>
    </xdr:to>
    <xdr:cxnSp macro="">
      <xdr:nvCxnSpPr>
        <xdr:cNvPr id="1116" name="Straight Connector 1115">
          <a:extLst>
            <a:ext uri="{FF2B5EF4-FFF2-40B4-BE49-F238E27FC236}">
              <a16:creationId xmlns:a16="http://schemas.microsoft.com/office/drawing/2014/main" id="{00000000-0008-0000-0600-00005C040000}"/>
            </a:ext>
          </a:extLst>
        </xdr:cNvPr>
        <xdr:cNvCxnSpPr/>
      </xdr:nvCxnSpPr>
      <xdr:spPr>
        <a:xfrm flipH="1" flipV="1">
          <a:off x="3481009" y="4548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248</xdr:row>
      <xdr:rowOff>134252</xdr:rowOff>
    </xdr:from>
    <xdr:to>
      <xdr:col>5</xdr:col>
      <xdr:colOff>1652211</xdr:colOff>
      <xdr:row>248</xdr:row>
      <xdr:rowOff>417164</xdr:rowOff>
    </xdr:to>
    <xdr:cxnSp macro="">
      <xdr:nvCxnSpPr>
        <xdr:cNvPr id="1117" name="Straight Connector 1116">
          <a:extLst>
            <a:ext uri="{FF2B5EF4-FFF2-40B4-BE49-F238E27FC236}">
              <a16:creationId xmlns:a16="http://schemas.microsoft.com/office/drawing/2014/main" id="{00000000-0008-0000-0600-00005D040000}"/>
            </a:ext>
          </a:extLst>
        </xdr:cNvPr>
        <xdr:cNvCxnSpPr/>
      </xdr:nvCxnSpPr>
      <xdr:spPr>
        <a:xfrm flipH="1" flipV="1">
          <a:off x="3747710" y="45488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249</xdr:row>
      <xdr:rowOff>123824</xdr:rowOff>
    </xdr:from>
    <xdr:to>
      <xdr:col>5</xdr:col>
      <xdr:colOff>1428750</xdr:colOff>
      <xdr:row>249</xdr:row>
      <xdr:rowOff>1219199</xdr:rowOff>
    </xdr:to>
    <xdr:sp macro="" textlink="">
      <xdr:nvSpPr>
        <xdr:cNvPr id="1118" name="Rounded Rectangle 1117">
          <a:extLst>
            <a:ext uri="{FF2B5EF4-FFF2-40B4-BE49-F238E27FC236}">
              <a16:creationId xmlns:a16="http://schemas.microsoft.com/office/drawing/2014/main" id="{00000000-0008-0000-0600-00005E040000}"/>
            </a:ext>
          </a:extLst>
        </xdr:cNvPr>
        <xdr:cNvSpPr/>
      </xdr:nvSpPr>
      <xdr:spPr>
        <a:xfrm>
          <a:off x="3745230" y="4566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249</xdr:row>
      <xdr:rowOff>238127</xdr:rowOff>
    </xdr:from>
    <xdr:to>
      <xdr:col>5</xdr:col>
      <xdr:colOff>790575</xdr:colOff>
      <xdr:row>249</xdr:row>
      <xdr:rowOff>361950</xdr:rowOff>
    </xdr:to>
    <xdr:cxnSp macro="">
      <xdr:nvCxnSpPr>
        <xdr:cNvPr id="1119" name="Straight Connector 1118">
          <a:extLst>
            <a:ext uri="{FF2B5EF4-FFF2-40B4-BE49-F238E27FC236}">
              <a16:creationId xmlns:a16="http://schemas.microsoft.com/office/drawing/2014/main" id="{00000000-0008-0000-0600-00005F040000}"/>
            </a:ext>
          </a:extLst>
        </xdr:cNvPr>
        <xdr:cNvCxnSpPr/>
      </xdr:nvCxnSpPr>
      <xdr:spPr>
        <a:xfrm flipH="1" flipV="1">
          <a:off x="3749041" y="4572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249</xdr:row>
      <xdr:rowOff>133352</xdr:rowOff>
    </xdr:from>
    <xdr:to>
      <xdr:col>5</xdr:col>
      <xdr:colOff>885825</xdr:colOff>
      <xdr:row>249</xdr:row>
      <xdr:rowOff>257175</xdr:rowOff>
    </xdr:to>
    <xdr:cxnSp macro="">
      <xdr:nvCxnSpPr>
        <xdr:cNvPr id="1120" name="Straight Connector 1119">
          <a:extLst>
            <a:ext uri="{FF2B5EF4-FFF2-40B4-BE49-F238E27FC236}">
              <a16:creationId xmlns:a16="http://schemas.microsoft.com/office/drawing/2014/main" id="{00000000-0008-0000-0600-000060040000}"/>
            </a:ext>
          </a:extLst>
        </xdr:cNvPr>
        <xdr:cNvCxnSpPr/>
      </xdr:nvCxnSpPr>
      <xdr:spPr>
        <a:xfrm flipH="1" flipV="1">
          <a:off x="3745231" y="4567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247</xdr:row>
      <xdr:rowOff>127000</xdr:rowOff>
    </xdr:from>
    <xdr:to>
      <xdr:col>5</xdr:col>
      <xdr:colOff>356235</xdr:colOff>
      <xdr:row>247</xdr:row>
      <xdr:rowOff>309880</xdr:rowOff>
    </xdr:to>
    <xdr:cxnSp macro="">
      <xdr:nvCxnSpPr>
        <xdr:cNvPr id="1121" name="Straight Connector 1120">
          <a:extLst>
            <a:ext uri="{FF2B5EF4-FFF2-40B4-BE49-F238E27FC236}">
              <a16:creationId xmlns:a16="http://schemas.microsoft.com/office/drawing/2014/main" id="{00000000-0008-0000-0600-000061040000}"/>
            </a:ext>
          </a:extLst>
        </xdr:cNvPr>
        <xdr:cNvCxnSpPr/>
      </xdr:nvCxnSpPr>
      <xdr:spPr>
        <a:xfrm flipH="1" flipV="1">
          <a:off x="3480435" y="4529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247</xdr:row>
      <xdr:rowOff>400050</xdr:rowOff>
    </xdr:from>
    <xdr:to>
      <xdr:col>5</xdr:col>
      <xdr:colOff>1666875</xdr:colOff>
      <xdr:row>247</xdr:row>
      <xdr:rowOff>400050</xdr:rowOff>
    </xdr:to>
    <xdr:cxnSp macro="">
      <xdr:nvCxnSpPr>
        <xdr:cNvPr id="1122" name="Straight Connector 1121">
          <a:extLst>
            <a:ext uri="{FF2B5EF4-FFF2-40B4-BE49-F238E27FC236}">
              <a16:creationId xmlns:a16="http://schemas.microsoft.com/office/drawing/2014/main" id="{00000000-0008-0000-0600-000062040000}"/>
            </a:ext>
          </a:extLst>
        </xdr:cNvPr>
        <xdr:cNvCxnSpPr/>
      </xdr:nvCxnSpPr>
      <xdr:spPr>
        <a:xfrm>
          <a:off x="3476625" y="4535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247</xdr:row>
      <xdr:rowOff>127000</xdr:rowOff>
    </xdr:from>
    <xdr:to>
      <xdr:col>5</xdr:col>
      <xdr:colOff>356810</xdr:colOff>
      <xdr:row>247</xdr:row>
      <xdr:rowOff>409912</xdr:rowOff>
    </xdr:to>
    <xdr:cxnSp macro="">
      <xdr:nvCxnSpPr>
        <xdr:cNvPr id="1123" name="Straight Connector 1122">
          <a:extLst>
            <a:ext uri="{FF2B5EF4-FFF2-40B4-BE49-F238E27FC236}">
              <a16:creationId xmlns:a16="http://schemas.microsoft.com/office/drawing/2014/main" id="{00000000-0008-0000-0600-000063040000}"/>
            </a:ext>
          </a:extLst>
        </xdr:cNvPr>
        <xdr:cNvCxnSpPr/>
      </xdr:nvCxnSpPr>
      <xdr:spPr>
        <a:xfrm flipH="1" flipV="1">
          <a:off x="3481009" y="4529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247</xdr:row>
      <xdr:rowOff>134252</xdr:rowOff>
    </xdr:from>
    <xdr:to>
      <xdr:col>5</xdr:col>
      <xdr:colOff>1652211</xdr:colOff>
      <xdr:row>247</xdr:row>
      <xdr:rowOff>417164</xdr:rowOff>
    </xdr:to>
    <xdr:cxnSp macro="">
      <xdr:nvCxnSpPr>
        <xdr:cNvPr id="1124" name="Straight Connector 1123">
          <a:extLst>
            <a:ext uri="{FF2B5EF4-FFF2-40B4-BE49-F238E27FC236}">
              <a16:creationId xmlns:a16="http://schemas.microsoft.com/office/drawing/2014/main" id="{00000000-0008-0000-0600-000064040000}"/>
            </a:ext>
          </a:extLst>
        </xdr:cNvPr>
        <xdr:cNvCxnSpPr/>
      </xdr:nvCxnSpPr>
      <xdr:spPr>
        <a:xfrm flipH="1" flipV="1">
          <a:off x="3747710" y="4530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248</xdr:row>
      <xdr:rowOff>127000</xdr:rowOff>
    </xdr:from>
    <xdr:to>
      <xdr:col>5</xdr:col>
      <xdr:colOff>356235</xdr:colOff>
      <xdr:row>248</xdr:row>
      <xdr:rowOff>309880</xdr:rowOff>
    </xdr:to>
    <xdr:cxnSp macro="">
      <xdr:nvCxnSpPr>
        <xdr:cNvPr id="1125" name="Straight Connector 1124">
          <a:extLst>
            <a:ext uri="{FF2B5EF4-FFF2-40B4-BE49-F238E27FC236}">
              <a16:creationId xmlns:a16="http://schemas.microsoft.com/office/drawing/2014/main" id="{00000000-0008-0000-0600-000065040000}"/>
            </a:ext>
          </a:extLst>
        </xdr:cNvPr>
        <xdr:cNvCxnSpPr/>
      </xdr:nvCxnSpPr>
      <xdr:spPr>
        <a:xfrm flipH="1" flipV="1">
          <a:off x="3480435" y="4548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248</xdr:row>
      <xdr:rowOff>152400</xdr:rowOff>
    </xdr:from>
    <xdr:to>
      <xdr:col>5</xdr:col>
      <xdr:colOff>1676400</xdr:colOff>
      <xdr:row>248</xdr:row>
      <xdr:rowOff>152400</xdr:rowOff>
    </xdr:to>
    <xdr:cxnSp macro="">
      <xdr:nvCxnSpPr>
        <xdr:cNvPr id="1126" name="Straight Connector 1125">
          <a:extLst>
            <a:ext uri="{FF2B5EF4-FFF2-40B4-BE49-F238E27FC236}">
              <a16:creationId xmlns:a16="http://schemas.microsoft.com/office/drawing/2014/main" id="{00000000-0008-0000-0600-000066040000}"/>
            </a:ext>
          </a:extLst>
        </xdr:cNvPr>
        <xdr:cNvCxnSpPr/>
      </xdr:nvCxnSpPr>
      <xdr:spPr>
        <a:xfrm>
          <a:off x="3486150" y="4550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248</xdr:row>
      <xdr:rowOff>127000</xdr:rowOff>
    </xdr:from>
    <xdr:to>
      <xdr:col>5</xdr:col>
      <xdr:colOff>356810</xdr:colOff>
      <xdr:row>248</xdr:row>
      <xdr:rowOff>409912</xdr:rowOff>
    </xdr:to>
    <xdr:cxnSp macro="">
      <xdr:nvCxnSpPr>
        <xdr:cNvPr id="1127" name="Straight Connector 1126">
          <a:extLst>
            <a:ext uri="{FF2B5EF4-FFF2-40B4-BE49-F238E27FC236}">
              <a16:creationId xmlns:a16="http://schemas.microsoft.com/office/drawing/2014/main" id="{00000000-0008-0000-0600-000067040000}"/>
            </a:ext>
          </a:extLst>
        </xdr:cNvPr>
        <xdr:cNvCxnSpPr/>
      </xdr:nvCxnSpPr>
      <xdr:spPr>
        <a:xfrm flipH="1" flipV="1">
          <a:off x="3481009" y="4548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248</xdr:row>
      <xdr:rowOff>134252</xdr:rowOff>
    </xdr:from>
    <xdr:to>
      <xdr:col>5</xdr:col>
      <xdr:colOff>1652211</xdr:colOff>
      <xdr:row>248</xdr:row>
      <xdr:rowOff>417164</xdr:rowOff>
    </xdr:to>
    <xdr:cxnSp macro="">
      <xdr:nvCxnSpPr>
        <xdr:cNvPr id="1128" name="Straight Connector 1127">
          <a:extLst>
            <a:ext uri="{FF2B5EF4-FFF2-40B4-BE49-F238E27FC236}">
              <a16:creationId xmlns:a16="http://schemas.microsoft.com/office/drawing/2014/main" id="{00000000-0008-0000-0600-000068040000}"/>
            </a:ext>
          </a:extLst>
        </xdr:cNvPr>
        <xdr:cNvCxnSpPr/>
      </xdr:nvCxnSpPr>
      <xdr:spPr>
        <a:xfrm flipH="1" flipV="1">
          <a:off x="3747710" y="45488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249</xdr:row>
      <xdr:rowOff>123824</xdr:rowOff>
    </xdr:from>
    <xdr:to>
      <xdr:col>5</xdr:col>
      <xdr:colOff>1428750</xdr:colOff>
      <xdr:row>249</xdr:row>
      <xdr:rowOff>1219199</xdr:rowOff>
    </xdr:to>
    <xdr:sp macro="" textlink="">
      <xdr:nvSpPr>
        <xdr:cNvPr id="1129" name="Rounded Rectangle 1128">
          <a:extLst>
            <a:ext uri="{FF2B5EF4-FFF2-40B4-BE49-F238E27FC236}">
              <a16:creationId xmlns:a16="http://schemas.microsoft.com/office/drawing/2014/main" id="{00000000-0008-0000-0600-000069040000}"/>
            </a:ext>
          </a:extLst>
        </xdr:cNvPr>
        <xdr:cNvSpPr/>
      </xdr:nvSpPr>
      <xdr:spPr>
        <a:xfrm>
          <a:off x="3745230" y="4566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249</xdr:row>
      <xdr:rowOff>238127</xdr:rowOff>
    </xdr:from>
    <xdr:to>
      <xdr:col>5</xdr:col>
      <xdr:colOff>790575</xdr:colOff>
      <xdr:row>249</xdr:row>
      <xdr:rowOff>361950</xdr:rowOff>
    </xdr:to>
    <xdr:cxnSp macro="">
      <xdr:nvCxnSpPr>
        <xdr:cNvPr id="1130" name="Straight Connector 1129">
          <a:extLst>
            <a:ext uri="{FF2B5EF4-FFF2-40B4-BE49-F238E27FC236}">
              <a16:creationId xmlns:a16="http://schemas.microsoft.com/office/drawing/2014/main" id="{00000000-0008-0000-0600-00006A040000}"/>
            </a:ext>
          </a:extLst>
        </xdr:cNvPr>
        <xdr:cNvCxnSpPr/>
      </xdr:nvCxnSpPr>
      <xdr:spPr>
        <a:xfrm flipH="1" flipV="1">
          <a:off x="3749041" y="4572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249</xdr:row>
      <xdr:rowOff>133352</xdr:rowOff>
    </xdr:from>
    <xdr:to>
      <xdr:col>5</xdr:col>
      <xdr:colOff>885825</xdr:colOff>
      <xdr:row>249</xdr:row>
      <xdr:rowOff>257175</xdr:rowOff>
    </xdr:to>
    <xdr:cxnSp macro="">
      <xdr:nvCxnSpPr>
        <xdr:cNvPr id="1131" name="Straight Connector 1130">
          <a:extLst>
            <a:ext uri="{FF2B5EF4-FFF2-40B4-BE49-F238E27FC236}">
              <a16:creationId xmlns:a16="http://schemas.microsoft.com/office/drawing/2014/main" id="{00000000-0008-0000-0600-00006B040000}"/>
            </a:ext>
          </a:extLst>
        </xdr:cNvPr>
        <xdr:cNvCxnSpPr/>
      </xdr:nvCxnSpPr>
      <xdr:spPr>
        <a:xfrm flipH="1" flipV="1">
          <a:off x="3745231" y="4567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247</xdr:row>
      <xdr:rowOff>127000</xdr:rowOff>
    </xdr:from>
    <xdr:to>
      <xdr:col>5</xdr:col>
      <xdr:colOff>356235</xdr:colOff>
      <xdr:row>247</xdr:row>
      <xdr:rowOff>309880</xdr:rowOff>
    </xdr:to>
    <xdr:cxnSp macro="">
      <xdr:nvCxnSpPr>
        <xdr:cNvPr id="1132" name="Straight Connector 1131">
          <a:extLst>
            <a:ext uri="{FF2B5EF4-FFF2-40B4-BE49-F238E27FC236}">
              <a16:creationId xmlns:a16="http://schemas.microsoft.com/office/drawing/2014/main" id="{00000000-0008-0000-0600-00006C040000}"/>
            </a:ext>
          </a:extLst>
        </xdr:cNvPr>
        <xdr:cNvCxnSpPr/>
      </xdr:nvCxnSpPr>
      <xdr:spPr>
        <a:xfrm flipH="1" flipV="1">
          <a:off x="3480435" y="4529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247</xdr:row>
      <xdr:rowOff>400050</xdr:rowOff>
    </xdr:from>
    <xdr:to>
      <xdr:col>5</xdr:col>
      <xdr:colOff>1666875</xdr:colOff>
      <xdr:row>247</xdr:row>
      <xdr:rowOff>400050</xdr:rowOff>
    </xdr:to>
    <xdr:cxnSp macro="">
      <xdr:nvCxnSpPr>
        <xdr:cNvPr id="1133" name="Straight Connector 1132">
          <a:extLst>
            <a:ext uri="{FF2B5EF4-FFF2-40B4-BE49-F238E27FC236}">
              <a16:creationId xmlns:a16="http://schemas.microsoft.com/office/drawing/2014/main" id="{00000000-0008-0000-0600-00006D040000}"/>
            </a:ext>
          </a:extLst>
        </xdr:cNvPr>
        <xdr:cNvCxnSpPr/>
      </xdr:nvCxnSpPr>
      <xdr:spPr>
        <a:xfrm>
          <a:off x="3476625" y="4535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247</xdr:row>
      <xdr:rowOff>127000</xdr:rowOff>
    </xdr:from>
    <xdr:to>
      <xdr:col>5</xdr:col>
      <xdr:colOff>356810</xdr:colOff>
      <xdr:row>247</xdr:row>
      <xdr:rowOff>409912</xdr:rowOff>
    </xdr:to>
    <xdr:cxnSp macro="">
      <xdr:nvCxnSpPr>
        <xdr:cNvPr id="1134" name="Straight Connector 1133">
          <a:extLst>
            <a:ext uri="{FF2B5EF4-FFF2-40B4-BE49-F238E27FC236}">
              <a16:creationId xmlns:a16="http://schemas.microsoft.com/office/drawing/2014/main" id="{00000000-0008-0000-0600-00006E040000}"/>
            </a:ext>
          </a:extLst>
        </xdr:cNvPr>
        <xdr:cNvCxnSpPr/>
      </xdr:nvCxnSpPr>
      <xdr:spPr>
        <a:xfrm flipH="1" flipV="1">
          <a:off x="3481009" y="4529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247</xdr:row>
      <xdr:rowOff>134252</xdr:rowOff>
    </xdr:from>
    <xdr:to>
      <xdr:col>5</xdr:col>
      <xdr:colOff>1652211</xdr:colOff>
      <xdr:row>247</xdr:row>
      <xdr:rowOff>417164</xdr:rowOff>
    </xdr:to>
    <xdr:cxnSp macro="">
      <xdr:nvCxnSpPr>
        <xdr:cNvPr id="1135" name="Straight Connector 1134">
          <a:extLst>
            <a:ext uri="{FF2B5EF4-FFF2-40B4-BE49-F238E27FC236}">
              <a16:creationId xmlns:a16="http://schemas.microsoft.com/office/drawing/2014/main" id="{00000000-0008-0000-0600-00006F040000}"/>
            </a:ext>
          </a:extLst>
        </xdr:cNvPr>
        <xdr:cNvCxnSpPr/>
      </xdr:nvCxnSpPr>
      <xdr:spPr>
        <a:xfrm flipH="1" flipV="1">
          <a:off x="3747710" y="4530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248</xdr:row>
      <xdr:rowOff>127000</xdr:rowOff>
    </xdr:from>
    <xdr:to>
      <xdr:col>5</xdr:col>
      <xdr:colOff>356235</xdr:colOff>
      <xdr:row>248</xdr:row>
      <xdr:rowOff>309880</xdr:rowOff>
    </xdr:to>
    <xdr:cxnSp macro="">
      <xdr:nvCxnSpPr>
        <xdr:cNvPr id="1136" name="Straight Connector 1135">
          <a:extLst>
            <a:ext uri="{FF2B5EF4-FFF2-40B4-BE49-F238E27FC236}">
              <a16:creationId xmlns:a16="http://schemas.microsoft.com/office/drawing/2014/main" id="{00000000-0008-0000-0600-000070040000}"/>
            </a:ext>
          </a:extLst>
        </xdr:cNvPr>
        <xdr:cNvCxnSpPr/>
      </xdr:nvCxnSpPr>
      <xdr:spPr>
        <a:xfrm flipH="1" flipV="1">
          <a:off x="3480435" y="4548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248</xdr:row>
      <xdr:rowOff>152400</xdr:rowOff>
    </xdr:from>
    <xdr:to>
      <xdr:col>5</xdr:col>
      <xdr:colOff>1676400</xdr:colOff>
      <xdr:row>248</xdr:row>
      <xdr:rowOff>152400</xdr:rowOff>
    </xdr:to>
    <xdr:cxnSp macro="">
      <xdr:nvCxnSpPr>
        <xdr:cNvPr id="1137" name="Straight Connector 1136">
          <a:extLst>
            <a:ext uri="{FF2B5EF4-FFF2-40B4-BE49-F238E27FC236}">
              <a16:creationId xmlns:a16="http://schemas.microsoft.com/office/drawing/2014/main" id="{00000000-0008-0000-0600-000071040000}"/>
            </a:ext>
          </a:extLst>
        </xdr:cNvPr>
        <xdr:cNvCxnSpPr/>
      </xdr:nvCxnSpPr>
      <xdr:spPr>
        <a:xfrm>
          <a:off x="3486150" y="4550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248</xdr:row>
      <xdr:rowOff>127000</xdr:rowOff>
    </xdr:from>
    <xdr:to>
      <xdr:col>5</xdr:col>
      <xdr:colOff>356810</xdr:colOff>
      <xdr:row>248</xdr:row>
      <xdr:rowOff>409912</xdr:rowOff>
    </xdr:to>
    <xdr:cxnSp macro="">
      <xdr:nvCxnSpPr>
        <xdr:cNvPr id="1138" name="Straight Connector 1137">
          <a:extLst>
            <a:ext uri="{FF2B5EF4-FFF2-40B4-BE49-F238E27FC236}">
              <a16:creationId xmlns:a16="http://schemas.microsoft.com/office/drawing/2014/main" id="{00000000-0008-0000-0600-000072040000}"/>
            </a:ext>
          </a:extLst>
        </xdr:cNvPr>
        <xdr:cNvCxnSpPr/>
      </xdr:nvCxnSpPr>
      <xdr:spPr>
        <a:xfrm flipH="1" flipV="1">
          <a:off x="3481009" y="4548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249</xdr:row>
      <xdr:rowOff>123824</xdr:rowOff>
    </xdr:from>
    <xdr:to>
      <xdr:col>5</xdr:col>
      <xdr:colOff>1428750</xdr:colOff>
      <xdr:row>249</xdr:row>
      <xdr:rowOff>1219199</xdr:rowOff>
    </xdr:to>
    <xdr:sp macro="" textlink="">
      <xdr:nvSpPr>
        <xdr:cNvPr id="1139" name="Rounded Rectangle 1138">
          <a:extLst>
            <a:ext uri="{FF2B5EF4-FFF2-40B4-BE49-F238E27FC236}">
              <a16:creationId xmlns:a16="http://schemas.microsoft.com/office/drawing/2014/main" id="{00000000-0008-0000-0600-000073040000}"/>
            </a:ext>
          </a:extLst>
        </xdr:cNvPr>
        <xdr:cNvSpPr/>
      </xdr:nvSpPr>
      <xdr:spPr>
        <a:xfrm>
          <a:off x="3745230" y="4566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249</xdr:row>
      <xdr:rowOff>238127</xdr:rowOff>
    </xdr:from>
    <xdr:to>
      <xdr:col>5</xdr:col>
      <xdr:colOff>790575</xdr:colOff>
      <xdr:row>249</xdr:row>
      <xdr:rowOff>361950</xdr:rowOff>
    </xdr:to>
    <xdr:cxnSp macro="">
      <xdr:nvCxnSpPr>
        <xdr:cNvPr id="1140" name="Straight Connector 1139">
          <a:extLst>
            <a:ext uri="{FF2B5EF4-FFF2-40B4-BE49-F238E27FC236}">
              <a16:creationId xmlns:a16="http://schemas.microsoft.com/office/drawing/2014/main" id="{00000000-0008-0000-0600-000074040000}"/>
            </a:ext>
          </a:extLst>
        </xdr:cNvPr>
        <xdr:cNvCxnSpPr/>
      </xdr:nvCxnSpPr>
      <xdr:spPr>
        <a:xfrm flipH="1" flipV="1">
          <a:off x="3749041" y="4572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249</xdr:row>
      <xdr:rowOff>133352</xdr:rowOff>
    </xdr:from>
    <xdr:to>
      <xdr:col>5</xdr:col>
      <xdr:colOff>885825</xdr:colOff>
      <xdr:row>249</xdr:row>
      <xdr:rowOff>257175</xdr:rowOff>
    </xdr:to>
    <xdr:cxnSp macro="">
      <xdr:nvCxnSpPr>
        <xdr:cNvPr id="1141" name="Straight Connector 1140">
          <a:extLst>
            <a:ext uri="{FF2B5EF4-FFF2-40B4-BE49-F238E27FC236}">
              <a16:creationId xmlns:a16="http://schemas.microsoft.com/office/drawing/2014/main" id="{00000000-0008-0000-0600-000075040000}"/>
            </a:ext>
          </a:extLst>
        </xdr:cNvPr>
        <xdr:cNvCxnSpPr/>
      </xdr:nvCxnSpPr>
      <xdr:spPr>
        <a:xfrm flipH="1" flipV="1">
          <a:off x="3745231" y="4567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253</xdr:row>
      <xdr:rowOff>127000</xdr:rowOff>
    </xdr:from>
    <xdr:to>
      <xdr:col>5</xdr:col>
      <xdr:colOff>356235</xdr:colOff>
      <xdr:row>253</xdr:row>
      <xdr:rowOff>309880</xdr:rowOff>
    </xdr:to>
    <xdr:cxnSp macro="">
      <xdr:nvCxnSpPr>
        <xdr:cNvPr id="1142" name="Straight Connector 1141">
          <a:extLst>
            <a:ext uri="{FF2B5EF4-FFF2-40B4-BE49-F238E27FC236}">
              <a16:creationId xmlns:a16="http://schemas.microsoft.com/office/drawing/2014/main" id="{00000000-0008-0000-0600-000076040000}"/>
            </a:ext>
          </a:extLst>
        </xdr:cNvPr>
        <xdr:cNvCxnSpPr/>
      </xdr:nvCxnSpPr>
      <xdr:spPr>
        <a:xfrm flipH="1" flipV="1">
          <a:off x="3480435" y="463956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253</xdr:row>
      <xdr:rowOff>400050</xdr:rowOff>
    </xdr:from>
    <xdr:to>
      <xdr:col>5</xdr:col>
      <xdr:colOff>1666875</xdr:colOff>
      <xdr:row>253</xdr:row>
      <xdr:rowOff>400050</xdr:rowOff>
    </xdr:to>
    <xdr:cxnSp macro="">
      <xdr:nvCxnSpPr>
        <xdr:cNvPr id="1143" name="Straight Connector 1142">
          <a:extLst>
            <a:ext uri="{FF2B5EF4-FFF2-40B4-BE49-F238E27FC236}">
              <a16:creationId xmlns:a16="http://schemas.microsoft.com/office/drawing/2014/main" id="{00000000-0008-0000-0600-000077040000}"/>
            </a:ext>
          </a:extLst>
        </xdr:cNvPr>
        <xdr:cNvCxnSpPr/>
      </xdr:nvCxnSpPr>
      <xdr:spPr>
        <a:xfrm>
          <a:off x="3476625" y="464477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253</xdr:row>
      <xdr:rowOff>127000</xdr:rowOff>
    </xdr:from>
    <xdr:to>
      <xdr:col>5</xdr:col>
      <xdr:colOff>356810</xdr:colOff>
      <xdr:row>253</xdr:row>
      <xdr:rowOff>409912</xdr:rowOff>
    </xdr:to>
    <xdr:cxnSp macro="">
      <xdr:nvCxnSpPr>
        <xdr:cNvPr id="1144" name="Straight Connector 1143">
          <a:extLst>
            <a:ext uri="{FF2B5EF4-FFF2-40B4-BE49-F238E27FC236}">
              <a16:creationId xmlns:a16="http://schemas.microsoft.com/office/drawing/2014/main" id="{00000000-0008-0000-0600-000078040000}"/>
            </a:ext>
          </a:extLst>
        </xdr:cNvPr>
        <xdr:cNvCxnSpPr/>
      </xdr:nvCxnSpPr>
      <xdr:spPr>
        <a:xfrm flipH="1" flipV="1">
          <a:off x="3481009" y="463956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253</xdr:row>
      <xdr:rowOff>134252</xdr:rowOff>
    </xdr:from>
    <xdr:to>
      <xdr:col>5</xdr:col>
      <xdr:colOff>1652211</xdr:colOff>
      <xdr:row>253</xdr:row>
      <xdr:rowOff>417164</xdr:rowOff>
    </xdr:to>
    <xdr:cxnSp macro="">
      <xdr:nvCxnSpPr>
        <xdr:cNvPr id="1145" name="Straight Connector 1144">
          <a:extLst>
            <a:ext uri="{FF2B5EF4-FFF2-40B4-BE49-F238E27FC236}">
              <a16:creationId xmlns:a16="http://schemas.microsoft.com/office/drawing/2014/main" id="{00000000-0008-0000-0600-000079040000}"/>
            </a:ext>
          </a:extLst>
        </xdr:cNvPr>
        <xdr:cNvCxnSpPr/>
      </xdr:nvCxnSpPr>
      <xdr:spPr>
        <a:xfrm flipH="1" flipV="1">
          <a:off x="3747710" y="464028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254</xdr:row>
      <xdr:rowOff>127000</xdr:rowOff>
    </xdr:from>
    <xdr:to>
      <xdr:col>5</xdr:col>
      <xdr:colOff>356235</xdr:colOff>
      <xdr:row>254</xdr:row>
      <xdr:rowOff>309880</xdr:rowOff>
    </xdr:to>
    <xdr:cxnSp macro="">
      <xdr:nvCxnSpPr>
        <xdr:cNvPr id="1146" name="Straight Connector 1145">
          <a:extLst>
            <a:ext uri="{FF2B5EF4-FFF2-40B4-BE49-F238E27FC236}">
              <a16:creationId xmlns:a16="http://schemas.microsoft.com/office/drawing/2014/main" id="{00000000-0008-0000-0600-00007A040000}"/>
            </a:ext>
          </a:extLst>
        </xdr:cNvPr>
        <xdr:cNvCxnSpPr/>
      </xdr:nvCxnSpPr>
      <xdr:spPr>
        <a:xfrm flipH="1" flipV="1">
          <a:off x="3480435" y="465785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254</xdr:row>
      <xdr:rowOff>152400</xdr:rowOff>
    </xdr:from>
    <xdr:to>
      <xdr:col>5</xdr:col>
      <xdr:colOff>1676400</xdr:colOff>
      <xdr:row>254</xdr:row>
      <xdr:rowOff>152400</xdr:rowOff>
    </xdr:to>
    <xdr:cxnSp macro="">
      <xdr:nvCxnSpPr>
        <xdr:cNvPr id="1147" name="Straight Connector 1146">
          <a:extLst>
            <a:ext uri="{FF2B5EF4-FFF2-40B4-BE49-F238E27FC236}">
              <a16:creationId xmlns:a16="http://schemas.microsoft.com/office/drawing/2014/main" id="{00000000-0008-0000-0600-00007B040000}"/>
            </a:ext>
          </a:extLst>
        </xdr:cNvPr>
        <xdr:cNvCxnSpPr/>
      </xdr:nvCxnSpPr>
      <xdr:spPr>
        <a:xfrm>
          <a:off x="3486150" y="466039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254</xdr:row>
      <xdr:rowOff>127000</xdr:rowOff>
    </xdr:from>
    <xdr:to>
      <xdr:col>5</xdr:col>
      <xdr:colOff>356810</xdr:colOff>
      <xdr:row>254</xdr:row>
      <xdr:rowOff>409912</xdr:rowOff>
    </xdr:to>
    <xdr:cxnSp macro="">
      <xdr:nvCxnSpPr>
        <xdr:cNvPr id="1148" name="Straight Connector 1147">
          <a:extLst>
            <a:ext uri="{FF2B5EF4-FFF2-40B4-BE49-F238E27FC236}">
              <a16:creationId xmlns:a16="http://schemas.microsoft.com/office/drawing/2014/main" id="{00000000-0008-0000-0600-00007C040000}"/>
            </a:ext>
          </a:extLst>
        </xdr:cNvPr>
        <xdr:cNvCxnSpPr/>
      </xdr:nvCxnSpPr>
      <xdr:spPr>
        <a:xfrm flipH="1" flipV="1">
          <a:off x="3481009" y="465785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254</xdr:row>
      <xdr:rowOff>134252</xdr:rowOff>
    </xdr:from>
    <xdr:to>
      <xdr:col>5</xdr:col>
      <xdr:colOff>1652211</xdr:colOff>
      <xdr:row>254</xdr:row>
      <xdr:rowOff>417164</xdr:rowOff>
    </xdr:to>
    <xdr:cxnSp macro="">
      <xdr:nvCxnSpPr>
        <xdr:cNvPr id="1149" name="Straight Connector 1148">
          <a:extLst>
            <a:ext uri="{FF2B5EF4-FFF2-40B4-BE49-F238E27FC236}">
              <a16:creationId xmlns:a16="http://schemas.microsoft.com/office/drawing/2014/main" id="{00000000-0008-0000-0600-00007D040000}"/>
            </a:ext>
          </a:extLst>
        </xdr:cNvPr>
        <xdr:cNvCxnSpPr/>
      </xdr:nvCxnSpPr>
      <xdr:spPr>
        <a:xfrm flipH="1" flipV="1">
          <a:off x="3747710" y="465857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255</xdr:row>
      <xdr:rowOff>123824</xdr:rowOff>
    </xdr:from>
    <xdr:to>
      <xdr:col>5</xdr:col>
      <xdr:colOff>1428750</xdr:colOff>
      <xdr:row>255</xdr:row>
      <xdr:rowOff>1219199</xdr:rowOff>
    </xdr:to>
    <xdr:sp macro="" textlink="">
      <xdr:nvSpPr>
        <xdr:cNvPr id="1150" name="Rounded Rectangle 1149">
          <a:extLst>
            <a:ext uri="{FF2B5EF4-FFF2-40B4-BE49-F238E27FC236}">
              <a16:creationId xmlns:a16="http://schemas.microsoft.com/office/drawing/2014/main" id="{00000000-0008-0000-0600-00007E040000}"/>
            </a:ext>
          </a:extLst>
        </xdr:cNvPr>
        <xdr:cNvSpPr/>
      </xdr:nvSpPr>
      <xdr:spPr>
        <a:xfrm>
          <a:off x="3745230" y="467582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255</xdr:row>
      <xdr:rowOff>238127</xdr:rowOff>
    </xdr:from>
    <xdr:to>
      <xdr:col>5</xdr:col>
      <xdr:colOff>790575</xdr:colOff>
      <xdr:row>255</xdr:row>
      <xdr:rowOff>361950</xdr:rowOff>
    </xdr:to>
    <xdr:cxnSp macro="">
      <xdr:nvCxnSpPr>
        <xdr:cNvPr id="1151" name="Straight Connector 1150">
          <a:extLst>
            <a:ext uri="{FF2B5EF4-FFF2-40B4-BE49-F238E27FC236}">
              <a16:creationId xmlns:a16="http://schemas.microsoft.com/office/drawing/2014/main" id="{00000000-0008-0000-0600-00007F040000}"/>
            </a:ext>
          </a:extLst>
        </xdr:cNvPr>
        <xdr:cNvCxnSpPr/>
      </xdr:nvCxnSpPr>
      <xdr:spPr>
        <a:xfrm flipH="1" flipV="1">
          <a:off x="3749041" y="468191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255</xdr:row>
      <xdr:rowOff>133352</xdr:rowOff>
    </xdr:from>
    <xdr:to>
      <xdr:col>5</xdr:col>
      <xdr:colOff>885825</xdr:colOff>
      <xdr:row>255</xdr:row>
      <xdr:rowOff>257175</xdr:rowOff>
    </xdr:to>
    <xdr:cxnSp macro="">
      <xdr:nvCxnSpPr>
        <xdr:cNvPr id="1152" name="Straight Connector 1151">
          <a:extLst>
            <a:ext uri="{FF2B5EF4-FFF2-40B4-BE49-F238E27FC236}">
              <a16:creationId xmlns:a16="http://schemas.microsoft.com/office/drawing/2014/main" id="{00000000-0008-0000-0600-000080040000}"/>
            </a:ext>
          </a:extLst>
        </xdr:cNvPr>
        <xdr:cNvCxnSpPr/>
      </xdr:nvCxnSpPr>
      <xdr:spPr>
        <a:xfrm flipH="1" flipV="1">
          <a:off x="3745231" y="467677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253</xdr:row>
      <xdr:rowOff>127000</xdr:rowOff>
    </xdr:from>
    <xdr:to>
      <xdr:col>5</xdr:col>
      <xdr:colOff>356235</xdr:colOff>
      <xdr:row>253</xdr:row>
      <xdr:rowOff>309880</xdr:rowOff>
    </xdr:to>
    <xdr:cxnSp macro="">
      <xdr:nvCxnSpPr>
        <xdr:cNvPr id="1153" name="Straight Connector 1152">
          <a:extLst>
            <a:ext uri="{FF2B5EF4-FFF2-40B4-BE49-F238E27FC236}">
              <a16:creationId xmlns:a16="http://schemas.microsoft.com/office/drawing/2014/main" id="{00000000-0008-0000-0600-000081040000}"/>
            </a:ext>
          </a:extLst>
        </xdr:cNvPr>
        <xdr:cNvCxnSpPr/>
      </xdr:nvCxnSpPr>
      <xdr:spPr>
        <a:xfrm flipH="1" flipV="1">
          <a:off x="3480435" y="463956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253</xdr:row>
      <xdr:rowOff>400050</xdr:rowOff>
    </xdr:from>
    <xdr:to>
      <xdr:col>5</xdr:col>
      <xdr:colOff>1666875</xdr:colOff>
      <xdr:row>253</xdr:row>
      <xdr:rowOff>400050</xdr:rowOff>
    </xdr:to>
    <xdr:cxnSp macro="">
      <xdr:nvCxnSpPr>
        <xdr:cNvPr id="1154" name="Straight Connector 1153">
          <a:extLst>
            <a:ext uri="{FF2B5EF4-FFF2-40B4-BE49-F238E27FC236}">
              <a16:creationId xmlns:a16="http://schemas.microsoft.com/office/drawing/2014/main" id="{00000000-0008-0000-0600-000082040000}"/>
            </a:ext>
          </a:extLst>
        </xdr:cNvPr>
        <xdr:cNvCxnSpPr/>
      </xdr:nvCxnSpPr>
      <xdr:spPr>
        <a:xfrm>
          <a:off x="3476625" y="464477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253</xdr:row>
      <xdr:rowOff>127000</xdr:rowOff>
    </xdr:from>
    <xdr:to>
      <xdr:col>5</xdr:col>
      <xdr:colOff>356810</xdr:colOff>
      <xdr:row>253</xdr:row>
      <xdr:rowOff>409912</xdr:rowOff>
    </xdr:to>
    <xdr:cxnSp macro="">
      <xdr:nvCxnSpPr>
        <xdr:cNvPr id="1155" name="Straight Connector 1154">
          <a:extLst>
            <a:ext uri="{FF2B5EF4-FFF2-40B4-BE49-F238E27FC236}">
              <a16:creationId xmlns:a16="http://schemas.microsoft.com/office/drawing/2014/main" id="{00000000-0008-0000-0600-000083040000}"/>
            </a:ext>
          </a:extLst>
        </xdr:cNvPr>
        <xdr:cNvCxnSpPr/>
      </xdr:nvCxnSpPr>
      <xdr:spPr>
        <a:xfrm flipH="1" flipV="1">
          <a:off x="3481009" y="463956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253</xdr:row>
      <xdr:rowOff>134252</xdr:rowOff>
    </xdr:from>
    <xdr:to>
      <xdr:col>5</xdr:col>
      <xdr:colOff>1652211</xdr:colOff>
      <xdr:row>253</xdr:row>
      <xdr:rowOff>417164</xdr:rowOff>
    </xdr:to>
    <xdr:cxnSp macro="">
      <xdr:nvCxnSpPr>
        <xdr:cNvPr id="1156" name="Straight Connector 1155">
          <a:extLst>
            <a:ext uri="{FF2B5EF4-FFF2-40B4-BE49-F238E27FC236}">
              <a16:creationId xmlns:a16="http://schemas.microsoft.com/office/drawing/2014/main" id="{00000000-0008-0000-0600-000084040000}"/>
            </a:ext>
          </a:extLst>
        </xdr:cNvPr>
        <xdr:cNvCxnSpPr/>
      </xdr:nvCxnSpPr>
      <xdr:spPr>
        <a:xfrm flipH="1" flipV="1">
          <a:off x="3747710" y="464028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254</xdr:row>
      <xdr:rowOff>127000</xdr:rowOff>
    </xdr:from>
    <xdr:to>
      <xdr:col>5</xdr:col>
      <xdr:colOff>356235</xdr:colOff>
      <xdr:row>254</xdr:row>
      <xdr:rowOff>309880</xdr:rowOff>
    </xdr:to>
    <xdr:cxnSp macro="">
      <xdr:nvCxnSpPr>
        <xdr:cNvPr id="1157" name="Straight Connector 1156">
          <a:extLst>
            <a:ext uri="{FF2B5EF4-FFF2-40B4-BE49-F238E27FC236}">
              <a16:creationId xmlns:a16="http://schemas.microsoft.com/office/drawing/2014/main" id="{00000000-0008-0000-0600-000085040000}"/>
            </a:ext>
          </a:extLst>
        </xdr:cNvPr>
        <xdr:cNvCxnSpPr/>
      </xdr:nvCxnSpPr>
      <xdr:spPr>
        <a:xfrm flipH="1" flipV="1">
          <a:off x="3480435" y="465785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254</xdr:row>
      <xdr:rowOff>152400</xdr:rowOff>
    </xdr:from>
    <xdr:to>
      <xdr:col>5</xdr:col>
      <xdr:colOff>1676400</xdr:colOff>
      <xdr:row>254</xdr:row>
      <xdr:rowOff>152400</xdr:rowOff>
    </xdr:to>
    <xdr:cxnSp macro="">
      <xdr:nvCxnSpPr>
        <xdr:cNvPr id="1158" name="Straight Connector 1157">
          <a:extLst>
            <a:ext uri="{FF2B5EF4-FFF2-40B4-BE49-F238E27FC236}">
              <a16:creationId xmlns:a16="http://schemas.microsoft.com/office/drawing/2014/main" id="{00000000-0008-0000-0600-000086040000}"/>
            </a:ext>
          </a:extLst>
        </xdr:cNvPr>
        <xdr:cNvCxnSpPr/>
      </xdr:nvCxnSpPr>
      <xdr:spPr>
        <a:xfrm>
          <a:off x="3486150" y="466039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254</xdr:row>
      <xdr:rowOff>127000</xdr:rowOff>
    </xdr:from>
    <xdr:to>
      <xdr:col>5</xdr:col>
      <xdr:colOff>356810</xdr:colOff>
      <xdr:row>254</xdr:row>
      <xdr:rowOff>409912</xdr:rowOff>
    </xdr:to>
    <xdr:cxnSp macro="">
      <xdr:nvCxnSpPr>
        <xdr:cNvPr id="1159" name="Straight Connector 1158">
          <a:extLst>
            <a:ext uri="{FF2B5EF4-FFF2-40B4-BE49-F238E27FC236}">
              <a16:creationId xmlns:a16="http://schemas.microsoft.com/office/drawing/2014/main" id="{00000000-0008-0000-0600-000087040000}"/>
            </a:ext>
          </a:extLst>
        </xdr:cNvPr>
        <xdr:cNvCxnSpPr/>
      </xdr:nvCxnSpPr>
      <xdr:spPr>
        <a:xfrm flipH="1" flipV="1">
          <a:off x="3481009" y="465785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254</xdr:row>
      <xdr:rowOff>134252</xdr:rowOff>
    </xdr:from>
    <xdr:to>
      <xdr:col>5</xdr:col>
      <xdr:colOff>1652211</xdr:colOff>
      <xdr:row>254</xdr:row>
      <xdr:rowOff>417164</xdr:rowOff>
    </xdr:to>
    <xdr:cxnSp macro="">
      <xdr:nvCxnSpPr>
        <xdr:cNvPr id="1160" name="Straight Connector 1159">
          <a:extLst>
            <a:ext uri="{FF2B5EF4-FFF2-40B4-BE49-F238E27FC236}">
              <a16:creationId xmlns:a16="http://schemas.microsoft.com/office/drawing/2014/main" id="{00000000-0008-0000-0600-000088040000}"/>
            </a:ext>
          </a:extLst>
        </xdr:cNvPr>
        <xdr:cNvCxnSpPr/>
      </xdr:nvCxnSpPr>
      <xdr:spPr>
        <a:xfrm flipH="1" flipV="1">
          <a:off x="3747710" y="465857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255</xdr:row>
      <xdr:rowOff>123824</xdr:rowOff>
    </xdr:from>
    <xdr:to>
      <xdr:col>5</xdr:col>
      <xdr:colOff>1428750</xdr:colOff>
      <xdr:row>255</xdr:row>
      <xdr:rowOff>1219199</xdr:rowOff>
    </xdr:to>
    <xdr:sp macro="" textlink="">
      <xdr:nvSpPr>
        <xdr:cNvPr id="1161" name="Rounded Rectangle 1160">
          <a:extLst>
            <a:ext uri="{FF2B5EF4-FFF2-40B4-BE49-F238E27FC236}">
              <a16:creationId xmlns:a16="http://schemas.microsoft.com/office/drawing/2014/main" id="{00000000-0008-0000-0600-000089040000}"/>
            </a:ext>
          </a:extLst>
        </xdr:cNvPr>
        <xdr:cNvSpPr/>
      </xdr:nvSpPr>
      <xdr:spPr>
        <a:xfrm>
          <a:off x="3745230" y="467582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255</xdr:row>
      <xdr:rowOff>238127</xdr:rowOff>
    </xdr:from>
    <xdr:to>
      <xdr:col>5</xdr:col>
      <xdr:colOff>790575</xdr:colOff>
      <xdr:row>255</xdr:row>
      <xdr:rowOff>361950</xdr:rowOff>
    </xdr:to>
    <xdr:cxnSp macro="">
      <xdr:nvCxnSpPr>
        <xdr:cNvPr id="1162" name="Straight Connector 1161">
          <a:extLst>
            <a:ext uri="{FF2B5EF4-FFF2-40B4-BE49-F238E27FC236}">
              <a16:creationId xmlns:a16="http://schemas.microsoft.com/office/drawing/2014/main" id="{00000000-0008-0000-0600-00008A040000}"/>
            </a:ext>
          </a:extLst>
        </xdr:cNvPr>
        <xdr:cNvCxnSpPr/>
      </xdr:nvCxnSpPr>
      <xdr:spPr>
        <a:xfrm flipH="1" flipV="1">
          <a:off x="3749041" y="468191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255</xdr:row>
      <xdr:rowOff>133352</xdr:rowOff>
    </xdr:from>
    <xdr:to>
      <xdr:col>5</xdr:col>
      <xdr:colOff>885825</xdr:colOff>
      <xdr:row>255</xdr:row>
      <xdr:rowOff>257175</xdr:rowOff>
    </xdr:to>
    <xdr:cxnSp macro="">
      <xdr:nvCxnSpPr>
        <xdr:cNvPr id="1163" name="Straight Connector 1162">
          <a:extLst>
            <a:ext uri="{FF2B5EF4-FFF2-40B4-BE49-F238E27FC236}">
              <a16:creationId xmlns:a16="http://schemas.microsoft.com/office/drawing/2014/main" id="{00000000-0008-0000-0600-00008B040000}"/>
            </a:ext>
          </a:extLst>
        </xdr:cNvPr>
        <xdr:cNvCxnSpPr/>
      </xdr:nvCxnSpPr>
      <xdr:spPr>
        <a:xfrm flipH="1" flipV="1">
          <a:off x="3745231" y="467677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253</xdr:row>
      <xdr:rowOff>127000</xdr:rowOff>
    </xdr:from>
    <xdr:to>
      <xdr:col>5</xdr:col>
      <xdr:colOff>356235</xdr:colOff>
      <xdr:row>253</xdr:row>
      <xdr:rowOff>309880</xdr:rowOff>
    </xdr:to>
    <xdr:cxnSp macro="">
      <xdr:nvCxnSpPr>
        <xdr:cNvPr id="1164" name="Straight Connector 1163">
          <a:extLst>
            <a:ext uri="{FF2B5EF4-FFF2-40B4-BE49-F238E27FC236}">
              <a16:creationId xmlns:a16="http://schemas.microsoft.com/office/drawing/2014/main" id="{00000000-0008-0000-0600-00008C040000}"/>
            </a:ext>
          </a:extLst>
        </xdr:cNvPr>
        <xdr:cNvCxnSpPr/>
      </xdr:nvCxnSpPr>
      <xdr:spPr>
        <a:xfrm flipH="1" flipV="1">
          <a:off x="3480435" y="463956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253</xdr:row>
      <xdr:rowOff>400050</xdr:rowOff>
    </xdr:from>
    <xdr:to>
      <xdr:col>5</xdr:col>
      <xdr:colOff>1666875</xdr:colOff>
      <xdr:row>253</xdr:row>
      <xdr:rowOff>400050</xdr:rowOff>
    </xdr:to>
    <xdr:cxnSp macro="">
      <xdr:nvCxnSpPr>
        <xdr:cNvPr id="1165" name="Straight Connector 1164">
          <a:extLst>
            <a:ext uri="{FF2B5EF4-FFF2-40B4-BE49-F238E27FC236}">
              <a16:creationId xmlns:a16="http://schemas.microsoft.com/office/drawing/2014/main" id="{00000000-0008-0000-0600-00008D040000}"/>
            </a:ext>
          </a:extLst>
        </xdr:cNvPr>
        <xdr:cNvCxnSpPr/>
      </xdr:nvCxnSpPr>
      <xdr:spPr>
        <a:xfrm>
          <a:off x="3476625" y="464477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253</xdr:row>
      <xdr:rowOff>127000</xdr:rowOff>
    </xdr:from>
    <xdr:to>
      <xdr:col>5</xdr:col>
      <xdr:colOff>356810</xdr:colOff>
      <xdr:row>253</xdr:row>
      <xdr:rowOff>409912</xdr:rowOff>
    </xdr:to>
    <xdr:cxnSp macro="">
      <xdr:nvCxnSpPr>
        <xdr:cNvPr id="1166" name="Straight Connector 1165">
          <a:extLst>
            <a:ext uri="{FF2B5EF4-FFF2-40B4-BE49-F238E27FC236}">
              <a16:creationId xmlns:a16="http://schemas.microsoft.com/office/drawing/2014/main" id="{00000000-0008-0000-0600-00008E040000}"/>
            </a:ext>
          </a:extLst>
        </xdr:cNvPr>
        <xdr:cNvCxnSpPr/>
      </xdr:nvCxnSpPr>
      <xdr:spPr>
        <a:xfrm flipH="1" flipV="1">
          <a:off x="3481009" y="463956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253</xdr:row>
      <xdr:rowOff>134252</xdr:rowOff>
    </xdr:from>
    <xdr:to>
      <xdr:col>5</xdr:col>
      <xdr:colOff>1652211</xdr:colOff>
      <xdr:row>253</xdr:row>
      <xdr:rowOff>417164</xdr:rowOff>
    </xdr:to>
    <xdr:cxnSp macro="">
      <xdr:nvCxnSpPr>
        <xdr:cNvPr id="1167" name="Straight Connector 1166">
          <a:extLst>
            <a:ext uri="{FF2B5EF4-FFF2-40B4-BE49-F238E27FC236}">
              <a16:creationId xmlns:a16="http://schemas.microsoft.com/office/drawing/2014/main" id="{00000000-0008-0000-0600-00008F040000}"/>
            </a:ext>
          </a:extLst>
        </xdr:cNvPr>
        <xdr:cNvCxnSpPr/>
      </xdr:nvCxnSpPr>
      <xdr:spPr>
        <a:xfrm flipH="1" flipV="1">
          <a:off x="3747710" y="464028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254</xdr:row>
      <xdr:rowOff>127000</xdr:rowOff>
    </xdr:from>
    <xdr:to>
      <xdr:col>5</xdr:col>
      <xdr:colOff>356235</xdr:colOff>
      <xdr:row>254</xdr:row>
      <xdr:rowOff>309880</xdr:rowOff>
    </xdr:to>
    <xdr:cxnSp macro="">
      <xdr:nvCxnSpPr>
        <xdr:cNvPr id="1168" name="Straight Connector 1167">
          <a:extLst>
            <a:ext uri="{FF2B5EF4-FFF2-40B4-BE49-F238E27FC236}">
              <a16:creationId xmlns:a16="http://schemas.microsoft.com/office/drawing/2014/main" id="{00000000-0008-0000-0600-000090040000}"/>
            </a:ext>
          </a:extLst>
        </xdr:cNvPr>
        <xdr:cNvCxnSpPr/>
      </xdr:nvCxnSpPr>
      <xdr:spPr>
        <a:xfrm flipH="1" flipV="1">
          <a:off x="3480435" y="465785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254</xdr:row>
      <xdr:rowOff>152400</xdr:rowOff>
    </xdr:from>
    <xdr:to>
      <xdr:col>5</xdr:col>
      <xdr:colOff>1676400</xdr:colOff>
      <xdr:row>254</xdr:row>
      <xdr:rowOff>152400</xdr:rowOff>
    </xdr:to>
    <xdr:cxnSp macro="">
      <xdr:nvCxnSpPr>
        <xdr:cNvPr id="1169" name="Straight Connector 1168">
          <a:extLst>
            <a:ext uri="{FF2B5EF4-FFF2-40B4-BE49-F238E27FC236}">
              <a16:creationId xmlns:a16="http://schemas.microsoft.com/office/drawing/2014/main" id="{00000000-0008-0000-0600-000091040000}"/>
            </a:ext>
          </a:extLst>
        </xdr:cNvPr>
        <xdr:cNvCxnSpPr/>
      </xdr:nvCxnSpPr>
      <xdr:spPr>
        <a:xfrm>
          <a:off x="3486150" y="466039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254</xdr:row>
      <xdr:rowOff>127000</xdr:rowOff>
    </xdr:from>
    <xdr:to>
      <xdr:col>5</xdr:col>
      <xdr:colOff>356810</xdr:colOff>
      <xdr:row>254</xdr:row>
      <xdr:rowOff>409912</xdr:rowOff>
    </xdr:to>
    <xdr:cxnSp macro="">
      <xdr:nvCxnSpPr>
        <xdr:cNvPr id="1170" name="Straight Connector 1169">
          <a:extLst>
            <a:ext uri="{FF2B5EF4-FFF2-40B4-BE49-F238E27FC236}">
              <a16:creationId xmlns:a16="http://schemas.microsoft.com/office/drawing/2014/main" id="{00000000-0008-0000-0600-000092040000}"/>
            </a:ext>
          </a:extLst>
        </xdr:cNvPr>
        <xdr:cNvCxnSpPr/>
      </xdr:nvCxnSpPr>
      <xdr:spPr>
        <a:xfrm flipH="1" flipV="1">
          <a:off x="3481009" y="465785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254</xdr:row>
      <xdr:rowOff>134252</xdr:rowOff>
    </xdr:from>
    <xdr:to>
      <xdr:col>5</xdr:col>
      <xdr:colOff>1652211</xdr:colOff>
      <xdr:row>254</xdr:row>
      <xdr:rowOff>417164</xdr:rowOff>
    </xdr:to>
    <xdr:cxnSp macro="">
      <xdr:nvCxnSpPr>
        <xdr:cNvPr id="1171" name="Straight Connector 1170">
          <a:extLst>
            <a:ext uri="{FF2B5EF4-FFF2-40B4-BE49-F238E27FC236}">
              <a16:creationId xmlns:a16="http://schemas.microsoft.com/office/drawing/2014/main" id="{00000000-0008-0000-0600-000093040000}"/>
            </a:ext>
          </a:extLst>
        </xdr:cNvPr>
        <xdr:cNvCxnSpPr/>
      </xdr:nvCxnSpPr>
      <xdr:spPr>
        <a:xfrm flipH="1" flipV="1">
          <a:off x="3747710" y="465857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255</xdr:row>
      <xdr:rowOff>123824</xdr:rowOff>
    </xdr:from>
    <xdr:to>
      <xdr:col>5</xdr:col>
      <xdr:colOff>1428750</xdr:colOff>
      <xdr:row>255</xdr:row>
      <xdr:rowOff>1219199</xdr:rowOff>
    </xdr:to>
    <xdr:sp macro="" textlink="">
      <xdr:nvSpPr>
        <xdr:cNvPr id="1172" name="Rounded Rectangle 1171">
          <a:extLst>
            <a:ext uri="{FF2B5EF4-FFF2-40B4-BE49-F238E27FC236}">
              <a16:creationId xmlns:a16="http://schemas.microsoft.com/office/drawing/2014/main" id="{00000000-0008-0000-0600-000094040000}"/>
            </a:ext>
          </a:extLst>
        </xdr:cNvPr>
        <xdr:cNvSpPr/>
      </xdr:nvSpPr>
      <xdr:spPr>
        <a:xfrm>
          <a:off x="3745230" y="467582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255</xdr:row>
      <xdr:rowOff>238127</xdr:rowOff>
    </xdr:from>
    <xdr:to>
      <xdr:col>5</xdr:col>
      <xdr:colOff>790575</xdr:colOff>
      <xdr:row>255</xdr:row>
      <xdr:rowOff>361950</xdr:rowOff>
    </xdr:to>
    <xdr:cxnSp macro="">
      <xdr:nvCxnSpPr>
        <xdr:cNvPr id="1173" name="Straight Connector 1172">
          <a:extLst>
            <a:ext uri="{FF2B5EF4-FFF2-40B4-BE49-F238E27FC236}">
              <a16:creationId xmlns:a16="http://schemas.microsoft.com/office/drawing/2014/main" id="{00000000-0008-0000-0600-000095040000}"/>
            </a:ext>
          </a:extLst>
        </xdr:cNvPr>
        <xdr:cNvCxnSpPr/>
      </xdr:nvCxnSpPr>
      <xdr:spPr>
        <a:xfrm flipH="1" flipV="1">
          <a:off x="3749041" y="468191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255</xdr:row>
      <xdr:rowOff>133352</xdr:rowOff>
    </xdr:from>
    <xdr:to>
      <xdr:col>5</xdr:col>
      <xdr:colOff>885825</xdr:colOff>
      <xdr:row>255</xdr:row>
      <xdr:rowOff>257175</xdr:rowOff>
    </xdr:to>
    <xdr:cxnSp macro="">
      <xdr:nvCxnSpPr>
        <xdr:cNvPr id="1174" name="Straight Connector 1173">
          <a:extLst>
            <a:ext uri="{FF2B5EF4-FFF2-40B4-BE49-F238E27FC236}">
              <a16:creationId xmlns:a16="http://schemas.microsoft.com/office/drawing/2014/main" id="{00000000-0008-0000-0600-000096040000}"/>
            </a:ext>
          </a:extLst>
        </xdr:cNvPr>
        <xdr:cNvCxnSpPr/>
      </xdr:nvCxnSpPr>
      <xdr:spPr>
        <a:xfrm flipH="1" flipV="1">
          <a:off x="3745231" y="467677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253</xdr:row>
      <xdr:rowOff>127000</xdr:rowOff>
    </xdr:from>
    <xdr:to>
      <xdr:col>5</xdr:col>
      <xdr:colOff>356235</xdr:colOff>
      <xdr:row>253</xdr:row>
      <xdr:rowOff>309880</xdr:rowOff>
    </xdr:to>
    <xdr:cxnSp macro="">
      <xdr:nvCxnSpPr>
        <xdr:cNvPr id="1175" name="Straight Connector 1174">
          <a:extLst>
            <a:ext uri="{FF2B5EF4-FFF2-40B4-BE49-F238E27FC236}">
              <a16:creationId xmlns:a16="http://schemas.microsoft.com/office/drawing/2014/main" id="{00000000-0008-0000-0600-000097040000}"/>
            </a:ext>
          </a:extLst>
        </xdr:cNvPr>
        <xdr:cNvCxnSpPr/>
      </xdr:nvCxnSpPr>
      <xdr:spPr>
        <a:xfrm flipH="1" flipV="1">
          <a:off x="3480435" y="463956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253</xdr:row>
      <xdr:rowOff>400050</xdr:rowOff>
    </xdr:from>
    <xdr:to>
      <xdr:col>5</xdr:col>
      <xdr:colOff>1666875</xdr:colOff>
      <xdr:row>253</xdr:row>
      <xdr:rowOff>400050</xdr:rowOff>
    </xdr:to>
    <xdr:cxnSp macro="">
      <xdr:nvCxnSpPr>
        <xdr:cNvPr id="1176" name="Straight Connector 1175">
          <a:extLst>
            <a:ext uri="{FF2B5EF4-FFF2-40B4-BE49-F238E27FC236}">
              <a16:creationId xmlns:a16="http://schemas.microsoft.com/office/drawing/2014/main" id="{00000000-0008-0000-0600-000098040000}"/>
            </a:ext>
          </a:extLst>
        </xdr:cNvPr>
        <xdr:cNvCxnSpPr/>
      </xdr:nvCxnSpPr>
      <xdr:spPr>
        <a:xfrm>
          <a:off x="3476625" y="464477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253</xdr:row>
      <xdr:rowOff>127000</xdr:rowOff>
    </xdr:from>
    <xdr:to>
      <xdr:col>5</xdr:col>
      <xdr:colOff>356810</xdr:colOff>
      <xdr:row>253</xdr:row>
      <xdr:rowOff>409912</xdr:rowOff>
    </xdr:to>
    <xdr:cxnSp macro="">
      <xdr:nvCxnSpPr>
        <xdr:cNvPr id="1177" name="Straight Connector 1176">
          <a:extLst>
            <a:ext uri="{FF2B5EF4-FFF2-40B4-BE49-F238E27FC236}">
              <a16:creationId xmlns:a16="http://schemas.microsoft.com/office/drawing/2014/main" id="{00000000-0008-0000-0600-000099040000}"/>
            </a:ext>
          </a:extLst>
        </xdr:cNvPr>
        <xdr:cNvCxnSpPr/>
      </xdr:nvCxnSpPr>
      <xdr:spPr>
        <a:xfrm flipH="1" flipV="1">
          <a:off x="3481009" y="463956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253</xdr:row>
      <xdr:rowOff>134252</xdr:rowOff>
    </xdr:from>
    <xdr:to>
      <xdr:col>5</xdr:col>
      <xdr:colOff>1652211</xdr:colOff>
      <xdr:row>253</xdr:row>
      <xdr:rowOff>417164</xdr:rowOff>
    </xdr:to>
    <xdr:cxnSp macro="">
      <xdr:nvCxnSpPr>
        <xdr:cNvPr id="1178" name="Straight Connector 1177">
          <a:extLst>
            <a:ext uri="{FF2B5EF4-FFF2-40B4-BE49-F238E27FC236}">
              <a16:creationId xmlns:a16="http://schemas.microsoft.com/office/drawing/2014/main" id="{00000000-0008-0000-0600-00009A040000}"/>
            </a:ext>
          </a:extLst>
        </xdr:cNvPr>
        <xdr:cNvCxnSpPr/>
      </xdr:nvCxnSpPr>
      <xdr:spPr>
        <a:xfrm flipH="1" flipV="1">
          <a:off x="3747710" y="464028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254</xdr:row>
      <xdr:rowOff>127000</xdr:rowOff>
    </xdr:from>
    <xdr:to>
      <xdr:col>5</xdr:col>
      <xdr:colOff>356235</xdr:colOff>
      <xdr:row>254</xdr:row>
      <xdr:rowOff>309880</xdr:rowOff>
    </xdr:to>
    <xdr:cxnSp macro="">
      <xdr:nvCxnSpPr>
        <xdr:cNvPr id="1179" name="Straight Connector 1178">
          <a:extLst>
            <a:ext uri="{FF2B5EF4-FFF2-40B4-BE49-F238E27FC236}">
              <a16:creationId xmlns:a16="http://schemas.microsoft.com/office/drawing/2014/main" id="{00000000-0008-0000-0600-00009B040000}"/>
            </a:ext>
          </a:extLst>
        </xdr:cNvPr>
        <xdr:cNvCxnSpPr/>
      </xdr:nvCxnSpPr>
      <xdr:spPr>
        <a:xfrm flipH="1" flipV="1">
          <a:off x="3480435" y="465785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254</xdr:row>
      <xdr:rowOff>152400</xdr:rowOff>
    </xdr:from>
    <xdr:to>
      <xdr:col>5</xdr:col>
      <xdr:colOff>1676400</xdr:colOff>
      <xdr:row>254</xdr:row>
      <xdr:rowOff>152400</xdr:rowOff>
    </xdr:to>
    <xdr:cxnSp macro="">
      <xdr:nvCxnSpPr>
        <xdr:cNvPr id="1180" name="Straight Connector 1179">
          <a:extLst>
            <a:ext uri="{FF2B5EF4-FFF2-40B4-BE49-F238E27FC236}">
              <a16:creationId xmlns:a16="http://schemas.microsoft.com/office/drawing/2014/main" id="{00000000-0008-0000-0600-00009C040000}"/>
            </a:ext>
          </a:extLst>
        </xdr:cNvPr>
        <xdr:cNvCxnSpPr/>
      </xdr:nvCxnSpPr>
      <xdr:spPr>
        <a:xfrm>
          <a:off x="3486150" y="466039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254</xdr:row>
      <xdr:rowOff>127000</xdr:rowOff>
    </xdr:from>
    <xdr:to>
      <xdr:col>5</xdr:col>
      <xdr:colOff>356810</xdr:colOff>
      <xdr:row>254</xdr:row>
      <xdr:rowOff>409912</xdr:rowOff>
    </xdr:to>
    <xdr:cxnSp macro="">
      <xdr:nvCxnSpPr>
        <xdr:cNvPr id="1181" name="Straight Connector 1180">
          <a:extLst>
            <a:ext uri="{FF2B5EF4-FFF2-40B4-BE49-F238E27FC236}">
              <a16:creationId xmlns:a16="http://schemas.microsoft.com/office/drawing/2014/main" id="{00000000-0008-0000-0600-00009D040000}"/>
            </a:ext>
          </a:extLst>
        </xdr:cNvPr>
        <xdr:cNvCxnSpPr/>
      </xdr:nvCxnSpPr>
      <xdr:spPr>
        <a:xfrm flipH="1" flipV="1">
          <a:off x="3481009" y="465785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255</xdr:row>
      <xdr:rowOff>123824</xdr:rowOff>
    </xdr:from>
    <xdr:to>
      <xdr:col>5</xdr:col>
      <xdr:colOff>1428750</xdr:colOff>
      <xdr:row>255</xdr:row>
      <xdr:rowOff>1219199</xdr:rowOff>
    </xdr:to>
    <xdr:sp macro="" textlink="">
      <xdr:nvSpPr>
        <xdr:cNvPr id="1182" name="Rounded Rectangle 1181">
          <a:extLst>
            <a:ext uri="{FF2B5EF4-FFF2-40B4-BE49-F238E27FC236}">
              <a16:creationId xmlns:a16="http://schemas.microsoft.com/office/drawing/2014/main" id="{00000000-0008-0000-0600-00009E040000}"/>
            </a:ext>
          </a:extLst>
        </xdr:cNvPr>
        <xdr:cNvSpPr/>
      </xdr:nvSpPr>
      <xdr:spPr>
        <a:xfrm>
          <a:off x="3745230" y="467582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255</xdr:row>
      <xdr:rowOff>238127</xdr:rowOff>
    </xdr:from>
    <xdr:to>
      <xdr:col>5</xdr:col>
      <xdr:colOff>790575</xdr:colOff>
      <xdr:row>255</xdr:row>
      <xdr:rowOff>361950</xdr:rowOff>
    </xdr:to>
    <xdr:cxnSp macro="">
      <xdr:nvCxnSpPr>
        <xdr:cNvPr id="1183" name="Straight Connector 1182">
          <a:extLst>
            <a:ext uri="{FF2B5EF4-FFF2-40B4-BE49-F238E27FC236}">
              <a16:creationId xmlns:a16="http://schemas.microsoft.com/office/drawing/2014/main" id="{00000000-0008-0000-0600-00009F040000}"/>
            </a:ext>
          </a:extLst>
        </xdr:cNvPr>
        <xdr:cNvCxnSpPr/>
      </xdr:nvCxnSpPr>
      <xdr:spPr>
        <a:xfrm flipH="1" flipV="1">
          <a:off x="3749041" y="468191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255</xdr:row>
      <xdr:rowOff>133352</xdr:rowOff>
    </xdr:from>
    <xdr:to>
      <xdr:col>5</xdr:col>
      <xdr:colOff>885825</xdr:colOff>
      <xdr:row>255</xdr:row>
      <xdr:rowOff>257175</xdr:rowOff>
    </xdr:to>
    <xdr:cxnSp macro="">
      <xdr:nvCxnSpPr>
        <xdr:cNvPr id="1184" name="Straight Connector 1183">
          <a:extLst>
            <a:ext uri="{FF2B5EF4-FFF2-40B4-BE49-F238E27FC236}">
              <a16:creationId xmlns:a16="http://schemas.microsoft.com/office/drawing/2014/main" id="{00000000-0008-0000-0600-0000A0040000}"/>
            </a:ext>
          </a:extLst>
        </xdr:cNvPr>
        <xdr:cNvCxnSpPr/>
      </xdr:nvCxnSpPr>
      <xdr:spPr>
        <a:xfrm flipH="1" flipV="1">
          <a:off x="3745231" y="467677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356235</xdr:colOff>
      <xdr:row>4</xdr:row>
      <xdr:rowOff>127000</xdr:rowOff>
    </xdr:from>
    <xdr:to>
      <xdr:col>5</xdr:col>
      <xdr:colOff>356235</xdr:colOff>
      <xdr:row>4</xdr:row>
      <xdr:rowOff>309880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 flipH="1" flipV="1">
          <a:off x="3480435" y="8585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</xdr:row>
      <xdr:rowOff>400050</xdr:rowOff>
    </xdr:from>
    <xdr:to>
      <xdr:col>5</xdr:col>
      <xdr:colOff>1666875</xdr:colOff>
      <xdr:row>4</xdr:row>
      <xdr:rowOff>400050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3476625" y="9105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</xdr:row>
      <xdr:rowOff>127000</xdr:rowOff>
    </xdr:from>
    <xdr:to>
      <xdr:col>5</xdr:col>
      <xdr:colOff>356810</xdr:colOff>
      <xdr:row>4</xdr:row>
      <xdr:rowOff>409912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 flipH="1" flipV="1">
          <a:off x="3481009" y="8585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</xdr:row>
      <xdr:rowOff>134252</xdr:rowOff>
    </xdr:from>
    <xdr:to>
      <xdr:col>5</xdr:col>
      <xdr:colOff>1652211</xdr:colOff>
      <xdr:row>4</xdr:row>
      <xdr:rowOff>417164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 flipH="1" flipV="1">
          <a:off x="3747710" y="8657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5</xdr:row>
      <xdr:rowOff>127000</xdr:rowOff>
    </xdr:from>
    <xdr:to>
      <xdr:col>5</xdr:col>
      <xdr:colOff>356235</xdr:colOff>
      <xdr:row>5</xdr:row>
      <xdr:rowOff>309880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 flipH="1" flipV="1">
          <a:off x="3480435" y="1041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5</xdr:row>
      <xdr:rowOff>152400</xdr:rowOff>
    </xdr:from>
    <xdr:to>
      <xdr:col>5</xdr:col>
      <xdr:colOff>1676400</xdr:colOff>
      <xdr:row>5</xdr:row>
      <xdr:rowOff>152400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>
          <a:off x="3486150" y="10668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</xdr:row>
      <xdr:rowOff>127000</xdr:rowOff>
    </xdr:from>
    <xdr:to>
      <xdr:col>5</xdr:col>
      <xdr:colOff>356810</xdr:colOff>
      <xdr:row>5</xdr:row>
      <xdr:rowOff>409912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CxnSpPr/>
      </xdr:nvCxnSpPr>
      <xdr:spPr>
        <a:xfrm flipH="1" flipV="1">
          <a:off x="3481009" y="1041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</xdr:row>
      <xdr:rowOff>134252</xdr:rowOff>
    </xdr:from>
    <xdr:to>
      <xdr:col>5</xdr:col>
      <xdr:colOff>1652211</xdr:colOff>
      <xdr:row>5</xdr:row>
      <xdr:rowOff>417164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/>
      </xdr:nvCxnSpPr>
      <xdr:spPr>
        <a:xfrm flipH="1" flipV="1">
          <a:off x="3747710" y="1048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6</xdr:row>
      <xdr:rowOff>123824</xdr:rowOff>
    </xdr:from>
    <xdr:to>
      <xdr:col>5</xdr:col>
      <xdr:colOff>1428750</xdr:colOff>
      <xdr:row>6</xdr:row>
      <xdr:rowOff>1219199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3745230" y="12211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6</xdr:row>
      <xdr:rowOff>238127</xdr:rowOff>
    </xdr:from>
    <xdr:to>
      <xdr:col>5</xdr:col>
      <xdr:colOff>790575</xdr:colOff>
      <xdr:row>6</xdr:row>
      <xdr:rowOff>361950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CxnSpPr/>
      </xdr:nvCxnSpPr>
      <xdr:spPr>
        <a:xfrm flipH="1" flipV="1">
          <a:off x="3749041" y="12820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6</xdr:row>
      <xdr:rowOff>133352</xdr:rowOff>
    </xdr:from>
    <xdr:to>
      <xdr:col>5</xdr:col>
      <xdr:colOff>885825</xdr:colOff>
      <xdr:row>6</xdr:row>
      <xdr:rowOff>257175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/>
      </xdr:nvCxnSpPr>
      <xdr:spPr>
        <a:xfrm flipH="1" flipV="1">
          <a:off x="3745231" y="12306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10</xdr:row>
      <xdr:rowOff>127000</xdr:rowOff>
    </xdr:from>
    <xdr:to>
      <xdr:col>5</xdr:col>
      <xdr:colOff>356235</xdr:colOff>
      <xdr:row>10</xdr:row>
      <xdr:rowOff>309880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/>
      </xdr:nvCxnSpPr>
      <xdr:spPr>
        <a:xfrm flipH="1" flipV="1">
          <a:off x="3480435" y="19558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10</xdr:row>
      <xdr:rowOff>400050</xdr:rowOff>
    </xdr:from>
    <xdr:to>
      <xdr:col>5</xdr:col>
      <xdr:colOff>1666875</xdr:colOff>
      <xdr:row>10</xdr:row>
      <xdr:rowOff>400050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CxnSpPr/>
      </xdr:nvCxnSpPr>
      <xdr:spPr>
        <a:xfrm>
          <a:off x="3476625" y="20078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10</xdr:row>
      <xdr:rowOff>127000</xdr:rowOff>
    </xdr:from>
    <xdr:to>
      <xdr:col>5</xdr:col>
      <xdr:colOff>356810</xdr:colOff>
      <xdr:row>10</xdr:row>
      <xdr:rowOff>409912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CxnSpPr/>
      </xdr:nvCxnSpPr>
      <xdr:spPr>
        <a:xfrm flipH="1" flipV="1">
          <a:off x="3481009" y="19558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10</xdr:row>
      <xdr:rowOff>134252</xdr:rowOff>
    </xdr:from>
    <xdr:to>
      <xdr:col>5</xdr:col>
      <xdr:colOff>1652211</xdr:colOff>
      <xdr:row>10</xdr:row>
      <xdr:rowOff>417164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CxnSpPr/>
      </xdr:nvCxnSpPr>
      <xdr:spPr>
        <a:xfrm flipH="1" flipV="1">
          <a:off x="3747710" y="19630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</xdr:row>
      <xdr:rowOff>127000</xdr:rowOff>
    </xdr:from>
    <xdr:to>
      <xdr:col>5</xdr:col>
      <xdr:colOff>356235</xdr:colOff>
      <xdr:row>11</xdr:row>
      <xdr:rowOff>309880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/>
      </xdr:nvCxnSpPr>
      <xdr:spPr>
        <a:xfrm flipH="1" flipV="1">
          <a:off x="3480435" y="2138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</xdr:row>
      <xdr:rowOff>152400</xdr:rowOff>
    </xdr:from>
    <xdr:to>
      <xdr:col>5</xdr:col>
      <xdr:colOff>1676400</xdr:colOff>
      <xdr:row>11</xdr:row>
      <xdr:rowOff>152400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CxnSpPr/>
      </xdr:nvCxnSpPr>
      <xdr:spPr>
        <a:xfrm>
          <a:off x="3486150" y="21640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</xdr:row>
      <xdr:rowOff>127000</xdr:rowOff>
    </xdr:from>
    <xdr:to>
      <xdr:col>5</xdr:col>
      <xdr:colOff>356810</xdr:colOff>
      <xdr:row>11</xdr:row>
      <xdr:rowOff>409912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CxnSpPr/>
      </xdr:nvCxnSpPr>
      <xdr:spPr>
        <a:xfrm flipH="1" flipV="1">
          <a:off x="3481009" y="2138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</xdr:row>
      <xdr:rowOff>134252</xdr:rowOff>
    </xdr:from>
    <xdr:to>
      <xdr:col>5</xdr:col>
      <xdr:colOff>1652211</xdr:colOff>
      <xdr:row>11</xdr:row>
      <xdr:rowOff>417164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CxnSpPr/>
      </xdr:nvCxnSpPr>
      <xdr:spPr>
        <a:xfrm flipH="1" flipV="1">
          <a:off x="3747710" y="2145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12</xdr:row>
      <xdr:rowOff>123824</xdr:rowOff>
    </xdr:from>
    <xdr:to>
      <xdr:col>5</xdr:col>
      <xdr:colOff>1428750</xdr:colOff>
      <xdr:row>12</xdr:row>
      <xdr:rowOff>1219199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3745230" y="23183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12</xdr:row>
      <xdr:rowOff>238127</xdr:rowOff>
    </xdr:from>
    <xdr:to>
      <xdr:col>5</xdr:col>
      <xdr:colOff>790575</xdr:colOff>
      <xdr:row>12</xdr:row>
      <xdr:rowOff>361950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CxnSpPr/>
      </xdr:nvCxnSpPr>
      <xdr:spPr>
        <a:xfrm flipH="1" flipV="1">
          <a:off x="3749041" y="23793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12</xdr:row>
      <xdr:rowOff>133352</xdr:rowOff>
    </xdr:from>
    <xdr:to>
      <xdr:col>5</xdr:col>
      <xdr:colOff>885825</xdr:colOff>
      <xdr:row>12</xdr:row>
      <xdr:rowOff>257175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CxnSpPr/>
      </xdr:nvCxnSpPr>
      <xdr:spPr>
        <a:xfrm flipH="1" flipV="1">
          <a:off x="3745231" y="23279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</xdr:row>
      <xdr:rowOff>127000</xdr:rowOff>
    </xdr:from>
    <xdr:to>
      <xdr:col>5</xdr:col>
      <xdr:colOff>356235</xdr:colOff>
      <xdr:row>16</xdr:row>
      <xdr:rowOff>309880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CxnSpPr/>
      </xdr:nvCxnSpPr>
      <xdr:spPr>
        <a:xfrm flipH="1" flipV="1">
          <a:off x="3480435" y="30530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</xdr:row>
      <xdr:rowOff>400050</xdr:rowOff>
    </xdr:from>
    <xdr:to>
      <xdr:col>5</xdr:col>
      <xdr:colOff>1666875</xdr:colOff>
      <xdr:row>16</xdr:row>
      <xdr:rowOff>400050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CxnSpPr/>
      </xdr:nvCxnSpPr>
      <xdr:spPr>
        <a:xfrm>
          <a:off x="3476625" y="31051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</xdr:row>
      <xdr:rowOff>127000</xdr:rowOff>
    </xdr:from>
    <xdr:to>
      <xdr:col>5</xdr:col>
      <xdr:colOff>356810</xdr:colOff>
      <xdr:row>16</xdr:row>
      <xdr:rowOff>409912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CxnSpPr/>
      </xdr:nvCxnSpPr>
      <xdr:spPr>
        <a:xfrm flipH="1" flipV="1">
          <a:off x="3481009" y="3053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</xdr:row>
      <xdr:rowOff>134252</xdr:rowOff>
    </xdr:from>
    <xdr:to>
      <xdr:col>5</xdr:col>
      <xdr:colOff>1652211</xdr:colOff>
      <xdr:row>16</xdr:row>
      <xdr:rowOff>417164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CxnSpPr/>
      </xdr:nvCxnSpPr>
      <xdr:spPr>
        <a:xfrm flipH="1" flipV="1">
          <a:off x="3747710" y="30603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</xdr:row>
      <xdr:rowOff>127000</xdr:rowOff>
    </xdr:from>
    <xdr:to>
      <xdr:col>5</xdr:col>
      <xdr:colOff>356235</xdr:colOff>
      <xdr:row>17</xdr:row>
      <xdr:rowOff>309880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CxnSpPr/>
      </xdr:nvCxnSpPr>
      <xdr:spPr>
        <a:xfrm flipH="1" flipV="1">
          <a:off x="3480435" y="3235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</xdr:row>
      <xdr:rowOff>152400</xdr:rowOff>
    </xdr:from>
    <xdr:to>
      <xdr:col>5</xdr:col>
      <xdr:colOff>1676400</xdr:colOff>
      <xdr:row>17</xdr:row>
      <xdr:rowOff>152400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CxnSpPr/>
      </xdr:nvCxnSpPr>
      <xdr:spPr>
        <a:xfrm>
          <a:off x="3486150" y="32613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</xdr:row>
      <xdr:rowOff>127000</xdr:rowOff>
    </xdr:from>
    <xdr:to>
      <xdr:col>5</xdr:col>
      <xdr:colOff>356810</xdr:colOff>
      <xdr:row>17</xdr:row>
      <xdr:rowOff>409912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CxnSpPr/>
      </xdr:nvCxnSpPr>
      <xdr:spPr>
        <a:xfrm flipH="1" flipV="1">
          <a:off x="3481009" y="3235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</xdr:row>
      <xdr:rowOff>134252</xdr:rowOff>
    </xdr:from>
    <xdr:to>
      <xdr:col>5</xdr:col>
      <xdr:colOff>1652211</xdr:colOff>
      <xdr:row>17</xdr:row>
      <xdr:rowOff>417164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CxnSpPr/>
      </xdr:nvCxnSpPr>
      <xdr:spPr>
        <a:xfrm flipH="1" flipV="1">
          <a:off x="3747710" y="3243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</xdr:row>
      <xdr:rowOff>123824</xdr:rowOff>
    </xdr:from>
    <xdr:to>
      <xdr:col>5</xdr:col>
      <xdr:colOff>1428750</xdr:colOff>
      <xdr:row>18</xdr:row>
      <xdr:rowOff>1219199</xdr:rowOff>
    </xdr:to>
    <xdr:sp macro="" textlink="">
      <xdr:nvSpPr>
        <xdr:cNvPr id="32" name="Rounded 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3745230" y="34156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</xdr:row>
      <xdr:rowOff>238127</xdr:rowOff>
    </xdr:from>
    <xdr:to>
      <xdr:col>5</xdr:col>
      <xdr:colOff>790575</xdr:colOff>
      <xdr:row>18</xdr:row>
      <xdr:rowOff>361950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CxnSpPr/>
      </xdr:nvCxnSpPr>
      <xdr:spPr>
        <a:xfrm flipH="1" flipV="1">
          <a:off x="3749041" y="34766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</xdr:row>
      <xdr:rowOff>133352</xdr:rowOff>
    </xdr:from>
    <xdr:to>
      <xdr:col>5</xdr:col>
      <xdr:colOff>885825</xdr:colOff>
      <xdr:row>18</xdr:row>
      <xdr:rowOff>257175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CxnSpPr/>
      </xdr:nvCxnSpPr>
      <xdr:spPr>
        <a:xfrm flipH="1" flipV="1">
          <a:off x="3745231" y="34251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22</xdr:row>
      <xdr:rowOff>127000</xdr:rowOff>
    </xdr:from>
    <xdr:to>
      <xdr:col>5</xdr:col>
      <xdr:colOff>356235</xdr:colOff>
      <xdr:row>22</xdr:row>
      <xdr:rowOff>309880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CxnSpPr/>
      </xdr:nvCxnSpPr>
      <xdr:spPr>
        <a:xfrm flipH="1" flipV="1">
          <a:off x="3480435" y="4150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22</xdr:row>
      <xdr:rowOff>400050</xdr:rowOff>
    </xdr:from>
    <xdr:to>
      <xdr:col>5</xdr:col>
      <xdr:colOff>1666875</xdr:colOff>
      <xdr:row>22</xdr:row>
      <xdr:rowOff>400050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CxnSpPr/>
      </xdr:nvCxnSpPr>
      <xdr:spPr>
        <a:xfrm>
          <a:off x="3476625" y="4202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22</xdr:row>
      <xdr:rowOff>127000</xdr:rowOff>
    </xdr:from>
    <xdr:to>
      <xdr:col>5</xdr:col>
      <xdr:colOff>356810</xdr:colOff>
      <xdr:row>22</xdr:row>
      <xdr:rowOff>409912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CxnSpPr/>
      </xdr:nvCxnSpPr>
      <xdr:spPr>
        <a:xfrm flipH="1" flipV="1">
          <a:off x="3481009" y="4150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22</xdr:row>
      <xdr:rowOff>134252</xdr:rowOff>
    </xdr:from>
    <xdr:to>
      <xdr:col>5</xdr:col>
      <xdr:colOff>1652211</xdr:colOff>
      <xdr:row>22</xdr:row>
      <xdr:rowOff>417164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CxnSpPr/>
      </xdr:nvCxnSpPr>
      <xdr:spPr>
        <a:xfrm flipH="1" flipV="1">
          <a:off x="3747710" y="4157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</xdr:row>
      <xdr:rowOff>127000</xdr:rowOff>
    </xdr:from>
    <xdr:to>
      <xdr:col>5</xdr:col>
      <xdr:colOff>356235</xdr:colOff>
      <xdr:row>23</xdr:row>
      <xdr:rowOff>309880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CxnSpPr/>
      </xdr:nvCxnSpPr>
      <xdr:spPr>
        <a:xfrm flipH="1" flipV="1">
          <a:off x="3480435" y="4333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23</xdr:row>
      <xdr:rowOff>152400</xdr:rowOff>
    </xdr:from>
    <xdr:to>
      <xdr:col>5</xdr:col>
      <xdr:colOff>1676400</xdr:colOff>
      <xdr:row>23</xdr:row>
      <xdr:rowOff>152400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CxnSpPr/>
      </xdr:nvCxnSpPr>
      <xdr:spPr>
        <a:xfrm>
          <a:off x="3486150" y="4358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</xdr:row>
      <xdr:rowOff>127000</xdr:rowOff>
    </xdr:from>
    <xdr:to>
      <xdr:col>5</xdr:col>
      <xdr:colOff>356810</xdr:colOff>
      <xdr:row>23</xdr:row>
      <xdr:rowOff>409912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CxnSpPr/>
      </xdr:nvCxnSpPr>
      <xdr:spPr>
        <a:xfrm flipH="1" flipV="1">
          <a:off x="3481009" y="4333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</xdr:row>
      <xdr:rowOff>134252</xdr:rowOff>
    </xdr:from>
    <xdr:to>
      <xdr:col>5</xdr:col>
      <xdr:colOff>1652211</xdr:colOff>
      <xdr:row>23</xdr:row>
      <xdr:rowOff>417164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CxnSpPr/>
      </xdr:nvCxnSpPr>
      <xdr:spPr>
        <a:xfrm flipH="1" flipV="1">
          <a:off x="3747710" y="4340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</xdr:row>
      <xdr:rowOff>123824</xdr:rowOff>
    </xdr:from>
    <xdr:to>
      <xdr:col>5</xdr:col>
      <xdr:colOff>1428750</xdr:colOff>
      <xdr:row>24</xdr:row>
      <xdr:rowOff>1219199</xdr:rowOff>
    </xdr:to>
    <xdr:sp macro="" textlink="">
      <xdr:nvSpPr>
        <xdr:cNvPr id="43" name="Rounded Rectangle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3745230" y="4512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</xdr:row>
      <xdr:rowOff>238127</xdr:rowOff>
    </xdr:from>
    <xdr:to>
      <xdr:col>5</xdr:col>
      <xdr:colOff>790575</xdr:colOff>
      <xdr:row>24</xdr:row>
      <xdr:rowOff>361950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CxnSpPr/>
      </xdr:nvCxnSpPr>
      <xdr:spPr>
        <a:xfrm flipH="1" flipV="1">
          <a:off x="3749041" y="4573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</xdr:row>
      <xdr:rowOff>133352</xdr:rowOff>
    </xdr:from>
    <xdr:to>
      <xdr:col>5</xdr:col>
      <xdr:colOff>885825</xdr:colOff>
      <xdr:row>24</xdr:row>
      <xdr:rowOff>257175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CxnSpPr/>
      </xdr:nvCxnSpPr>
      <xdr:spPr>
        <a:xfrm flipH="1" flipV="1">
          <a:off x="3745231" y="4522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28</xdr:row>
      <xdr:rowOff>127000</xdr:rowOff>
    </xdr:from>
    <xdr:to>
      <xdr:col>5</xdr:col>
      <xdr:colOff>356235</xdr:colOff>
      <xdr:row>28</xdr:row>
      <xdr:rowOff>309880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CxnSpPr/>
      </xdr:nvCxnSpPr>
      <xdr:spPr>
        <a:xfrm flipH="1" flipV="1">
          <a:off x="3480435" y="52476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28</xdr:row>
      <xdr:rowOff>400050</xdr:rowOff>
    </xdr:from>
    <xdr:to>
      <xdr:col>5</xdr:col>
      <xdr:colOff>1666875</xdr:colOff>
      <xdr:row>28</xdr:row>
      <xdr:rowOff>400050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CxnSpPr/>
      </xdr:nvCxnSpPr>
      <xdr:spPr>
        <a:xfrm>
          <a:off x="3476625" y="52997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28</xdr:row>
      <xdr:rowOff>127000</xdr:rowOff>
    </xdr:from>
    <xdr:to>
      <xdr:col>5</xdr:col>
      <xdr:colOff>356810</xdr:colOff>
      <xdr:row>28</xdr:row>
      <xdr:rowOff>409912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CxnSpPr/>
      </xdr:nvCxnSpPr>
      <xdr:spPr>
        <a:xfrm flipH="1" flipV="1">
          <a:off x="3481009" y="52476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28</xdr:row>
      <xdr:rowOff>134252</xdr:rowOff>
    </xdr:from>
    <xdr:to>
      <xdr:col>5</xdr:col>
      <xdr:colOff>1652211</xdr:colOff>
      <xdr:row>28</xdr:row>
      <xdr:rowOff>417164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CxnSpPr/>
      </xdr:nvCxnSpPr>
      <xdr:spPr>
        <a:xfrm flipH="1" flipV="1">
          <a:off x="3747710" y="52548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29</xdr:row>
      <xdr:rowOff>127000</xdr:rowOff>
    </xdr:from>
    <xdr:to>
      <xdr:col>5</xdr:col>
      <xdr:colOff>356235</xdr:colOff>
      <xdr:row>29</xdr:row>
      <xdr:rowOff>309880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CxnSpPr/>
      </xdr:nvCxnSpPr>
      <xdr:spPr>
        <a:xfrm flipH="1" flipV="1">
          <a:off x="3480435" y="54305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29</xdr:row>
      <xdr:rowOff>152400</xdr:rowOff>
    </xdr:from>
    <xdr:to>
      <xdr:col>5</xdr:col>
      <xdr:colOff>1676400</xdr:colOff>
      <xdr:row>29</xdr:row>
      <xdr:rowOff>152400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CxnSpPr/>
      </xdr:nvCxnSpPr>
      <xdr:spPr>
        <a:xfrm>
          <a:off x="3486150" y="54559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29</xdr:row>
      <xdr:rowOff>127000</xdr:rowOff>
    </xdr:from>
    <xdr:to>
      <xdr:col>5</xdr:col>
      <xdr:colOff>356810</xdr:colOff>
      <xdr:row>29</xdr:row>
      <xdr:rowOff>409912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CxnSpPr/>
      </xdr:nvCxnSpPr>
      <xdr:spPr>
        <a:xfrm flipH="1" flipV="1">
          <a:off x="3481009" y="54305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29</xdr:row>
      <xdr:rowOff>134252</xdr:rowOff>
    </xdr:from>
    <xdr:to>
      <xdr:col>5</xdr:col>
      <xdr:colOff>1652211</xdr:colOff>
      <xdr:row>29</xdr:row>
      <xdr:rowOff>417164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CxnSpPr/>
      </xdr:nvCxnSpPr>
      <xdr:spPr>
        <a:xfrm flipH="1" flipV="1">
          <a:off x="3747710" y="54377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30</xdr:row>
      <xdr:rowOff>123824</xdr:rowOff>
    </xdr:from>
    <xdr:to>
      <xdr:col>5</xdr:col>
      <xdr:colOff>1428750</xdr:colOff>
      <xdr:row>30</xdr:row>
      <xdr:rowOff>1219199</xdr:rowOff>
    </xdr:to>
    <xdr:sp macro="" textlink="">
      <xdr:nvSpPr>
        <xdr:cNvPr id="54" name="Rounded Rectangle 53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/>
      </xdr:nvSpPr>
      <xdr:spPr>
        <a:xfrm>
          <a:off x="3745230" y="56102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30</xdr:row>
      <xdr:rowOff>238127</xdr:rowOff>
    </xdr:from>
    <xdr:to>
      <xdr:col>5</xdr:col>
      <xdr:colOff>790575</xdr:colOff>
      <xdr:row>30</xdr:row>
      <xdr:rowOff>361950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CxnSpPr/>
      </xdr:nvCxnSpPr>
      <xdr:spPr>
        <a:xfrm flipH="1" flipV="1">
          <a:off x="3749041" y="56711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30</xdr:row>
      <xdr:rowOff>133352</xdr:rowOff>
    </xdr:from>
    <xdr:to>
      <xdr:col>5</xdr:col>
      <xdr:colOff>885825</xdr:colOff>
      <xdr:row>30</xdr:row>
      <xdr:rowOff>257175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CxnSpPr/>
      </xdr:nvCxnSpPr>
      <xdr:spPr>
        <a:xfrm flipH="1" flipV="1">
          <a:off x="3745231" y="56197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34</xdr:row>
      <xdr:rowOff>127000</xdr:rowOff>
    </xdr:from>
    <xdr:to>
      <xdr:col>5</xdr:col>
      <xdr:colOff>356235</xdr:colOff>
      <xdr:row>34</xdr:row>
      <xdr:rowOff>309880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CxnSpPr/>
      </xdr:nvCxnSpPr>
      <xdr:spPr>
        <a:xfrm flipH="1" flipV="1">
          <a:off x="3480435" y="63449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34</xdr:row>
      <xdr:rowOff>400050</xdr:rowOff>
    </xdr:from>
    <xdr:to>
      <xdr:col>5</xdr:col>
      <xdr:colOff>1666875</xdr:colOff>
      <xdr:row>34</xdr:row>
      <xdr:rowOff>400050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CxnSpPr/>
      </xdr:nvCxnSpPr>
      <xdr:spPr>
        <a:xfrm>
          <a:off x="3476625" y="63969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34</xdr:row>
      <xdr:rowOff>127000</xdr:rowOff>
    </xdr:from>
    <xdr:to>
      <xdr:col>5</xdr:col>
      <xdr:colOff>356810</xdr:colOff>
      <xdr:row>34</xdr:row>
      <xdr:rowOff>409912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CxnSpPr/>
      </xdr:nvCxnSpPr>
      <xdr:spPr>
        <a:xfrm flipH="1" flipV="1">
          <a:off x="3481009" y="63449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34</xdr:row>
      <xdr:rowOff>134252</xdr:rowOff>
    </xdr:from>
    <xdr:to>
      <xdr:col>5</xdr:col>
      <xdr:colOff>1652211</xdr:colOff>
      <xdr:row>34</xdr:row>
      <xdr:rowOff>417164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CxnSpPr/>
      </xdr:nvCxnSpPr>
      <xdr:spPr>
        <a:xfrm flipH="1" flipV="1">
          <a:off x="3747710" y="63521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35</xdr:row>
      <xdr:rowOff>127000</xdr:rowOff>
    </xdr:from>
    <xdr:to>
      <xdr:col>5</xdr:col>
      <xdr:colOff>356235</xdr:colOff>
      <xdr:row>35</xdr:row>
      <xdr:rowOff>309880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CxnSpPr/>
      </xdr:nvCxnSpPr>
      <xdr:spPr>
        <a:xfrm flipH="1" flipV="1">
          <a:off x="3480435" y="65278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35</xdr:row>
      <xdr:rowOff>152400</xdr:rowOff>
    </xdr:from>
    <xdr:to>
      <xdr:col>5</xdr:col>
      <xdr:colOff>1676400</xdr:colOff>
      <xdr:row>35</xdr:row>
      <xdr:rowOff>152400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CxnSpPr/>
      </xdr:nvCxnSpPr>
      <xdr:spPr>
        <a:xfrm>
          <a:off x="3486150" y="65532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35</xdr:row>
      <xdr:rowOff>127000</xdr:rowOff>
    </xdr:from>
    <xdr:to>
      <xdr:col>5</xdr:col>
      <xdr:colOff>356810</xdr:colOff>
      <xdr:row>35</xdr:row>
      <xdr:rowOff>409912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CxnSpPr/>
      </xdr:nvCxnSpPr>
      <xdr:spPr>
        <a:xfrm flipH="1" flipV="1">
          <a:off x="3481009" y="65278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35</xdr:row>
      <xdr:rowOff>134252</xdr:rowOff>
    </xdr:from>
    <xdr:to>
      <xdr:col>5</xdr:col>
      <xdr:colOff>1652211</xdr:colOff>
      <xdr:row>35</xdr:row>
      <xdr:rowOff>417164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CxnSpPr/>
      </xdr:nvCxnSpPr>
      <xdr:spPr>
        <a:xfrm flipH="1" flipV="1">
          <a:off x="3747710" y="65350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37</xdr:row>
      <xdr:rowOff>123824</xdr:rowOff>
    </xdr:from>
    <xdr:to>
      <xdr:col>5</xdr:col>
      <xdr:colOff>1428750</xdr:colOff>
      <xdr:row>37</xdr:row>
      <xdr:rowOff>1219199</xdr:rowOff>
    </xdr:to>
    <xdr:sp macro="" textlink="">
      <xdr:nvSpPr>
        <xdr:cNvPr id="65" name="Rounded Rectangle 64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>
          <a:off x="3745230" y="68903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37</xdr:row>
      <xdr:rowOff>238127</xdr:rowOff>
    </xdr:from>
    <xdr:to>
      <xdr:col>5</xdr:col>
      <xdr:colOff>790575</xdr:colOff>
      <xdr:row>37</xdr:row>
      <xdr:rowOff>361950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CxnSpPr/>
      </xdr:nvCxnSpPr>
      <xdr:spPr>
        <a:xfrm flipH="1" flipV="1">
          <a:off x="3749041" y="69513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37</xdr:row>
      <xdr:rowOff>133352</xdr:rowOff>
    </xdr:from>
    <xdr:to>
      <xdr:col>5</xdr:col>
      <xdr:colOff>885825</xdr:colOff>
      <xdr:row>37</xdr:row>
      <xdr:rowOff>257175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CxnSpPr/>
      </xdr:nvCxnSpPr>
      <xdr:spPr>
        <a:xfrm flipH="1" flipV="1">
          <a:off x="3745231" y="68999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36</xdr:row>
      <xdr:rowOff>190500</xdr:rowOff>
    </xdr:from>
    <xdr:to>
      <xdr:col>5</xdr:col>
      <xdr:colOff>1628775</xdr:colOff>
      <xdr:row>36</xdr:row>
      <xdr:rowOff>190500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CxnSpPr/>
      </xdr:nvCxnSpPr>
      <xdr:spPr>
        <a:xfrm>
          <a:off x="3438525" y="676656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41</xdr:row>
      <xdr:rowOff>127000</xdr:rowOff>
    </xdr:from>
    <xdr:to>
      <xdr:col>5</xdr:col>
      <xdr:colOff>356235</xdr:colOff>
      <xdr:row>41</xdr:row>
      <xdr:rowOff>309880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CxnSpPr/>
      </xdr:nvCxnSpPr>
      <xdr:spPr>
        <a:xfrm flipH="1" flipV="1">
          <a:off x="3480435" y="76250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41</xdr:row>
      <xdr:rowOff>400050</xdr:rowOff>
    </xdr:from>
    <xdr:to>
      <xdr:col>5</xdr:col>
      <xdr:colOff>1666875</xdr:colOff>
      <xdr:row>41</xdr:row>
      <xdr:rowOff>400050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CxnSpPr/>
      </xdr:nvCxnSpPr>
      <xdr:spPr>
        <a:xfrm>
          <a:off x="3476625" y="76771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41</xdr:row>
      <xdr:rowOff>127000</xdr:rowOff>
    </xdr:from>
    <xdr:to>
      <xdr:col>5</xdr:col>
      <xdr:colOff>356810</xdr:colOff>
      <xdr:row>41</xdr:row>
      <xdr:rowOff>409912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CxnSpPr/>
      </xdr:nvCxnSpPr>
      <xdr:spPr>
        <a:xfrm flipH="1" flipV="1">
          <a:off x="3481009" y="7625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41</xdr:row>
      <xdr:rowOff>134252</xdr:rowOff>
    </xdr:from>
    <xdr:to>
      <xdr:col>5</xdr:col>
      <xdr:colOff>1652211</xdr:colOff>
      <xdr:row>41</xdr:row>
      <xdr:rowOff>417164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CxnSpPr/>
      </xdr:nvCxnSpPr>
      <xdr:spPr>
        <a:xfrm flipH="1" flipV="1">
          <a:off x="3747710" y="76323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42</xdr:row>
      <xdr:rowOff>127000</xdr:rowOff>
    </xdr:from>
    <xdr:to>
      <xdr:col>5</xdr:col>
      <xdr:colOff>356235</xdr:colOff>
      <xdr:row>42</xdr:row>
      <xdr:rowOff>309880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CxnSpPr/>
      </xdr:nvCxnSpPr>
      <xdr:spPr>
        <a:xfrm flipH="1" flipV="1">
          <a:off x="3480435" y="7807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42</xdr:row>
      <xdr:rowOff>152400</xdr:rowOff>
    </xdr:from>
    <xdr:to>
      <xdr:col>5</xdr:col>
      <xdr:colOff>1676400</xdr:colOff>
      <xdr:row>42</xdr:row>
      <xdr:rowOff>152400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CxnSpPr/>
      </xdr:nvCxnSpPr>
      <xdr:spPr>
        <a:xfrm>
          <a:off x="3486150" y="78333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43</xdr:row>
      <xdr:rowOff>174625</xdr:rowOff>
    </xdr:from>
    <xdr:to>
      <xdr:col>5</xdr:col>
      <xdr:colOff>327661</xdr:colOff>
      <xdr:row>43</xdr:row>
      <xdr:rowOff>457537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CxnSpPr/>
      </xdr:nvCxnSpPr>
      <xdr:spPr>
        <a:xfrm flipH="1" flipV="1">
          <a:off x="3451860" y="803846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42</xdr:row>
      <xdr:rowOff>134252</xdr:rowOff>
    </xdr:from>
    <xdr:to>
      <xdr:col>5</xdr:col>
      <xdr:colOff>1652211</xdr:colOff>
      <xdr:row>42</xdr:row>
      <xdr:rowOff>417164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CxnSpPr/>
      </xdr:nvCxnSpPr>
      <xdr:spPr>
        <a:xfrm flipH="1" flipV="1">
          <a:off x="3747710" y="7815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44</xdr:row>
      <xdr:rowOff>123824</xdr:rowOff>
    </xdr:from>
    <xdr:to>
      <xdr:col>5</xdr:col>
      <xdr:colOff>1428750</xdr:colOff>
      <xdr:row>44</xdr:row>
      <xdr:rowOff>1219199</xdr:rowOff>
    </xdr:to>
    <xdr:sp macro="" textlink="">
      <xdr:nvSpPr>
        <xdr:cNvPr id="77" name="Rounded Rectangle 76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/>
      </xdr:nvSpPr>
      <xdr:spPr>
        <a:xfrm>
          <a:off x="3745230" y="81705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44</xdr:row>
      <xdr:rowOff>238127</xdr:rowOff>
    </xdr:from>
    <xdr:to>
      <xdr:col>5</xdr:col>
      <xdr:colOff>790575</xdr:colOff>
      <xdr:row>44</xdr:row>
      <xdr:rowOff>361950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CxnSpPr/>
      </xdr:nvCxnSpPr>
      <xdr:spPr>
        <a:xfrm flipH="1" flipV="1">
          <a:off x="3749041" y="82315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44</xdr:row>
      <xdr:rowOff>133352</xdr:rowOff>
    </xdr:from>
    <xdr:to>
      <xdr:col>5</xdr:col>
      <xdr:colOff>885825</xdr:colOff>
      <xdr:row>44</xdr:row>
      <xdr:rowOff>257175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CxnSpPr/>
      </xdr:nvCxnSpPr>
      <xdr:spPr>
        <a:xfrm flipH="1" flipV="1">
          <a:off x="3745231" y="81800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43</xdr:row>
      <xdr:rowOff>200025</xdr:rowOff>
    </xdr:from>
    <xdr:to>
      <xdr:col>5</xdr:col>
      <xdr:colOff>1638300</xdr:colOff>
      <xdr:row>43</xdr:row>
      <xdr:rowOff>200025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CxnSpPr/>
      </xdr:nvCxnSpPr>
      <xdr:spPr>
        <a:xfrm>
          <a:off x="3448050" y="804862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48</xdr:row>
      <xdr:rowOff>127000</xdr:rowOff>
    </xdr:from>
    <xdr:to>
      <xdr:col>5</xdr:col>
      <xdr:colOff>356235</xdr:colOff>
      <xdr:row>48</xdr:row>
      <xdr:rowOff>309880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CxnSpPr/>
      </xdr:nvCxnSpPr>
      <xdr:spPr>
        <a:xfrm flipH="1" flipV="1">
          <a:off x="3480435" y="8905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48</xdr:row>
      <xdr:rowOff>400050</xdr:rowOff>
    </xdr:from>
    <xdr:to>
      <xdr:col>5</xdr:col>
      <xdr:colOff>1666875</xdr:colOff>
      <xdr:row>48</xdr:row>
      <xdr:rowOff>400050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CxnSpPr/>
      </xdr:nvCxnSpPr>
      <xdr:spPr>
        <a:xfrm>
          <a:off x="3476625" y="89573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48</xdr:row>
      <xdr:rowOff>127000</xdr:rowOff>
    </xdr:from>
    <xdr:to>
      <xdr:col>5</xdr:col>
      <xdr:colOff>356810</xdr:colOff>
      <xdr:row>48</xdr:row>
      <xdr:rowOff>409912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CxnSpPr/>
      </xdr:nvCxnSpPr>
      <xdr:spPr>
        <a:xfrm flipH="1" flipV="1">
          <a:off x="3481009" y="8905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48</xdr:row>
      <xdr:rowOff>134252</xdr:rowOff>
    </xdr:from>
    <xdr:to>
      <xdr:col>5</xdr:col>
      <xdr:colOff>1652211</xdr:colOff>
      <xdr:row>48</xdr:row>
      <xdr:rowOff>417164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CxnSpPr/>
      </xdr:nvCxnSpPr>
      <xdr:spPr>
        <a:xfrm flipH="1" flipV="1">
          <a:off x="3747710" y="8912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50</xdr:row>
      <xdr:rowOff>127000</xdr:rowOff>
    </xdr:from>
    <xdr:to>
      <xdr:col>5</xdr:col>
      <xdr:colOff>356235</xdr:colOff>
      <xdr:row>50</xdr:row>
      <xdr:rowOff>309880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CxnSpPr/>
      </xdr:nvCxnSpPr>
      <xdr:spPr>
        <a:xfrm flipH="1" flipV="1">
          <a:off x="3480435" y="9271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50</xdr:row>
      <xdr:rowOff>152400</xdr:rowOff>
    </xdr:from>
    <xdr:to>
      <xdr:col>5</xdr:col>
      <xdr:colOff>1676400</xdr:colOff>
      <xdr:row>50</xdr:row>
      <xdr:rowOff>152400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CxnSpPr/>
      </xdr:nvCxnSpPr>
      <xdr:spPr>
        <a:xfrm>
          <a:off x="3486150" y="9296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50</xdr:row>
      <xdr:rowOff>127000</xdr:rowOff>
    </xdr:from>
    <xdr:to>
      <xdr:col>5</xdr:col>
      <xdr:colOff>356810</xdr:colOff>
      <xdr:row>50</xdr:row>
      <xdr:rowOff>409912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CxnSpPr/>
      </xdr:nvCxnSpPr>
      <xdr:spPr>
        <a:xfrm flipH="1" flipV="1">
          <a:off x="3481009" y="9271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50</xdr:row>
      <xdr:rowOff>134252</xdr:rowOff>
    </xdr:from>
    <xdr:to>
      <xdr:col>5</xdr:col>
      <xdr:colOff>1652211</xdr:colOff>
      <xdr:row>50</xdr:row>
      <xdr:rowOff>417164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CxnSpPr/>
      </xdr:nvCxnSpPr>
      <xdr:spPr>
        <a:xfrm flipH="1" flipV="1">
          <a:off x="3747710" y="9278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51</xdr:row>
      <xdr:rowOff>123824</xdr:rowOff>
    </xdr:from>
    <xdr:to>
      <xdr:col>5</xdr:col>
      <xdr:colOff>1428750</xdr:colOff>
      <xdr:row>51</xdr:row>
      <xdr:rowOff>1219199</xdr:rowOff>
    </xdr:to>
    <xdr:sp macro="" textlink="">
      <xdr:nvSpPr>
        <xdr:cNvPr id="89" name="Rounded Rectangle 88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/>
      </xdr:nvSpPr>
      <xdr:spPr>
        <a:xfrm>
          <a:off x="3745230" y="9450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51</xdr:row>
      <xdr:rowOff>238127</xdr:rowOff>
    </xdr:from>
    <xdr:to>
      <xdr:col>5</xdr:col>
      <xdr:colOff>790575</xdr:colOff>
      <xdr:row>51</xdr:row>
      <xdr:rowOff>361950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CxnSpPr/>
      </xdr:nvCxnSpPr>
      <xdr:spPr>
        <a:xfrm flipH="1" flipV="1">
          <a:off x="3749041" y="9511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51</xdr:row>
      <xdr:rowOff>133352</xdr:rowOff>
    </xdr:from>
    <xdr:to>
      <xdr:col>5</xdr:col>
      <xdr:colOff>885825</xdr:colOff>
      <xdr:row>51</xdr:row>
      <xdr:rowOff>257175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CxnSpPr/>
      </xdr:nvCxnSpPr>
      <xdr:spPr>
        <a:xfrm flipH="1" flipV="1">
          <a:off x="3745231" y="9460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49</xdr:row>
      <xdr:rowOff>190500</xdr:rowOff>
    </xdr:from>
    <xdr:to>
      <xdr:col>5</xdr:col>
      <xdr:colOff>1628775</xdr:colOff>
      <xdr:row>49</xdr:row>
      <xdr:rowOff>190500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CxnSpPr/>
      </xdr:nvCxnSpPr>
      <xdr:spPr>
        <a:xfrm>
          <a:off x="3438525" y="914400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55</xdr:row>
      <xdr:rowOff>127000</xdr:rowOff>
    </xdr:from>
    <xdr:to>
      <xdr:col>5</xdr:col>
      <xdr:colOff>356235</xdr:colOff>
      <xdr:row>55</xdr:row>
      <xdr:rowOff>309880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CxnSpPr/>
      </xdr:nvCxnSpPr>
      <xdr:spPr>
        <a:xfrm flipH="1" flipV="1">
          <a:off x="3480435" y="10185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55</xdr:row>
      <xdr:rowOff>400050</xdr:rowOff>
    </xdr:from>
    <xdr:to>
      <xdr:col>5</xdr:col>
      <xdr:colOff>1666875</xdr:colOff>
      <xdr:row>55</xdr:row>
      <xdr:rowOff>400050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CxnSpPr/>
      </xdr:nvCxnSpPr>
      <xdr:spPr>
        <a:xfrm>
          <a:off x="3476625" y="10237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55</xdr:row>
      <xdr:rowOff>127000</xdr:rowOff>
    </xdr:from>
    <xdr:to>
      <xdr:col>5</xdr:col>
      <xdr:colOff>356810</xdr:colOff>
      <xdr:row>55</xdr:row>
      <xdr:rowOff>409912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CxnSpPr/>
      </xdr:nvCxnSpPr>
      <xdr:spPr>
        <a:xfrm flipH="1" flipV="1">
          <a:off x="3481009" y="10185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55</xdr:row>
      <xdr:rowOff>134252</xdr:rowOff>
    </xdr:from>
    <xdr:to>
      <xdr:col>5</xdr:col>
      <xdr:colOff>1652211</xdr:colOff>
      <xdr:row>55</xdr:row>
      <xdr:rowOff>417164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CxnSpPr/>
      </xdr:nvCxnSpPr>
      <xdr:spPr>
        <a:xfrm flipH="1" flipV="1">
          <a:off x="3747710" y="10192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56</xdr:row>
      <xdr:rowOff>127000</xdr:rowOff>
    </xdr:from>
    <xdr:to>
      <xdr:col>5</xdr:col>
      <xdr:colOff>356235</xdr:colOff>
      <xdr:row>56</xdr:row>
      <xdr:rowOff>309880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CxnSpPr/>
      </xdr:nvCxnSpPr>
      <xdr:spPr>
        <a:xfrm flipH="1" flipV="1">
          <a:off x="3480435" y="10368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56</xdr:row>
      <xdr:rowOff>152400</xdr:rowOff>
    </xdr:from>
    <xdr:to>
      <xdr:col>5</xdr:col>
      <xdr:colOff>1676400</xdr:colOff>
      <xdr:row>56</xdr:row>
      <xdr:rowOff>152400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CxnSpPr/>
      </xdr:nvCxnSpPr>
      <xdr:spPr>
        <a:xfrm>
          <a:off x="3486150" y="10393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56</xdr:row>
      <xdr:rowOff>127000</xdr:rowOff>
    </xdr:from>
    <xdr:to>
      <xdr:col>5</xdr:col>
      <xdr:colOff>356810</xdr:colOff>
      <xdr:row>56</xdr:row>
      <xdr:rowOff>409912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CxnSpPr/>
      </xdr:nvCxnSpPr>
      <xdr:spPr>
        <a:xfrm flipH="1" flipV="1">
          <a:off x="3481009" y="10368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56</xdr:row>
      <xdr:rowOff>134252</xdr:rowOff>
    </xdr:from>
    <xdr:to>
      <xdr:col>5</xdr:col>
      <xdr:colOff>1652211</xdr:colOff>
      <xdr:row>56</xdr:row>
      <xdr:rowOff>417164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CxnSpPr/>
      </xdr:nvCxnSpPr>
      <xdr:spPr>
        <a:xfrm flipH="1" flipV="1">
          <a:off x="3747710" y="10375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57</xdr:row>
      <xdr:rowOff>123824</xdr:rowOff>
    </xdr:from>
    <xdr:to>
      <xdr:col>5</xdr:col>
      <xdr:colOff>1428750</xdr:colOff>
      <xdr:row>57</xdr:row>
      <xdr:rowOff>1219199</xdr:rowOff>
    </xdr:to>
    <xdr:sp macro="" textlink="">
      <xdr:nvSpPr>
        <xdr:cNvPr id="101" name="Rounded Rectangle 100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/>
      </xdr:nvSpPr>
      <xdr:spPr>
        <a:xfrm>
          <a:off x="3745230" y="10547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57</xdr:row>
      <xdr:rowOff>238127</xdr:rowOff>
    </xdr:from>
    <xdr:to>
      <xdr:col>5</xdr:col>
      <xdr:colOff>790575</xdr:colOff>
      <xdr:row>57</xdr:row>
      <xdr:rowOff>361950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CxnSpPr/>
      </xdr:nvCxnSpPr>
      <xdr:spPr>
        <a:xfrm flipH="1" flipV="1">
          <a:off x="3749041" y="10608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57</xdr:row>
      <xdr:rowOff>133352</xdr:rowOff>
    </xdr:from>
    <xdr:to>
      <xdr:col>5</xdr:col>
      <xdr:colOff>885825</xdr:colOff>
      <xdr:row>57</xdr:row>
      <xdr:rowOff>257175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CxnSpPr/>
      </xdr:nvCxnSpPr>
      <xdr:spPr>
        <a:xfrm flipH="1" flipV="1">
          <a:off x="3745231" y="10557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61</xdr:row>
      <xdr:rowOff>127000</xdr:rowOff>
    </xdr:from>
    <xdr:to>
      <xdr:col>5</xdr:col>
      <xdr:colOff>356235</xdr:colOff>
      <xdr:row>61</xdr:row>
      <xdr:rowOff>309880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CxnSpPr/>
      </xdr:nvCxnSpPr>
      <xdr:spPr>
        <a:xfrm flipH="1" flipV="1">
          <a:off x="3480435" y="11282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61</xdr:row>
      <xdr:rowOff>400050</xdr:rowOff>
    </xdr:from>
    <xdr:to>
      <xdr:col>5</xdr:col>
      <xdr:colOff>1666875</xdr:colOff>
      <xdr:row>61</xdr:row>
      <xdr:rowOff>400050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CxnSpPr/>
      </xdr:nvCxnSpPr>
      <xdr:spPr>
        <a:xfrm>
          <a:off x="3476625" y="11334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61</xdr:row>
      <xdr:rowOff>127000</xdr:rowOff>
    </xdr:from>
    <xdr:to>
      <xdr:col>5</xdr:col>
      <xdr:colOff>356810</xdr:colOff>
      <xdr:row>61</xdr:row>
      <xdr:rowOff>409912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CxnSpPr/>
      </xdr:nvCxnSpPr>
      <xdr:spPr>
        <a:xfrm flipH="1" flipV="1">
          <a:off x="3481009" y="11282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61</xdr:row>
      <xdr:rowOff>134252</xdr:rowOff>
    </xdr:from>
    <xdr:to>
      <xdr:col>5</xdr:col>
      <xdr:colOff>1652211</xdr:colOff>
      <xdr:row>61</xdr:row>
      <xdr:rowOff>417164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CxnSpPr/>
      </xdr:nvCxnSpPr>
      <xdr:spPr>
        <a:xfrm flipH="1" flipV="1">
          <a:off x="3747710" y="11289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63</xdr:row>
      <xdr:rowOff>127000</xdr:rowOff>
    </xdr:from>
    <xdr:to>
      <xdr:col>5</xdr:col>
      <xdr:colOff>356235</xdr:colOff>
      <xdr:row>63</xdr:row>
      <xdr:rowOff>309880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CxnSpPr/>
      </xdr:nvCxnSpPr>
      <xdr:spPr>
        <a:xfrm flipH="1" flipV="1">
          <a:off x="3480435" y="11648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63</xdr:row>
      <xdr:rowOff>152400</xdr:rowOff>
    </xdr:from>
    <xdr:to>
      <xdr:col>5</xdr:col>
      <xdr:colOff>1676400</xdr:colOff>
      <xdr:row>63</xdr:row>
      <xdr:rowOff>152400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CxnSpPr/>
      </xdr:nvCxnSpPr>
      <xdr:spPr>
        <a:xfrm>
          <a:off x="3486150" y="11673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63</xdr:row>
      <xdr:rowOff>127000</xdr:rowOff>
    </xdr:from>
    <xdr:to>
      <xdr:col>5</xdr:col>
      <xdr:colOff>356810</xdr:colOff>
      <xdr:row>63</xdr:row>
      <xdr:rowOff>409912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CxnSpPr/>
      </xdr:nvCxnSpPr>
      <xdr:spPr>
        <a:xfrm flipH="1" flipV="1">
          <a:off x="3481009" y="11648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63</xdr:row>
      <xdr:rowOff>134252</xdr:rowOff>
    </xdr:from>
    <xdr:to>
      <xdr:col>5</xdr:col>
      <xdr:colOff>1652211</xdr:colOff>
      <xdr:row>63</xdr:row>
      <xdr:rowOff>417164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CxnSpPr/>
      </xdr:nvCxnSpPr>
      <xdr:spPr>
        <a:xfrm flipH="1" flipV="1">
          <a:off x="3747710" y="11655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64</xdr:row>
      <xdr:rowOff>123824</xdr:rowOff>
    </xdr:from>
    <xdr:to>
      <xdr:col>5</xdr:col>
      <xdr:colOff>1428750</xdr:colOff>
      <xdr:row>64</xdr:row>
      <xdr:rowOff>1219199</xdr:rowOff>
    </xdr:to>
    <xdr:sp macro="" textlink="">
      <xdr:nvSpPr>
        <xdr:cNvPr id="112" name="Rounded Rectangle 111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/>
      </xdr:nvSpPr>
      <xdr:spPr>
        <a:xfrm>
          <a:off x="3745230" y="11828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64</xdr:row>
      <xdr:rowOff>238127</xdr:rowOff>
    </xdr:from>
    <xdr:to>
      <xdr:col>5</xdr:col>
      <xdr:colOff>790575</xdr:colOff>
      <xdr:row>64</xdr:row>
      <xdr:rowOff>361950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CxnSpPr/>
      </xdr:nvCxnSpPr>
      <xdr:spPr>
        <a:xfrm flipH="1" flipV="1">
          <a:off x="3749041" y="11889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64</xdr:row>
      <xdr:rowOff>133352</xdr:rowOff>
    </xdr:from>
    <xdr:to>
      <xdr:col>5</xdr:col>
      <xdr:colOff>885825</xdr:colOff>
      <xdr:row>64</xdr:row>
      <xdr:rowOff>257175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CxnSpPr/>
      </xdr:nvCxnSpPr>
      <xdr:spPr>
        <a:xfrm flipH="1" flipV="1">
          <a:off x="3745231" y="11837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62</xdr:row>
      <xdr:rowOff>190500</xdr:rowOff>
    </xdr:from>
    <xdr:to>
      <xdr:col>5</xdr:col>
      <xdr:colOff>1628775</xdr:colOff>
      <xdr:row>62</xdr:row>
      <xdr:rowOff>190500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CxnSpPr/>
      </xdr:nvCxnSpPr>
      <xdr:spPr>
        <a:xfrm>
          <a:off x="3438525" y="1152144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68</xdr:row>
      <xdr:rowOff>127000</xdr:rowOff>
    </xdr:from>
    <xdr:to>
      <xdr:col>5</xdr:col>
      <xdr:colOff>356235</xdr:colOff>
      <xdr:row>68</xdr:row>
      <xdr:rowOff>309880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CxnSpPr/>
      </xdr:nvCxnSpPr>
      <xdr:spPr>
        <a:xfrm flipH="1" flipV="1">
          <a:off x="3480435" y="12562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68</xdr:row>
      <xdr:rowOff>400050</xdr:rowOff>
    </xdr:from>
    <xdr:to>
      <xdr:col>5</xdr:col>
      <xdr:colOff>1666875</xdr:colOff>
      <xdr:row>68</xdr:row>
      <xdr:rowOff>400050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CxnSpPr/>
      </xdr:nvCxnSpPr>
      <xdr:spPr>
        <a:xfrm>
          <a:off x="3476625" y="12614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68</xdr:row>
      <xdr:rowOff>127000</xdr:rowOff>
    </xdr:from>
    <xdr:to>
      <xdr:col>5</xdr:col>
      <xdr:colOff>356810</xdr:colOff>
      <xdr:row>68</xdr:row>
      <xdr:rowOff>409912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CxnSpPr/>
      </xdr:nvCxnSpPr>
      <xdr:spPr>
        <a:xfrm flipH="1" flipV="1">
          <a:off x="3481009" y="12562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68</xdr:row>
      <xdr:rowOff>134252</xdr:rowOff>
    </xdr:from>
    <xdr:to>
      <xdr:col>5</xdr:col>
      <xdr:colOff>1652211</xdr:colOff>
      <xdr:row>68</xdr:row>
      <xdr:rowOff>417164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CxnSpPr/>
      </xdr:nvCxnSpPr>
      <xdr:spPr>
        <a:xfrm flipH="1" flipV="1">
          <a:off x="3747710" y="12570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69</xdr:row>
      <xdr:rowOff>127000</xdr:rowOff>
    </xdr:from>
    <xdr:to>
      <xdr:col>5</xdr:col>
      <xdr:colOff>356235</xdr:colOff>
      <xdr:row>69</xdr:row>
      <xdr:rowOff>309880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CxnSpPr/>
      </xdr:nvCxnSpPr>
      <xdr:spPr>
        <a:xfrm flipH="1" flipV="1">
          <a:off x="3480435" y="12745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69</xdr:row>
      <xdr:rowOff>152400</xdr:rowOff>
    </xdr:from>
    <xdr:to>
      <xdr:col>5</xdr:col>
      <xdr:colOff>1676400</xdr:colOff>
      <xdr:row>69</xdr:row>
      <xdr:rowOff>152400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CxnSpPr/>
      </xdr:nvCxnSpPr>
      <xdr:spPr>
        <a:xfrm>
          <a:off x="3486150" y="12771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69</xdr:row>
      <xdr:rowOff>127000</xdr:rowOff>
    </xdr:from>
    <xdr:to>
      <xdr:col>5</xdr:col>
      <xdr:colOff>356810</xdr:colOff>
      <xdr:row>69</xdr:row>
      <xdr:rowOff>409912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CxnSpPr/>
      </xdr:nvCxnSpPr>
      <xdr:spPr>
        <a:xfrm flipH="1" flipV="1">
          <a:off x="3481009" y="12745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69</xdr:row>
      <xdr:rowOff>134252</xdr:rowOff>
    </xdr:from>
    <xdr:to>
      <xdr:col>5</xdr:col>
      <xdr:colOff>1652211</xdr:colOff>
      <xdr:row>69</xdr:row>
      <xdr:rowOff>417164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CxnSpPr/>
      </xdr:nvCxnSpPr>
      <xdr:spPr>
        <a:xfrm flipH="1" flipV="1">
          <a:off x="3747710" y="12752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70</xdr:row>
      <xdr:rowOff>123824</xdr:rowOff>
    </xdr:from>
    <xdr:to>
      <xdr:col>5</xdr:col>
      <xdr:colOff>1428750</xdr:colOff>
      <xdr:row>70</xdr:row>
      <xdr:rowOff>1219199</xdr:rowOff>
    </xdr:to>
    <xdr:sp macro="" textlink="">
      <xdr:nvSpPr>
        <xdr:cNvPr id="124" name="Rounded Rectangle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/>
      </xdr:nvSpPr>
      <xdr:spPr>
        <a:xfrm>
          <a:off x="3745230" y="12925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70</xdr:row>
      <xdr:rowOff>238127</xdr:rowOff>
    </xdr:from>
    <xdr:to>
      <xdr:col>5</xdr:col>
      <xdr:colOff>790575</xdr:colOff>
      <xdr:row>70</xdr:row>
      <xdr:rowOff>361950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CxnSpPr/>
      </xdr:nvCxnSpPr>
      <xdr:spPr>
        <a:xfrm flipH="1" flipV="1">
          <a:off x="3749041" y="12986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70</xdr:row>
      <xdr:rowOff>133352</xdr:rowOff>
    </xdr:from>
    <xdr:to>
      <xdr:col>5</xdr:col>
      <xdr:colOff>885825</xdr:colOff>
      <xdr:row>70</xdr:row>
      <xdr:rowOff>257175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CxnSpPr/>
      </xdr:nvCxnSpPr>
      <xdr:spPr>
        <a:xfrm flipH="1" flipV="1">
          <a:off x="3745231" y="12934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68</xdr:row>
      <xdr:rowOff>127000</xdr:rowOff>
    </xdr:from>
    <xdr:to>
      <xdr:col>5</xdr:col>
      <xdr:colOff>356235</xdr:colOff>
      <xdr:row>68</xdr:row>
      <xdr:rowOff>309880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CxnSpPr/>
      </xdr:nvCxnSpPr>
      <xdr:spPr>
        <a:xfrm flipH="1" flipV="1">
          <a:off x="3480435" y="12562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68</xdr:row>
      <xdr:rowOff>400050</xdr:rowOff>
    </xdr:from>
    <xdr:to>
      <xdr:col>5</xdr:col>
      <xdr:colOff>1666875</xdr:colOff>
      <xdr:row>68</xdr:row>
      <xdr:rowOff>400050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CxnSpPr/>
      </xdr:nvCxnSpPr>
      <xdr:spPr>
        <a:xfrm>
          <a:off x="3476625" y="12614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68</xdr:row>
      <xdr:rowOff>127000</xdr:rowOff>
    </xdr:from>
    <xdr:to>
      <xdr:col>5</xdr:col>
      <xdr:colOff>356810</xdr:colOff>
      <xdr:row>68</xdr:row>
      <xdr:rowOff>409912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CxnSpPr/>
      </xdr:nvCxnSpPr>
      <xdr:spPr>
        <a:xfrm flipH="1" flipV="1">
          <a:off x="3481009" y="12562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68</xdr:row>
      <xdr:rowOff>134252</xdr:rowOff>
    </xdr:from>
    <xdr:to>
      <xdr:col>5</xdr:col>
      <xdr:colOff>1652211</xdr:colOff>
      <xdr:row>68</xdr:row>
      <xdr:rowOff>417164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CxnSpPr/>
      </xdr:nvCxnSpPr>
      <xdr:spPr>
        <a:xfrm flipH="1" flipV="1">
          <a:off x="3747710" y="12570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69</xdr:row>
      <xdr:rowOff>127000</xdr:rowOff>
    </xdr:from>
    <xdr:to>
      <xdr:col>5</xdr:col>
      <xdr:colOff>356235</xdr:colOff>
      <xdr:row>69</xdr:row>
      <xdr:rowOff>309880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CxnSpPr/>
      </xdr:nvCxnSpPr>
      <xdr:spPr>
        <a:xfrm flipH="1" flipV="1">
          <a:off x="3480435" y="12745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69</xdr:row>
      <xdr:rowOff>152400</xdr:rowOff>
    </xdr:from>
    <xdr:to>
      <xdr:col>5</xdr:col>
      <xdr:colOff>1676400</xdr:colOff>
      <xdr:row>69</xdr:row>
      <xdr:rowOff>152400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CxnSpPr/>
      </xdr:nvCxnSpPr>
      <xdr:spPr>
        <a:xfrm>
          <a:off x="3486150" y="12771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69</xdr:row>
      <xdr:rowOff>127000</xdr:rowOff>
    </xdr:from>
    <xdr:to>
      <xdr:col>5</xdr:col>
      <xdr:colOff>356810</xdr:colOff>
      <xdr:row>69</xdr:row>
      <xdr:rowOff>409912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CxnSpPr/>
      </xdr:nvCxnSpPr>
      <xdr:spPr>
        <a:xfrm flipH="1" flipV="1">
          <a:off x="3481009" y="12745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69</xdr:row>
      <xdr:rowOff>134252</xdr:rowOff>
    </xdr:from>
    <xdr:to>
      <xdr:col>5</xdr:col>
      <xdr:colOff>1652211</xdr:colOff>
      <xdr:row>69</xdr:row>
      <xdr:rowOff>417164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CxnSpPr/>
      </xdr:nvCxnSpPr>
      <xdr:spPr>
        <a:xfrm flipH="1" flipV="1">
          <a:off x="3747710" y="12752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70</xdr:row>
      <xdr:rowOff>123824</xdr:rowOff>
    </xdr:from>
    <xdr:to>
      <xdr:col>5</xdr:col>
      <xdr:colOff>1428750</xdr:colOff>
      <xdr:row>70</xdr:row>
      <xdr:rowOff>1219199</xdr:rowOff>
    </xdr:to>
    <xdr:sp macro="" textlink="">
      <xdr:nvSpPr>
        <xdr:cNvPr id="135" name="Rounded Rectangle 134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SpPr/>
      </xdr:nvSpPr>
      <xdr:spPr>
        <a:xfrm>
          <a:off x="3745230" y="12925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70</xdr:row>
      <xdr:rowOff>238127</xdr:rowOff>
    </xdr:from>
    <xdr:to>
      <xdr:col>5</xdr:col>
      <xdr:colOff>790575</xdr:colOff>
      <xdr:row>70</xdr:row>
      <xdr:rowOff>361950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CxnSpPr/>
      </xdr:nvCxnSpPr>
      <xdr:spPr>
        <a:xfrm flipH="1" flipV="1">
          <a:off x="3749041" y="12986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70</xdr:row>
      <xdr:rowOff>133352</xdr:rowOff>
    </xdr:from>
    <xdr:to>
      <xdr:col>5</xdr:col>
      <xdr:colOff>885825</xdr:colOff>
      <xdr:row>70</xdr:row>
      <xdr:rowOff>257175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CxnSpPr/>
      </xdr:nvCxnSpPr>
      <xdr:spPr>
        <a:xfrm flipH="1" flipV="1">
          <a:off x="3745231" y="12934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74</xdr:row>
      <xdr:rowOff>127000</xdr:rowOff>
    </xdr:from>
    <xdr:to>
      <xdr:col>5</xdr:col>
      <xdr:colOff>356235</xdr:colOff>
      <xdr:row>74</xdr:row>
      <xdr:rowOff>309880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CxnSpPr/>
      </xdr:nvCxnSpPr>
      <xdr:spPr>
        <a:xfrm flipH="1" flipV="1">
          <a:off x="3480435" y="13660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74</xdr:row>
      <xdr:rowOff>400050</xdr:rowOff>
    </xdr:from>
    <xdr:to>
      <xdr:col>5</xdr:col>
      <xdr:colOff>1666875</xdr:colOff>
      <xdr:row>74</xdr:row>
      <xdr:rowOff>400050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CxnSpPr/>
      </xdr:nvCxnSpPr>
      <xdr:spPr>
        <a:xfrm>
          <a:off x="3476625" y="13712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74</xdr:row>
      <xdr:rowOff>127000</xdr:rowOff>
    </xdr:from>
    <xdr:to>
      <xdr:col>5</xdr:col>
      <xdr:colOff>356810</xdr:colOff>
      <xdr:row>74</xdr:row>
      <xdr:rowOff>409912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CxnSpPr/>
      </xdr:nvCxnSpPr>
      <xdr:spPr>
        <a:xfrm flipH="1" flipV="1">
          <a:off x="3481009" y="13660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74</xdr:row>
      <xdr:rowOff>134252</xdr:rowOff>
    </xdr:from>
    <xdr:to>
      <xdr:col>5</xdr:col>
      <xdr:colOff>1652211</xdr:colOff>
      <xdr:row>74</xdr:row>
      <xdr:rowOff>417164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CxnSpPr/>
      </xdr:nvCxnSpPr>
      <xdr:spPr>
        <a:xfrm flipH="1" flipV="1">
          <a:off x="3747710" y="13667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75</xdr:row>
      <xdr:rowOff>127000</xdr:rowOff>
    </xdr:from>
    <xdr:to>
      <xdr:col>5</xdr:col>
      <xdr:colOff>356235</xdr:colOff>
      <xdr:row>75</xdr:row>
      <xdr:rowOff>309880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CxnSpPr/>
      </xdr:nvCxnSpPr>
      <xdr:spPr>
        <a:xfrm flipH="1" flipV="1">
          <a:off x="3480435" y="1384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75</xdr:row>
      <xdr:rowOff>152400</xdr:rowOff>
    </xdr:from>
    <xdr:to>
      <xdr:col>5</xdr:col>
      <xdr:colOff>1676400</xdr:colOff>
      <xdr:row>75</xdr:row>
      <xdr:rowOff>152400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CxnSpPr/>
      </xdr:nvCxnSpPr>
      <xdr:spPr>
        <a:xfrm>
          <a:off x="3486150" y="13868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75</xdr:row>
      <xdr:rowOff>127000</xdr:rowOff>
    </xdr:from>
    <xdr:to>
      <xdr:col>5</xdr:col>
      <xdr:colOff>356810</xdr:colOff>
      <xdr:row>75</xdr:row>
      <xdr:rowOff>409912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CxnSpPr/>
      </xdr:nvCxnSpPr>
      <xdr:spPr>
        <a:xfrm flipH="1" flipV="1">
          <a:off x="3481009" y="1384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75</xdr:row>
      <xdr:rowOff>134252</xdr:rowOff>
    </xdr:from>
    <xdr:to>
      <xdr:col>5</xdr:col>
      <xdr:colOff>1652211</xdr:colOff>
      <xdr:row>75</xdr:row>
      <xdr:rowOff>417164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CxnSpPr/>
      </xdr:nvCxnSpPr>
      <xdr:spPr>
        <a:xfrm flipH="1" flipV="1">
          <a:off x="3747710" y="1385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76</xdr:row>
      <xdr:rowOff>123824</xdr:rowOff>
    </xdr:from>
    <xdr:to>
      <xdr:col>5</xdr:col>
      <xdr:colOff>1428750</xdr:colOff>
      <xdr:row>76</xdr:row>
      <xdr:rowOff>1219199</xdr:rowOff>
    </xdr:to>
    <xdr:sp macro="" textlink="">
      <xdr:nvSpPr>
        <xdr:cNvPr id="146" name="Rounded Rectangle 145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/>
      </xdr:nvSpPr>
      <xdr:spPr>
        <a:xfrm>
          <a:off x="3745230" y="14022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76</xdr:row>
      <xdr:rowOff>238127</xdr:rowOff>
    </xdr:from>
    <xdr:to>
      <xdr:col>5</xdr:col>
      <xdr:colOff>790575</xdr:colOff>
      <xdr:row>76</xdr:row>
      <xdr:rowOff>361950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CxnSpPr/>
      </xdr:nvCxnSpPr>
      <xdr:spPr>
        <a:xfrm flipH="1" flipV="1">
          <a:off x="3749041" y="14083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76</xdr:row>
      <xdr:rowOff>133352</xdr:rowOff>
    </xdr:from>
    <xdr:to>
      <xdr:col>5</xdr:col>
      <xdr:colOff>885825</xdr:colOff>
      <xdr:row>76</xdr:row>
      <xdr:rowOff>257175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CxnSpPr/>
      </xdr:nvCxnSpPr>
      <xdr:spPr>
        <a:xfrm flipH="1" flipV="1">
          <a:off x="3745231" y="14032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74</xdr:row>
      <xdr:rowOff>127000</xdr:rowOff>
    </xdr:from>
    <xdr:to>
      <xdr:col>5</xdr:col>
      <xdr:colOff>356235</xdr:colOff>
      <xdr:row>74</xdr:row>
      <xdr:rowOff>309880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CxnSpPr/>
      </xdr:nvCxnSpPr>
      <xdr:spPr>
        <a:xfrm flipH="1" flipV="1">
          <a:off x="3480435" y="13660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74</xdr:row>
      <xdr:rowOff>400050</xdr:rowOff>
    </xdr:from>
    <xdr:to>
      <xdr:col>5</xdr:col>
      <xdr:colOff>1666875</xdr:colOff>
      <xdr:row>74</xdr:row>
      <xdr:rowOff>400050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CxnSpPr/>
      </xdr:nvCxnSpPr>
      <xdr:spPr>
        <a:xfrm>
          <a:off x="3476625" y="13712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74</xdr:row>
      <xdr:rowOff>127000</xdr:rowOff>
    </xdr:from>
    <xdr:to>
      <xdr:col>5</xdr:col>
      <xdr:colOff>356810</xdr:colOff>
      <xdr:row>74</xdr:row>
      <xdr:rowOff>409912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CxnSpPr/>
      </xdr:nvCxnSpPr>
      <xdr:spPr>
        <a:xfrm flipH="1" flipV="1">
          <a:off x="3481009" y="13660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74</xdr:row>
      <xdr:rowOff>134252</xdr:rowOff>
    </xdr:from>
    <xdr:to>
      <xdr:col>5</xdr:col>
      <xdr:colOff>1652211</xdr:colOff>
      <xdr:row>74</xdr:row>
      <xdr:rowOff>417164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CxnSpPr/>
      </xdr:nvCxnSpPr>
      <xdr:spPr>
        <a:xfrm flipH="1" flipV="1">
          <a:off x="3747710" y="13667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75</xdr:row>
      <xdr:rowOff>127000</xdr:rowOff>
    </xdr:from>
    <xdr:to>
      <xdr:col>5</xdr:col>
      <xdr:colOff>356235</xdr:colOff>
      <xdr:row>75</xdr:row>
      <xdr:rowOff>309880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CxnSpPr/>
      </xdr:nvCxnSpPr>
      <xdr:spPr>
        <a:xfrm flipH="1" flipV="1">
          <a:off x="3480435" y="1384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75</xdr:row>
      <xdr:rowOff>152400</xdr:rowOff>
    </xdr:from>
    <xdr:to>
      <xdr:col>5</xdr:col>
      <xdr:colOff>1676400</xdr:colOff>
      <xdr:row>75</xdr:row>
      <xdr:rowOff>152400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CxnSpPr/>
      </xdr:nvCxnSpPr>
      <xdr:spPr>
        <a:xfrm>
          <a:off x="3486150" y="13868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75</xdr:row>
      <xdr:rowOff>127000</xdr:rowOff>
    </xdr:from>
    <xdr:to>
      <xdr:col>5</xdr:col>
      <xdr:colOff>356810</xdr:colOff>
      <xdr:row>75</xdr:row>
      <xdr:rowOff>409912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CxnSpPr/>
      </xdr:nvCxnSpPr>
      <xdr:spPr>
        <a:xfrm flipH="1" flipV="1">
          <a:off x="3481009" y="1384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75</xdr:row>
      <xdr:rowOff>134252</xdr:rowOff>
    </xdr:from>
    <xdr:to>
      <xdr:col>5</xdr:col>
      <xdr:colOff>1652211</xdr:colOff>
      <xdr:row>75</xdr:row>
      <xdr:rowOff>417164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CxnSpPr/>
      </xdr:nvCxnSpPr>
      <xdr:spPr>
        <a:xfrm flipH="1" flipV="1">
          <a:off x="3747710" y="1385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76</xdr:row>
      <xdr:rowOff>123824</xdr:rowOff>
    </xdr:from>
    <xdr:to>
      <xdr:col>5</xdr:col>
      <xdr:colOff>1428750</xdr:colOff>
      <xdr:row>76</xdr:row>
      <xdr:rowOff>1219199</xdr:rowOff>
    </xdr:to>
    <xdr:sp macro="" textlink="">
      <xdr:nvSpPr>
        <xdr:cNvPr id="157" name="Rounded Rectangle 156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SpPr/>
      </xdr:nvSpPr>
      <xdr:spPr>
        <a:xfrm>
          <a:off x="3745230" y="14022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76</xdr:row>
      <xdr:rowOff>238127</xdr:rowOff>
    </xdr:from>
    <xdr:to>
      <xdr:col>5</xdr:col>
      <xdr:colOff>790575</xdr:colOff>
      <xdr:row>76</xdr:row>
      <xdr:rowOff>361950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CxnSpPr/>
      </xdr:nvCxnSpPr>
      <xdr:spPr>
        <a:xfrm flipH="1" flipV="1">
          <a:off x="3749041" y="14083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76</xdr:row>
      <xdr:rowOff>133352</xdr:rowOff>
    </xdr:from>
    <xdr:to>
      <xdr:col>5</xdr:col>
      <xdr:colOff>885825</xdr:colOff>
      <xdr:row>76</xdr:row>
      <xdr:rowOff>257175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CxnSpPr/>
      </xdr:nvCxnSpPr>
      <xdr:spPr>
        <a:xfrm flipH="1" flipV="1">
          <a:off x="3745231" y="14032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74</xdr:row>
      <xdr:rowOff>127000</xdr:rowOff>
    </xdr:from>
    <xdr:to>
      <xdr:col>5</xdr:col>
      <xdr:colOff>356235</xdr:colOff>
      <xdr:row>74</xdr:row>
      <xdr:rowOff>309880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CxnSpPr/>
      </xdr:nvCxnSpPr>
      <xdr:spPr>
        <a:xfrm flipH="1" flipV="1">
          <a:off x="3480435" y="13660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74</xdr:row>
      <xdr:rowOff>400050</xdr:rowOff>
    </xdr:from>
    <xdr:to>
      <xdr:col>5</xdr:col>
      <xdr:colOff>1666875</xdr:colOff>
      <xdr:row>74</xdr:row>
      <xdr:rowOff>400050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CxnSpPr/>
      </xdr:nvCxnSpPr>
      <xdr:spPr>
        <a:xfrm>
          <a:off x="3476625" y="13712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74</xdr:row>
      <xdr:rowOff>127000</xdr:rowOff>
    </xdr:from>
    <xdr:to>
      <xdr:col>5</xdr:col>
      <xdr:colOff>356810</xdr:colOff>
      <xdr:row>74</xdr:row>
      <xdr:rowOff>409912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CxnSpPr/>
      </xdr:nvCxnSpPr>
      <xdr:spPr>
        <a:xfrm flipH="1" flipV="1">
          <a:off x="3481009" y="13660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74</xdr:row>
      <xdr:rowOff>134252</xdr:rowOff>
    </xdr:from>
    <xdr:to>
      <xdr:col>5</xdr:col>
      <xdr:colOff>1652211</xdr:colOff>
      <xdr:row>74</xdr:row>
      <xdr:rowOff>417164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CxnSpPr/>
      </xdr:nvCxnSpPr>
      <xdr:spPr>
        <a:xfrm flipH="1" flipV="1">
          <a:off x="3747710" y="13667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75</xdr:row>
      <xdr:rowOff>127000</xdr:rowOff>
    </xdr:from>
    <xdr:to>
      <xdr:col>5</xdr:col>
      <xdr:colOff>356235</xdr:colOff>
      <xdr:row>75</xdr:row>
      <xdr:rowOff>309880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CxnSpPr/>
      </xdr:nvCxnSpPr>
      <xdr:spPr>
        <a:xfrm flipH="1" flipV="1">
          <a:off x="3480435" y="1384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75</xdr:row>
      <xdr:rowOff>152400</xdr:rowOff>
    </xdr:from>
    <xdr:to>
      <xdr:col>5</xdr:col>
      <xdr:colOff>1676400</xdr:colOff>
      <xdr:row>75</xdr:row>
      <xdr:rowOff>152400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CxnSpPr/>
      </xdr:nvCxnSpPr>
      <xdr:spPr>
        <a:xfrm>
          <a:off x="3486150" y="13868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75</xdr:row>
      <xdr:rowOff>127000</xdr:rowOff>
    </xdr:from>
    <xdr:to>
      <xdr:col>5</xdr:col>
      <xdr:colOff>356810</xdr:colOff>
      <xdr:row>75</xdr:row>
      <xdr:rowOff>409912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CxnSpPr/>
      </xdr:nvCxnSpPr>
      <xdr:spPr>
        <a:xfrm flipH="1" flipV="1">
          <a:off x="3481009" y="1384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75</xdr:row>
      <xdr:rowOff>134252</xdr:rowOff>
    </xdr:from>
    <xdr:to>
      <xdr:col>5</xdr:col>
      <xdr:colOff>1652211</xdr:colOff>
      <xdr:row>75</xdr:row>
      <xdr:rowOff>417164</xdr:rowOff>
    </xdr:to>
    <xdr:cxnSp macro="">
      <xdr:nvCxnSpPr>
        <xdr:cNvPr id="167" name="Straight Connector 166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CxnSpPr/>
      </xdr:nvCxnSpPr>
      <xdr:spPr>
        <a:xfrm flipH="1" flipV="1">
          <a:off x="3747710" y="1385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76</xdr:row>
      <xdr:rowOff>123824</xdr:rowOff>
    </xdr:from>
    <xdr:to>
      <xdr:col>5</xdr:col>
      <xdr:colOff>1428750</xdr:colOff>
      <xdr:row>76</xdr:row>
      <xdr:rowOff>1219199</xdr:rowOff>
    </xdr:to>
    <xdr:sp macro="" textlink="">
      <xdr:nvSpPr>
        <xdr:cNvPr id="168" name="Rounded Rectangle 167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SpPr/>
      </xdr:nvSpPr>
      <xdr:spPr>
        <a:xfrm>
          <a:off x="3745230" y="14022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76</xdr:row>
      <xdr:rowOff>238127</xdr:rowOff>
    </xdr:from>
    <xdr:to>
      <xdr:col>5</xdr:col>
      <xdr:colOff>790575</xdr:colOff>
      <xdr:row>76</xdr:row>
      <xdr:rowOff>361950</xdr:rowOff>
    </xdr:to>
    <xdr:cxnSp macro="">
      <xdr:nvCxnSpPr>
        <xdr:cNvPr id="169" name="Straight Connector 168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CxnSpPr/>
      </xdr:nvCxnSpPr>
      <xdr:spPr>
        <a:xfrm flipH="1" flipV="1">
          <a:off x="3749041" y="14083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76</xdr:row>
      <xdr:rowOff>133352</xdr:rowOff>
    </xdr:from>
    <xdr:to>
      <xdr:col>5</xdr:col>
      <xdr:colOff>885825</xdr:colOff>
      <xdr:row>76</xdr:row>
      <xdr:rowOff>257175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CxnSpPr/>
      </xdr:nvCxnSpPr>
      <xdr:spPr>
        <a:xfrm flipH="1" flipV="1">
          <a:off x="3745231" y="14032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80</xdr:row>
      <xdr:rowOff>127000</xdr:rowOff>
    </xdr:from>
    <xdr:to>
      <xdr:col>5</xdr:col>
      <xdr:colOff>356235</xdr:colOff>
      <xdr:row>80</xdr:row>
      <xdr:rowOff>309880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CxnSpPr/>
      </xdr:nvCxnSpPr>
      <xdr:spPr>
        <a:xfrm flipH="1" flipV="1">
          <a:off x="3480435" y="14757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80</xdr:row>
      <xdr:rowOff>400050</xdr:rowOff>
    </xdr:from>
    <xdr:to>
      <xdr:col>5</xdr:col>
      <xdr:colOff>1666875</xdr:colOff>
      <xdr:row>80</xdr:row>
      <xdr:rowOff>400050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CxnSpPr/>
      </xdr:nvCxnSpPr>
      <xdr:spPr>
        <a:xfrm>
          <a:off x="3476625" y="14809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80</xdr:row>
      <xdr:rowOff>127000</xdr:rowOff>
    </xdr:from>
    <xdr:to>
      <xdr:col>5</xdr:col>
      <xdr:colOff>356810</xdr:colOff>
      <xdr:row>80</xdr:row>
      <xdr:rowOff>409912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CxnSpPr/>
      </xdr:nvCxnSpPr>
      <xdr:spPr>
        <a:xfrm flipH="1" flipV="1">
          <a:off x="3481009" y="14757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80</xdr:row>
      <xdr:rowOff>134252</xdr:rowOff>
    </xdr:from>
    <xdr:to>
      <xdr:col>5</xdr:col>
      <xdr:colOff>1652211</xdr:colOff>
      <xdr:row>80</xdr:row>
      <xdr:rowOff>417164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CxnSpPr/>
      </xdr:nvCxnSpPr>
      <xdr:spPr>
        <a:xfrm flipH="1" flipV="1">
          <a:off x="3747710" y="14764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81</xdr:row>
      <xdr:rowOff>127000</xdr:rowOff>
    </xdr:from>
    <xdr:to>
      <xdr:col>5</xdr:col>
      <xdr:colOff>356235</xdr:colOff>
      <xdr:row>81</xdr:row>
      <xdr:rowOff>309880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CxnSpPr/>
      </xdr:nvCxnSpPr>
      <xdr:spPr>
        <a:xfrm flipH="1" flipV="1">
          <a:off x="3480435" y="1494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81</xdr:row>
      <xdr:rowOff>152400</xdr:rowOff>
    </xdr:from>
    <xdr:to>
      <xdr:col>5</xdr:col>
      <xdr:colOff>1676400</xdr:colOff>
      <xdr:row>81</xdr:row>
      <xdr:rowOff>152400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CxnSpPr/>
      </xdr:nvCxnSpPr>
      <xdr:spPr>
        <a:xfrm>
          <a:off x="3486150" y="14965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81</xdr:row>
      <xdr:rowOff>127000</xdr:rowOff>
    </xdr:from>
    <xdr:to>
      <xdr:col>5</xdr:col>
      <xdr:colOff>356810</xdr:colOff>
      <xdr:row>81</xdr:row>
      <xdr:rowOff>409912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CxnSpPr/>
      </xdr:nvCxnSpPr>
      <xdr:spPr>
        <a:xfrm flipH="1" flipV="1">
          <a:off x="3481009" y="1494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81</xdr:row>
      <xdr:rowOff>134252</xdr:rowOff>
    </xdr:from>
    <xdr:to>
      <xdr:col>5</xdr:col>
      <xdr:colOff>1652211</xdr:colOff>
      <xdr:row>81</xdr:row>
      <xdr:rowOff>417164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CxnSpPr/>
      </xdr:nvCxnSpPr>
      <xdr:spPr>
        <a:xfrm flipH="1" flipV="1">
          <a:off x="3747710" y="1494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82</xdr:row>
      <xdr:rowOff>123824</xdr:rowOff>
    </xdr:from>
    <xdr:to>
      <xdr:col>5</xdr:col>
      <xdr:colOff>1428750</xdr:colOff>
      <xdr:row>82</xdr:row>
      <xdr:rowOff>1219199</xdr:rowOff>
    </xdr:to>
    <xdr:sp macro="" textlink="">
      <xdr:nvSpPr>
        <xdr:cNvPr id="179" name="Rounded Rectangle 178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SpPr/>
      </xdr:nvSpPr>
      <xdr:spPr>
        <a:xfrm>
          <a:off x="3745230" y="15119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82</xdr:row>
      <xdr:rowOff>238127</xdr:rowOff>
    </xdr:from>
    <xdr:to>
      <xdr:col>5</xdr:col>
      <xdr:colOff>790575</xdr:colOff>
      <xdr:row>82</xdr:row>
      <xdr:rowOff>361950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CxnSpPr/>
      </xdr:nvCxnSpPr>
      <xdr:spPr>
        <a:xfrm flipH="1" flipV="1">
          <a:off x="3749041" y="15180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82</xdr:row>
      <xdr:rowOff>133352</xdr:rowOff>
    </xdr:from>
    <xdr:to>
      <xdr:col>5</xdr:col>
      <xdr:colOff>885825</xdr:colOff>
      <xdr:row>82</xdr:row>
      <xdr:rowOff>257175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CxnSpPr/>
      </xdr:nvCxnSpPr>
      <xdr:spPr>
        <a:xfrm flipH="1" flipV="1">
          <a:off x="3745231" y="15129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80</xdr:row>
      <xdr:rowOff>127000</xdr:rowOff>
    </xdr:from>
    <xdr:to>
      <xdr:col>5</xdr:col>
      <xdr:colOff>356235</xdr:colOff>
      <xdr:row>80</xdr:row>
      <xdr:rowOff>309880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CxnSpPr/>
      </xdr:nvCxnSpPr>
      <xdr:spPr>
        <a:xfrm flipH="1" flipV="1">
          <a:off x="3480435" y="14757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80</xdr:row>
      <xdr:rowOff>400050</xdr:rowOff>
    </xdr:from>
    <xdr:to>
      <xdr:col>5</xdr:col>
      <xdr:colOff>1666875</xdr:colOff>
      <xdr:row>80</xdr:row>
      <xdr:rowOff>400050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CxnSpPr/>
      </xdr:nvCxnSpPr>
      <xdr:spPr>
        <a:xfrm>
          <a:off x="3476625" y="14809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80</xdr:row>
      <xdr:rowOff>127000</xdr:rowOff>
    </xdr:from>
    <xdr:to>
      <xdr:col>5</xdr:col>
      <xdr:colOff>356810</xdr:colOff>
      <xdr:row>80</xdr:row>
      <xdr:rowOff>409912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CxnSpPr/>
      </xdr:nvCxnSpPr>
      <xdr:spPr>
        <a:xfrm flipH="1" flipV="1">
          <a:off x="3481009" y="14757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80</xdr:row>
      <xdr:rowOff>134252</xdr:rowOff>
    </xdr:from>
    <xdr:to>
      <xdr:col>5</xdr:col>
      <xdr:colOff>1652211</xdr:colOff>
      <xdr:row>80</xdr:row>
      <xdr:rowOff>417164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CxnSpPr/>
      </xdr:nvCxnSpPr>
      <xdr:spPr>
        <a:xfrm flipH="1" flipV="1">
          <a:off x="3747710" y="14764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81</xdr:row>
      <xdr:rowOff>127000</xdr:rowOff>
    </xdr:from>
    <xdr:to>
      <xdr:col>5</xdr:col>
      <xdr:colOff>356235</xdr:colOff>
      <xdr:row>81</xdr:row>
      <xdr:rowOff>309880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CxnSpPr/>
      </xdr:nvCxnSpPr>
      <xdr:spPr>
        <a:xfrm flipH="1" flipV="1">
          <a:off x="3480435" y="1494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81</xdr:row>
      <xdr:rowOff>152400</xdr:rowOff>
    </xdr:from>
    <xdr:to>
      <xdr:col>5</xdr:col>
      <xdr:colOff>1676400</xdr:colOff>
      <xdr:row>81</xdr:row>
      <xdr:rowOff>152400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CxnSpPr/>
      </xdr:nvCxnSpPr>
      <xdr:spPr>
        <a:xfrm>
          <a:off x="3486150" y="14965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81</xdr:row>
      <xdr:rowOff>127000</xdr:rowOff>
    </xdr:from>
    <xdr:to>
      <xdr:col>5</xdr:col>
      <xdr:colOff>356810</xdr:colOff>
      <xdr:row>81</xdr:row>
      <xdr:rowOff>409912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CxnSpPr/>
      </xdr:nvCxnSpPr>
      <xdr:spPr>
        <a:xfrm flipH="1" flipV="1">
          <a:off x="3481009" y="1494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81</xdr:row>
      <xdr:rowOff>134252</xdr:rowOff>
    </xdr:from>
    <xdr:to>
      <xdr:col>5</xdr:col>
      <xdr:colOff>1652211</xdr:colOff>
      <xdr:row>81</xdr:row>
      <xdr:rowOff>417164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CxnSpPr/>
      </xdr:nvCxnSpPr>
      <xdr:spPr>
        <a:xfrm flipH="1" flipV="1">
          <a:off x="3747710" y="1494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82</xdr:row>
      <xdr:rowOff>123824</xdr:rowOff>
    </xdr:from>
    <xdr:to>
      <xdr:col>5</xdr:col>
      <xdr:colOff>1428750</xdr:colOff>
      <xdr:row>82</xdr:row>
      <xdr:rowOff>1219199</xdr:rowOff>
    </xdr:to>
    <xdr:sp macro="" textlink="">
      <xdr:nvSpPr>
        <xdr:cNvPr id="190" name="Rounded Rectangle 18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SpPr/>
      </xdr:nvSpPr>
      <xdr:spPr>
        <a:xfrm>
          <a:off x="3745230" y="15119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82</xdr:row>
      <xdr:rowOff>238127</xdr:rowOff>
    </xdr:from>
    <xdr:to>
      <xdr:col>5</xdr:col>
      <xdr:colOff>790575</xdr:colOff>
      <xdr:row>82</xdr:row>
      <xdr:rowOff>361950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CxnSpPr/>
      </xdr:nvCxnSpPr>
      <xdr:spPr>
        <a:xfrm flipH="1" flipV="1">
          <a:off x="3749041" y="15180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82</xdr:row>
      <xdr:rowOff>133352</xdr:rowOff>
    </xdr:from>
    <xdr:to>
      <xdr:col>5</xdr:col>
      <xdr:colOff>885825</xdr:colOff>
      <xdr:row>82</xdr:row>
      <xdr:rowOff>257175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CxnSpPr/>
      </xdr:nvCxnSpPr>
      <xdr:spPr>
        <a:xfrm flipH="1" flipV="1">
          <a:off x="3745231" y="15129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80</xdr:row>
      <xdr:rowOff>127000</xdr:rowOff>
    </xdr:from>
    <xdr:to>
      <xdr:col>5</xdr:col>
      <xdr:colOff>356235</xdr:colOff>
      <xdr:row>80</xdr:row>
      <xdr:rowOff>309880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CxnSpPr/>
      </xdr:nvCxnSpPr>
      <xdr:spPr>
        <a:xfrm flipH="1" flipV="1">
          <a:off x="3480435" y="14757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80</xdr:row>
      <xdr:rowOff>400050</xdr:rowOff>
    </xdr:from>
    <xdr:to>
      <xdr:col>5</xdr:col>
      <xdr:colOff>1666875</xdr:colOff>
      <xdr:row>80</xdr:row>
      <xdr:rowOff>400050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CxnSpPr/>
      </xdr:nvCxnSpPr>
      <xdr:spPr>
        <a:xfrm>
          <a:off x="3476625" y="14809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80</xdr:row>
      <xdr:rowOff>127000</xdr:rowOff>
    </xdr:from>
    <xdr:to>
      <xdr:col>5</xdr:col>
      <xdr:colOff>356810</xdr:colOff>
      <xdr:row>80</xdr:row>
      <xdr:rowOff>409912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CxnSpPr/>
      </xdr:nvCxnSpPr>
      <xdr:spPr>
        <a:xfrm flipH="1" flipV="1">
          <a:off x="3481009" y="14757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80</xdr:row>
      <xdr:rowOff>134252</xdr:rowOff>
    </xdr:from>
    <xdr:to>
      <xdr:col>5</xdr:col>
      <xdr:colOff>1652211</xdr:colOff>
      <xdr:row>80</xdr:row>
      <xdr:rowOff>417164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CxnSpPr/>
      </xdr:nvCxnSpPr>
      <xdr:spPr>
        <a:xfrm flipH="1" flipV="1">
          <a:off x="3747710" y="14764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81</xdr:row>
      <xdr:rowOff>127000</xdr:rowOff>
    </xdr:from>
    <xdr:to>
      <xdr:col>5</xdr:col>
      <xdr:colOff>356235</xdr:colOff>
      <xdr:row>81</xdr:row>
      <xdr:rowOff>309880</xdr:rowOff>
    </xdr:to>
    <xdr:cxnSp macro="">
      <xdr:nvCxnSpPr>
        <xdr:cNvPr id="197" name="Straight Connector 196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CxnSpPr/>
      </xdr:nvCxnSpPr>
      <xdr:spPr>
        <a:xfrm flipH="1" flipV="1">
          <a:off x="3480435" y="1494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81</xdr:row>
      <xdr:rowOff>152400</xdr:rowOff>
    </xdr:from>
    <xdr:to>
      <xdr:col>5</xdr:col>
      <xdr:colOff>1676400</xdr:colOff>
      <xdr:row>81</xdr:row>
      <xdr:rowOff>152400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CxnSpPr/>
      </xdr:nvCxnSpPr>
      <xdr:spPr>
        <a:xfrm>
          <a:off x="3486150" y="14965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81</xdr:row>
      <xdr:rowOff>127000</xdr:rowOff>
    </xdr:from>
    <xdr:to>
      <xdr:col>5</xdr:col>
      <xdr:colOff>356810</xdr:colOff>
      <xdr:row>81</xdr:row>
      <xdr:rowOff>409912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CxnSpPr/>
      </xdr:nvCxnSpPr>
      <xdr:spPr>
        <a:xfrm flipH="1" flipV="1">
          <a:off x="3481009" y="1494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81</xdr:row>
      <xdr:rowOff>134252</xdr:rowOff>
    </xdr:from>
    <xdr:to>
      <xdr:col>5</xdr:col>
      <xdr:colOff>1652211</xdr:colOff>
      <xdr:row>81</xdr:row>
      <xdr:rowOff>417164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CxnSpPr/>
      </xdr:nvCxnSpPr>
      <xdr:spPr>
        <a:xfrm flipH="1" flipV="1">
          <a:off x="3747710" y="1494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82</xdr:row>
      <xdr:rowOff>123824</xdr:rowOff>
    </xdr:from>
    <xdr:to>
      <xdr:col>5</xdr:col>
      <xdr:colOff>1428750</xdr:colOff>
      <xdr:row>82</xdr:row>
      <xdr:rowOff>1219199</xdr:rowOff>
    </xdr:to>
    <xdr:sp macro="" textlink="">
      <xdr:nvSpPr>
        <xdr:cNvPr id="201" name="Rounded Rectangle 200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SpPr/>
      </xdr:nvSpPr>
      <xdr:spPr>
        <a:xfrm>
          <a:off x="3745230" y="15119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82</xdr:row>
      <xdr:rowOff>238127</xdr:rowOff>
    </xdr:from>
    <xdr:to>
      <xdr:col>5</xdr:col>
      <xdr:colOff>790575</xdr:colOff>
      <xdr:row>82</xdr:row>
      <xdr:rowOff>361950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CxnSpPr/>
      </xdr:nvCxnSpPr>
      <xdr:spPr>
        <a:xfrm flipH="1" flipV="1">
          <a:off x="3749041" y="15180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82</xdr:row>
      <xdr:rowOff>133352</xdr:rowOff>
    </xdr:from>
    <xdr:to>
      <xdr:col>5</xdr:col>
      <xdr:colOff>885825</xdr:colOff>
      <xdr:row>82</xdr:row>
      <xdr:rowOff>257175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CxnSpPr/>
      </xdr:nvCxnSpPr>
      <xdr:spPr>
        <a:xfrm flipH="1" flipV="1">
          <a:off x="3745231" y="15129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80</xdr:row>
      <xdr:rowOff>127000</xdr:rowOff>
    </xdr:from>
    <xdr:to>
      <xdr:col>5</xdr:col>
      <xdr:colOff>356235</xdr:colOff>
      <xdr:row>80</xdr:row>
      <xdr:rowOff>309880</xdr:rowOff>
    </xdr:to>
    <xdr:cxnSp macro="">
      <xdr:nvCxnSpPr>
        <xdr:cNvPr id="204" name="Straight Connector 203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CxnSpPr/>
      </xdr:nvCxnSpPr>
      <xdr:spPr>
        <a:xfrm flipH="1" flipV="1">
          <a:off x="3480435" y="14757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80</xdr:row>
      <xdr:rowOff>400050</xdr:rowOff>
    </xdr:from>
    <xdr:to>
      <xdr:col>5</xdr:col>
      <xdr:colOff>1666875</xdr:colOff>
      <xdr:row>80</xdr:row>
      <xdr:rowOff>400050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CxnSpPr/>
      </xdr:nvCxnSpPr>
      <xdr:spPr>
        <a:xfrm>
          <a:off x="3476625" y="14809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80</xdr:row>
      <xdr:rowOff>127000</xdr:rowOff>
    </xdr:from>
    <xdr:to>
      <xdr:col>5</xdr:col>
      <xdr:colOff>356810</xdr:colOff>
      <xdr:row>80</xdr:row>
      <xdr:rowOff>409912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CxnSpPr/>
      </xdr:nvCxnSpPr>
      <xdr:spPr>
        <a:xfrm flipH="1" flipV="1">
          <a:off x="3481009" y="14757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80</xdr:row>
      <xdr:rowOff>134252</xdr:rowOff>
    </xdr:from>
    <xdr:to>
      <xdr:col>5</xdr:col>
      <xdr:colOff>1652211</xdr:colOff>
      <xdr:row>80</xdr:row>
      <xdr:rowOff>417164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CxnSpPr/>
      </xdr:nvCxnSpPr>
      <xdr:spPr>
        <a:xfrm flipH="1" flipV="1">
          <a:off x="3747710" y="14764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81</xdr:row>
      <xdr:rowOff>127000</xdr:rowOff>
    </xdr:from>
    <xdr:to>
      <xdr:col>5</xdr:col>
      <xdr:colOff>356235</xdr:colOff>
      <xdr:row>81</xdr:row>
      <xdr:rowOff>309880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CxnSpPr/>
      </xdr:nvCxnSpPr>
      <xdr:spPr>
        <a:xfrm flipH="1" flipV="1">
          <a:off x="3480435" y="1494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81</xdr:row>
      <xdr:rowOff>152400</xdr:rowOff>
    </xdr:from>
    <xdr:to>
      <xdr:col>5</xdr:col>
      <xdr:colOff>1676400</xdr:colOff>
      <xdr:row>81</xdr:row>
      <xdr:rowOff>152400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CxnSpPr/>
      </xdr:nvCxnSpPr>
      <xdr:spPr>
        <a:xfrm>
          <a:off x="3486150" y="14965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81</xdr:row>
      <xdr:rowOff>127000</xdr:rowOff>
    </xdr:from>
    <xdr:to>
      <xdr:col>5</xdr:col>
      <xdr:colOff>356810</xdr:colOff>
      <xdr:row>81</xdr:row>
      <xdr:rowOff>409912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CxnSpPr/>
      </xdr:nvCxnSpPr>
      <xdr:spPr>
        <a:xfrm flipH="1" flipV="1">
          <a:off x="3481009" y="1494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81</xdr:row>
      <xdr:rowOff>134252</xdr:rowOff>
    </xdr:from>
    <xdr:to>
      <xdr:col>5</xdr:col>
      <xdr:colOff>1652211</xdr:colOff>
      <xdr:row>81</xdr:row>
      <xdr:rowOff>417164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CxnSpPr/>
      </xdr:nvCxnSpPr>
      <xdr:spPr>
        <a:xfrm flipH="1" flipV="1">
          <a:off x="3747710" y="1494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82</xdr:row>
      <xdr:rowOff>123824</xdr:rowOff>
    </xdr:from>
    <xdr:to>
      <xdr:col>5</xdr:col>
      <xdr:colOff>1428750</xdr:colOff>
      <xdr:row>82</xdr:row>
      <xdr:rowOff>1219199</xdr:rowOff>
    </xdr:to>
    <xdr:sp macro="" textlink="">
      <xdr:nvSpPr>
        <xdr:cNvPr id="212" name="Rounded Rectangle 211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/>
      </xdr:nvSpPr>
      <xdr:spPr>
        <a:xfrm>
          <a:off x="3745230" y="15119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82</xdr:row>
      <xdr:rowOff>238127</xdr:rowOff>
    </xdr:from>
    <xdr:to>
      <xdr:col>5</xdr:col>
      <xdr:colOff>790575</xdr:colOff>
      <xdr:row>82</xdr:row>
      <xdr:rowOff>361950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CxnSpPr/>
      </xdr:nvCxnSpPr>
      <xdr:spPr>
        <a:xfrm flipH="1" flipV="1">
          <a:off x="3749041" y="15180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82</xdr:row>
      <xdr:rowOff>133352</xdr:rowOff>
    </xdr:from>
    <xdr:to>
      <xdr:col>5</xdr:col>
      <xdr:colOff>885825</xdr:colOff>
      <xdr:row>82</xdr:row>
      <xdr:rowOff>257175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CxnSpPr/>
      </xdr:nvCxnSpPr>
      <xdr:spPr>
        <a:xfrm flipH="1" flipV="1">
          <a:off x="3745231" y="15129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86</xdr:row>
      <xdr:rowOff>127000</xdr:rowOff>
    </xdr:from>
    <xdr:to>
      <xdr:col>5</xdr:col>
      <xdr:colOff>356235</xdr:colOff>
      <xdr:row>86</xdr:row>
      <xdr:rowOff>309880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CxnSpPr/>
      </xdr:nvCxnSpPr>
      <xdr:spPr>
        <a:xfrm flipH="1" flipV="1">
          <a:off x="3480435" y="15854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86</xdr:row>
      <xdr:rowOff>400050</xdr:rowOff>
    </xdr:from>
    <xdr:to>
      <xdr:col>5</xdr:col>
      <xdr:colOff>1666875</xdr:colOff>
      <xdr:row>86</xdr:row>
      <xdr:rowOff>400050</xdr:rowOff>
    </xdr:to>
    <xdr:cxnSp macro="">
      <xdr:nvCxnSpPr>
        <xdr:cNvPr id="216" name="Straight Connector 215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CxnSpPr/>
      </xdr:nvCxnSpPr>
      <xdr:spPr>
        <a:xfrm>
          <a:off x="3476625" y="15906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86</xdr:row>
      <xdr:rowOff>127000</xdr:rowOff>
    </xdr:from>
    <xdr:to>
      <xdr:col>5</xdr:col>
      <xdr:colOff>356810</xdr:colOff>
      <xdr:row>86</xdr:row>
      <xdr:rowOff>409912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CxnSpPr/>
      </xdr:nvCxnSpPr>
      <xdr:spPr>
        <a:xfrm flipH="1" flipV="1">
          <a:off x="3481009" y="15854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86</xdr:row>
      <xdr:rowOff>134252</xdr:rowOff>
    </xdr:from>
    <xdr:to>
      <xdr:col>5</xdr:col>
      <xdr:colOff>1652211</xdr:colOff>
      <xdr:row>86</xdr:row>
      <xdr:rowOff>417164</xdr:rowOff>
    </xdr:to>
    <xdr:cxnSp macro="">
      <xdr:nvCxnSpPr>
        <xdr:cNvPr id="218" name="Straight Connector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CxnSpPr/>
      </xdr:nvCxnSpPr>
      <xdr:spPr>
        <a:xfrm flipH="1" flipV="1">
          <a:off x="3747710" y="15861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87</xdr:row>
      <xdr:rowOff>127000</xdr:rowOff>
    </xdr:from>
    <xdr:to>
      <xdr:col>5</xdr:col>
      <xdr:colOff>356235</xdr:colOff>
      <xdr:row>87</xdr:row>
      <xdr:rowOff>309880</xdr:rowOff>
    </xdr:to>
    <xdr:cxnSp macro="">
      <xdr:nvCxnSpPr>
        <xdr:cNvPr id="219" name="Straight Connector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CxnSpPr/>
      </xdr:nvCxnSpPr>
      <xdr:spPr>
        <a:xfrm flipH="1" flipV="1">
          <a:off x="3480435" y="1603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87</xdr:row>
      <xdr:rowOff>152400</xdr:rowOff>
    </xdr:from>
    <xdr:to>
      <xdr:col>5</xdr:col>
      <xdr:colOff>1676400</xdr:colOff>
      <xdr:row>87</xdr:row>
      <xdr:rowOff>152400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CxnSpPr/>
      </xdr:nvCxnSpPr>
      <xdr:spPr>
        <a:xfrm>
          <a:off x="3486150" y="16062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87</xdr:row>
      <xdr:rowOff>127000</xdr:rowOff>
    </xdr:from>
    <xdr:to>
      <xdr:col>5</xdr:col>
      <xdr:colOff>356810</xdr:colOff>
      <xdr:row>87</xdr:row>
      <xdr:rowOff>409912</xdr:rowOff>
    </xdr:to>
    <xdr:cxnSp macro="">
      <xdr:nvCxnSpPr>
        <xdr:cNvPr id="221" name="Straight Connector 220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CxnSpPr/>
      </xdr:nvCxnSpPr>
      <xdr:spPr>
        <a:xfrm flipH="1" flipV="1">
          <a:off x="3481009" y="1603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87</xdr:row>
      <xdr:rowOff>134252</xdr:rowOff>
    </xdr:from>
    <xdr:to>
      <xdr:col>5</xdr:col>
      <xdr:colOff>1652211</xdr:colOff>
      <xdr:row>87</xdr:row>
      <xdr:rowOff>417164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CxnSpPr/>
      </xdr:nvCxnSpPr>
      <xdr:spPr>
        <a:xfrm flipH="1" flipV="1">
          <a:off x="3747710" y="1604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88</xdr:row>
      <xdr:rowOff>123824</xdr:rowOff>
    </xdr:from>
    <xdr:to>
      <xdr:col>5</xdr:col>
      <xdr:colOff>1428750</xdr:colOff>
      <xdr:row>88</xdr:row>
      <xdr:rowOff>1219199</xdr:rowOff>
    </xdr:to>
    <xdr:sp macro="" textlink="">
      <xdr:nvSpPr>
        <xdr:cNvPr id="223" name="Rounded Rectangle 222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SpPr/>
      </xdr:nvSpPr>
      <xdr:spPr>
        <a:xfrm>
          <a:off x="3745230" y="16217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88</xdr:row>
      <xdr:rowOff>238127</xdr:rowOff>
    </xdr:from>
    <xdr:to>
      <xdr:col>5</xdr:col>
      <xdr:colOff>790575</xdr:colOff>
      <xdr:row>88</xdr:row>
      <xdr:rowOff>361950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CxnSpPr/>
      </xdr:nvCxnSpPr>
      <xdr:spPr>
        <a:xfrm flipH="1" flipV="1">
          <a:off x="3749041" y="16278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88</xdr:row>
      <xdr:rowOff>133352</xdr:rowOff>
    </xdr:from>
    <xdr:to>
      <xdr:col>5</xdr:col>
      <xdr:colOff>885825</xdr:colOff>
      <xdr:row>88</xdr:row>
      <xdr:rowOff>257175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CxnSpPr/>
      </xdr:nvCxnSpPr>
      <xdr:spPr>
        <a:xfrm flipH="1" flipV="1">
          <a:off x="3745231" y="16226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86</xdr:row>
      <xdr:rowOff>127000</xdr:rowOff>
    </xdr:from>
    <xdr:to>
      <xdr:col>5</xdr:col>
      <xdr:colOff>356235</xdr:colOff>
      <xdr:row>86</xdr:row>
      <xdr:rowOff>309880</xdr:rowOff>
    </xdr:to>
    <xdr:cxnSp macro="">
      <xdr:nvCxnSpPr>
        <xdr:cNvPr id="226" name="Straight Connector 225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CxnSpPr/>
      </xdr:nvCxnSpPr>
      <xdr:spPr>
        <a:xfrm flipH="1" flipV="1">
          <a:off x="3480435" y="15854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86</xdr:row>
      <xdr:rowOff>400050</xdr:rowOff>
    </xdr:from>
    <xdr:to>
      <xdr:col>5</xdr:col>
      <xdr:colOff>1666875</xdr:colOff>
      <xdr:row>86</xdr:row>
      <xdr:rowOff>400050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CxnSpPr/>
      </xdr:nvCxnSpPr>
      <xdr:spPr>
        <a:xfrm>
          <a:off x="3476625" y="15906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86</xdr:row>
      <xdr:rowOff>127000</xdr:rowOff>
    </xdr:from>
    <xdr:to>
      <xdr:col>5</xdr:col>
      <xdr:colOff>356810</xdr:colOff>
      <xdr:row>86</xdr:row>
      <xdr:rowOff>409912</xdr:rowOff>
    </xdr:to>
    <xdr:cxnSp macro="">
      <xdr:nvCxnSpPr>
        <xdr:cNvPr id="228" name="Straight Connector 227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CxnSpPr/>
      </xdr:nvCxnSpPr>
      <xdr:spPr>
        <a:xfrm flipH="1" flipV="1">
          <a:off x="3481009" y="15854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86</xdr:row>
      <xdr:rowOff>134252</xdr:rowOff>
    </xdr:from>
    <xdr:to>
      <xdr:col>5</xdr:col>
      <xdr:colOff>1652211</xdr:colOff>
      <xdr:row>86</xdr:row>
      <xdr:rowOff>417164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CxnSpPr/>
      </xdr:nvCxnSpPr>
      <xdr:spPr>
        <a:xfrm flipH="1" flipV="1">
          <a:off x="3747710" y="15861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87</xdr:row>
      <xdr:rowOff>127000</xdr:rowOff>
    </xdr:from>
    <xdr:to>
      <xdr:col>5</xdr:col>
      <xdr:colOff>356235</xdr:colOff>
      <xdr:row>87</xdr:row>
      <xdr:rowOff>309880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CxnSpPr/>
      </xdr:nvCxnSpPr>
      <xdr:spPr>
        <a:xfrm flipH="1" flipV="1">
          <a:off x="3480435" y="1603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87</xdr:row>
      <xdr:rowOff>152400</xdr:rowOff>
    </xdr:from>
    <xdr:to>
      <xdr:col>5</xdr:col>
      <xdr:colOff>1676400</xdr:colOff>
      <xdr:row>87</xdr:row>
      <xdr:rowOff>152400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CxnSpPr/>
      </xdr:nvCxnSpPr>
      <xdr:spPr>
        <a:xfrm>
          <a:off x="3486150" y="16062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87</xdr:row>
      <xdr:rowOff>127000</xdr:rowOff>
    </xdr:from>
    <xdr:to>
      <xdr:col>5</xdr:col>
      <xdr:colOff>356810</xdr:colOff>
      <xdr:row>87</xdr:row>
      <xdr:rowOff>409912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CxnSpPr/>
      </xdr:nvCxnSpPr>
      <xdr:spPr>
        <a:xfrm flipH="1" flipV="1">
          <a:off x="3481009" y="1603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87</xdr:row>
      <xdr:rowOff>134252</xdr:rowOff>
    </xdr:from>
    <xdr:to>
      <xdr:col>5</xdr:col>
      <xdr:colOff>1652211</xdr:colOff>
      <xdr:row>87</xdr:row>
      <xdr:rowOff>417164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CxnSpPr/>
      </xdr:nvCxnSpPr>
      <xdr:spPr>
        <a:xfrm flipH="1" flipV="1">
          <a:off x="3747710" y="1604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88</xdr:row>
      <xdr:rowOff>123824</xdr:rowOff>
    </xdr:from>
    <xdr:to>
      <xdr:col>5</xdr:col>
      <xdr:colOff>1428750</xdr:colOff>
      <xdr:row>88</xdr:row>
      <xdr:rowOff>1219199</xdr:rowOff>
    </xdr:to>
    <xdr:sp macro="" textlink="">
      <xdr:nvSpPr>
        <xdr:cNvPr id="234" name="Rounded Rectangle 233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SpPr/>
      </xdr:nvSpPr>
      <xdr:spPr>
        <a:xfrm>
          <a:off x="3745230" y="16217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88</xdr:row>
      <xdr:rowOff>238127</xdr:rowOff>
    </xdr:from>
    <xdr:to>
      <xdr:col>5</xdr:col>
      <xdr:colOff>790575</xdr:colOff>
      <xdr:row>88</xdr:row>
      <xdr:rowOff>361950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CxnSpPr/>
      </xdr:nvCxnSpPr>
      <xdr:spPr>
        <a:xfrm flipH="1" flipV="1">
          <a:off x="3749041" y="16278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88</xdr:row>
      <xdr:rowOff>133352</xdr:rowOff>
    </xdr:from>
    <xdr:to>
      <xdr:col>5</xdr:col>
      <xdr:colOff>885825</xdr:colOff>
      <xdr:row>88</xdr:row>
      <xdr:rowOff>257175</xdr:rowOff>
    </xdr:to>
    <xdr:cxnSp macro="">
      <xdr:nvCxnSpPr>
        <xdr:cNvPr id="236" name="Straight Connector 235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CxnSpPr/>
      </xdr:nvCxnSpPr>
      <xdr:spPr>
        <a:xfrm flipH="1" flipV="1">
          <a:off x="3745231" y="16226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86</xdr:row>
      <xdr:rowOff>127000</xdr:rowOff>
    </xdr:from>
    <xdr:to>
      <xdr:col>5</xdr:col>
      <xdr:colOff>356235</xdr:colOff>
      <xdr:row>86</xdr:row>
      <xdr:rowOff>309880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CxnSpPr/>
      </xdr:nvCxnSpPr>
      <xdr:spPr>
        <a:xfrm flipH="1" flipV="1">
          <a:off x="3480435" y="15854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86</xdr:row>
      <xdr:rowOff>400050</xdr:rowOff>
    </xdr:from>
    <xdr:to>
      <xdr:col>5</xdr:col>
      <xdr:colOff>1666875</xdr:colOff>
      <xdr:row>86</xdr:row>
      <xdr:rowOff>400050</xdr:rowOff>
    </xdr:to>
    <xdr:cxnSp macro="">
      <xdr:nvCxnSpPr>
        <xdr:cNvPr id="238" name="Straight Connector 237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CxnSpPr/>
      </xdr:nvCxnSpPr>
      <xdr:spPr>
        <a:xfrm>
          <a:off x="3476625" y="15906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86</xdr:row>
      <xdr:rowOff>127000</xdr:rowOff>
    </xdr:from>
    <xdr:to>
      <xdr:col>5</xdr:col>
      <xdr:colOff>356810</xdr:colOff>
      <xdr:row>86</xdr:row>
      <xdr:rowOff>409912</xdr:rowOff>
    </xdr:to>
    <xdr:cxnSp macro="">
      <xdr:nvCxnSpPr>
        <xdr:cNvPr id="239" name="Straight Connector 238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CxnSpPr/>
      </xdr:nvCxnSpPr>
      <xdr:spPr>
        <a:xfrm flipH="1" flipV="1">
          <a:off x="3481009" y="15854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86</xdr:row>
      <xdr:rowOff>134252</xdr:rowOff>
    </xdr:from>
    <xdr:to>
      <xdr:col>5</xdr:col>
      <xdr:colOff>1652211</xdr:colOff>
      <xdr:row>86</xdr:row>
      <xdr:rowOff>417164</xdr:rowOff>
    </xdr:to>
    <xdr:cxnSp macro="">
      <xdr:nvCxnSpPr>
        <xdr:cNvPr id="240" name="Straight Connector 23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CxnSpPr/>
      </xdr:nvCxnSpPr>
      <xdr:spPr>
        <a:xfrm flipH="1" flipV="1">
          <a:off x="3747710" y="15861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87</xdr:row>
      <xdr:rowOff>127000</xdr:rowOff>
    </xdr:from>
    <xdr:to>
      <xdr:col>5</xdr:col>
      <xdr:colOff>356235</xdr:colOff>
      <xdr:row>87</xdr:row>
      <xdr:rowOff>309880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CxnSpPr/>
      </xdr:nvCxnSpPr>
      <xdr:spPr>
        <a:xfrm flipH="1" flipV="1">
          <a:off x="3480435" y="1603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87</xdr:row>
      <xdr:rowOff>152400</xdr:rowOff>
    </xdr:from>
    <xdr:to>
      <xdr:col>5</xdr:col>
      <xdr:colOff>1676400</xdr:colOff>
      <xdr:row>87</xdr:row>
      <xdr:rowOff>152400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CxnSpPr/>
      </xdr:nvCxnSpPr>
      <xdr:spPr>
        <a:xfrm>
          <a:off x="3486150" y="16062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87</xdr:row>
      <xdr:rowOff>127000</xdr:rowOff>
    </xdr:from>
    <xdr:to>
      <xdr:col>5</xdr:col>
      <xdr:colOff>356810</xdr:colOff>
      <xdr:row>87</xdr:row>
      <xdr:rowOff>409912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CxnSpPr/>
      </xdr:nvCxnSpPr>
      <xdr:spPr>
        <a:xfrm flipH="1" flipV="1">
          <a:off x="3481009" y="1603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87</xdr:row>
      <xdr:rowOff>134252</xdr:rowOff>
    </xdr:from>
    <xdr:to>
      <xdr:col>5</xdr:col>
      <xdr:colOff>1652211</xdr:colOff>
      <xdr:row>87</xdr:row>
      <xdr:rowOff>417164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CxnSpPr/>
      </xdr:nvCxnSpPr>
      <xdr:spPr>
        <a:xfrm flipH="1" flipV="1">
          <a:off x="3747710" y="1604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88</xdr:row>
      <xdr:rowOff>123824</xdr:rowOff>
    </xdr:from>
    <xdr:to>
      <xdr:col>5</xdr:col>
      <xdr:colOff>1428750</xdr:colOff>
      <xdr:row>88</xdr:row>
      <xdr:rowOff>1219199</xdr:rowOff>
    </xdr:to>
    <xdr:sp macro="" textlink="">
      <xdr:nvSpPr>
        <xdr:cNvPr id="245" name="Rounded Rectangle 244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/>
      </xdr:nvSpPr>
      <xdr:spPr>
        <a:xfrm>
          <a:off x="3745230" y="16217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88</xdr:row>
      <xdr:rowOff>238127</xdr:rowOff>
    </xdr:from>
    <xdr:to>
      <xdr:col>5</xdr:col>
      <xdr:colOff>790575</xdr:colOff>
      <xdr:row>88</xdr:row>
      <xdr:rowOff>361950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CxnSpPr/>
      </xdr:nvCxnSpPr>
      <xdr:spPr>
        <a:xfrm flipH="1" flipV="1">
          <a:off x="3749041" y="16278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88</xdr:row>
      <xdr:rowOff>133352</xdr:rowOff>
    </xdr:from>
    <xdr:to>
      <xdr:col>5</xdr:col>
      <xdr:colOff>885825</xdr:colOff>
      <xdr:row>88</xdr:row>
      <xdr:rowOff>257175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CxnSpPr/>
      </xdr:nvCxnSpPr>
      <xdr:spPr>
        <a:xfrm flipH="1" flipV="1">
          <a:off x="3745231" y="16226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86</xdr:row>
      <xdr:rowOff>127000</xdr:rowOff>
    </xdr:from>
    <xdr:to>
      <xdr:col>5</xdr:col>
      <xdr:colOff>356235</xdr:colOff>
      <xdr:row>86</xdr:row>
      <xdr:rowOff>309880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CxnSpPr/>
      </xdr:nvCxnSpPr>
      <xdr:spPr>
        <a:xfrm flipH="1" flipV="1">
          <a:off x="3480435" y="15854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86</xdr:row>
      <xdr:rowOff>400050</xdr:rowOff>
    </xdr:from>
    <xdr:to>
      <xdr:col>5</xdr:col>
      <xdr:colOff>1666875</xdr:colOff>
      <xdr:row>86</xdr:row>
      <xdr:rowOff>400050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CxnSpPr/>
      </xdr:nvCxnSpPr>
      <xdr:spPr>
        <a:xfrm>
          <a:off x="3476625" y="15906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86</xdr:row>
      <xdr:rowOff>127000</xdr:rowOff>
    </xdr:from>
    <xdr:to>
      <xdr:col>5</xdr:col>
      <xdr:colOff>356810</xdr:colOff>
      <xdr:row>86</xdr:row>
      <xdr:rowOff>409912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CxnSpPr/>
      </xdr:nvCxnSpPr>
      <xdr:spPr>
        <a:xfrm flipH="1" flipV="1">
          <a:off x="3481009" y="15854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86</xdr:row>
      <xdr:rowOff>134252</xdr:rowOff>
    </xdr:from>
    <xdr:to>
      <xdr:col>5</xdr:col>
      <xdr:colOff>1652211</xdr:colOff>
      <xdr:row>86</xdr:row>
      <xdr:rowOff>417164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CxnSpPr/>
      </xdr:nvCxnSpPr>
      <xdr:spPr>
        <a:xfrm flipH="1" flipV="1">
          <a:off x="3747710" y="15861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87</xdr:row>
      <xdr:rowOff>127000</xdr:rowOff>
    </xdr:from>
    <xdr:to>
      <xdr:col>5</xdr:col>
      <xdr:colOff>356235</xdr:colOff>
      <xdr:row>87</xdr:row>
      <xdr:rowOff>309880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CxnSpPr/>
      </xdr:nvCxnSpPr>
      <xdr:spPr>
        <a:xfrm flipH="1" flipV="1">
          <a:off x="3480435" y="1603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87</xdr:row>
      <xdr:rowOff>152400</xdr:rowOff>
    </xdr:from>
    <xdr:to>
      <xdr:col>5</xdr:col>
      <xdr:colOff>1676400</xdr:colOff>
      <xdr:row>87</xdr:row>
      <xdr:rowOff>152400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CxnSpPr/>
      </xdr:nvCxnSpPr>
      <xdr:spPr>
        <a:xfrm>
          <a:off x="3486150" y="16062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87</xdr:row>
      <xdr:rowOff>127000</xdr:rowOff>
    </xdr:from>
    <xdr:to>
      <xdr:col>5</xdr:col>
      <xdr:colOff>356810</xdr:colOff>
      <xdr:row>87</xdr:row>
      <xdr:rowOff>409912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CxnSpPr/>
      </xdr:nvCxnSpPr>
      <xdr:spPr>
        <a:xfrm flipH="1" flipV="1">
          <a:off x="3481009" y="1603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88</xdr:row>
      <xdr:rowOff>123824</xdr:rowOff>
    </xdr:from>
    <xdr:to>
      <xdr:col>5</xdr:col>
      <xdr:colOff>1428750</xdr:colOff>
      <xdr:row>88</xdr:row>
      <xdr:rowOff>1219199</xdr:rowOff>
    </xdr:to>
    <xdr:sp macro="" textlink="">
      <xdr:nvSpPr>
        <xdr:cNvPr id="255" name="Rounded Rectangle 254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SpPr/>
      </xdr:nvSpPr>
      <xdr:spPr>
        <a:xfrm>
          <a:off x="3745230" y="16217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88</xdr:row>
      <xdr:rowOff>238127</xdr:rowOff>
    </xdr:from>
    <xdr:to>
      <xdr:col>5</xdr:col>
      <xdr:colOff>790575</xdr:colOff>
      <xdr:row>88</xdr:row>
      <xdr:rowOff>361950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CxnSpPr/>
      </xdr:nvCxnSpPr>
      <xdr:spPr>
        <a:xfrm flipH="1" flipV="1">
          <a:off x="3749041" y="16278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88</xdr:row>
      <xdr:rowOff>133352</xdr:rowOff>
    </xdr:from>
    <xdr:to>
      <xdr:col>5</xdr:col>
      <xdr:colOff>885825</xdr:colOff>
      <xdr:row>88</xdr:row>
      <xdr:rowOff>257175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CxnSpPr/>
      </xdr:nvCxnSpPr>
      <xdr:spPr>
        <a:xfrm flipH="1" flipV="1">
          <a:off x="3745231" y="16226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93</xdr:row>
      <xdr:rowOff>127000</xdr:rowOff>
    </xdr:from>
    <xdr:to>
      <xdr:col>5</xdr:col>
      <xdr:colOff>356235</xdr:colOff>
      <xdr:row>93</xdr:row>
      <xdr:rowOff>309880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CxnSpPr/>
      </xdr:nvCxnSpPr>
      <xdr:spPr>
        <a:xfrm flipH="1" flipV="1">
          <a:off x="3480435" y="17134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93</xdr:row>
      <xdr:rowOff>400050</xdr:rowOff>
    </xdr:from>
    <xdr:to>
      <xdr:col>5</xdr:col>
      <xdr:colOff>1666875</xdr:colOff>
      <xdr:row>93</xdr:row>
      <xdr:rowOff>400050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CxnSpPr/>
      </xdr:nvCxnSpPr>
      <xdr:spPr>
        <a:xfrm>
          <a:off x="3476625" y="17186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93</xdr:row>
      <xdr:rowOff>127000</xdr:rowOff>
    </xdr:from>
    <xdr:to>
      <xdr:col>5</xdr:col>
      <xdr:colOff>356810</xdr:colOff>
      <xdr:row>93</xdr:row>
      <xdr:rowOff>409912</xdr:rowOff>
    </xdr:to>
    <xdr:cxnSp macro="">
      <xdr:nvCxnSpPr>
        <xdr:cNvPr id="260" name="Straight Connector 25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CxnSpPr/>
      </xdr:nvCxnSpPr>
      <xdr:spPr>
        <a:xfrm flipH="1" flipV="1">
          <a:off x="3481009" y="17134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1661160</xdr:colOff>
      <xdr:row>93</xdr:row>
      <xdr:rowOff>153035</xdr:rowOff>
    </xdr:from>
    <xdr:to>
      <xdr:col>5</xdr:col>
      <xdr:colOff>1661161</xdr:colOff>
      <xdr:row>93</xdr:row>
      <xdr:rowOff>435947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CxnSpPr/>
      </xdr:nvCxnSpPr>
      <xdr:spPr>
        <a:xfrm flipH="1" flipV="1">
          <a:off x="3749040" y="17160875"/>
          <a:ext cx="1" cy="3145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94</xdr:row>
      <xdr:rowOff>190500</xdr:rowOff>
    </xdr:from>
    <xdr:to>
      <xdr:col>5</xdr:col>
      <xdr:colOff>1628775</xdr:colOff>
      <xdr:row>94</xdr:row>
      <xdr:rowOff>190500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CxnSpPr/>
      </xdr:nvCxnSpPr>
      <xdr:spPr>
        <a:xfrm>
          <a:off x="3438525" y="1737360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97</xdr:row>
      <xdr:rowOff>123824</xdr:rowOff>
    </xdr:from>
    <xdr:to>
      <xdr:col>5</xdr:col>
      <xdr:colOff>1428750</xdr:colOff>
      <xdr:row>97</xdr:row>
      <xdr:rowOff>1219199</xdr:rowOff>
    </xdr:to>
    <xdr:sp macro="" textlink="">
      <xdr:nvSpPr>
        <xdr:cNvPr id="263" name="Rounded Rectangle 262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SpPr/>
      </xdr:nvSpPr>
      <xdr:spPr>
        <a:xfrm>
          <a:off x="3745230" y="178631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97</xdr:row>
      <xdr:rowOff>238127</xdr:rowOff>
    </xdr:from>
    <xdr:to>
      <xdr:col>5</xdr:col>
      <xdr:colOff>790575</xdr:colOff>
      <xdr:row>97</xdr:row>
      <xdr:rowOff>361950</xdr:rowOff>
    </xdr:to>
    <xdr:cxnSp macro="">
      <xdr:nvCxnSpPr>
        <xdr:cNvPr id="264" name="Straight Connector 263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CxnSpPr/>
      </xdr:nvCxnSpPr>
      <xdr:spPr>
        <a:xfrm flipH="1" flipV="1">
          <a:off x="3749041" y="179241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97</xdr:row>
      <xdr:rowOff>133352</xdr:rowOff>
    </xdr:from>
    <xdr:to>
      <xdr:col>5</xdr:col>
      <xdr:colOff>885825</xdr:colOff>
      <xdr:row>97</xdr:row>
      <xdr:rowOff>257175</xdr:rowOff>
    </xdr:to>
    <xdr:cxnSp macro="">
      <xdr:nvCxnSpPr>
        <xdr:cNvPr id="265" name="Straight Connector 264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CxnSpPr/>
      </xdr:nvCxnSpPr>
      <xdr:spPr>
        <a:xfrm flipH="1" flipV="1">
          <a:off x="3745231" y="178727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95</xdr:row>
      <xdr:rowOff>174625</xdr:rowOff>
    </xdr:from>
    <xdr:to>
      <xdr:col>5</xdr:col>
      <xdr:colOff>327661</xdr:colOff>
      <xdr:row>95</xdr:row>
      <xdr:rowOff>457537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CxnSpPr/>
      </xdr:nvCxnSpPr>
      <xdr:spPr>
        <a:xfrm flipH="1" flipV="1">
          <a:off x="3451860" y="1754822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95</xdr:row>
      <xdr:rowOff>200025</xdr:rowOff>
    </xdr:from>
    <xdr:to>
      <xdr:col>5</xdr:col>
      <xdr:colOff>1638300</xdr:colOff>
      <xdr:row>95</xdr:row>
      <xdr:rowOff>200025</xdr:rowOff>
    </xdr:to>
    <xdr:cxnSp macro="">
      <xdr:nvCxnSpPr>
        <xdr:cNvPr id="267" name="Straight Connector 266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CxnSpPr/>
      </xdr:nvCxnSpPr>
      <xdr:spPr>
        <a:xfrm>
          <a:off x="3448050" y="1755838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96</xdr:row>
      <xdr:rowOff>174625</xdr:rowOff>
    </xdr:from>
    <xdr:to>
      <xdr:col>5</xdr:col>
      <xdr:colOff>327661</xdr:colOff>
      <xdr:row>96</xdr:row>
      <xdr:rowOff>457537</xdr:rowOff>
    </xdr:to>
    <xdr:cxnSp macro="">
      <xdr:nvCxnSpPr>
        <xdr:cNvPr id="268" name="Straight Connector 267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CxnSpPr/>
      </xdr:nvCxnSpPr>
      <xdr:spPr>
        <a:xfrm flipH="1" flipV="1">
          <a:off x="3451860" y="1773110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96</xdr:row>
      <xdr:rowOff>200025</xdr:rowOff>
    </xdr:from>
    <xdr:to>
      <xdr:col>5</xdr:col>
      <xdr:colOff>1638300</xdr:colOff>
      <xdr:row>96</xdr:row>
      <xdr:rowOff>200025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CxnSpPr/>
      </xdr:nvCxnSpPr>
      <xdr:spPr>
        <a:xfrm>
          <a:off x="3448050" y="1774126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1623060</xdr:colOff>
      <xdr:row>95</xdr:row>
      <xdr:rowOff>182245</xdr:rowOff>
    </xdr:from>
    <xdr:to>
      <xdr:col>5</xdr:col>
      <xdr:colOff>1623061</xdr:colOff>
      <xdr:row>95</xdr:row>
      <xdr:rowOff>465157</xdr:rowOff>
    </xdr:to>
    <xdr:cxnSp macro="">
      <xdr:nvCxnSpPr>
        <xdr:cNvPr id="270" name="Straight Connector 2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CxnSpPr/>
      </xdr:nvCxnSpPr>
      <xdr:spPr>
        <a:xfrm flipH="1" flipV="1">
          <a:off x="3749040" y="17555845"/>
          <a:ext cx="1" cy="97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100</xdr:row>
      <xdr:rowOff>127000</xdr:rowOff>
    </xdr:from>
    <xdr:to>
      <xdr:col>5</xdr:col>
      <xdr:colOff>356235</xdr:colOff>
      <xdr:row>100</xdr:row>
      <xdr:rowOff>309880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CxnSpPr/>
      </xdr:nvCxnSpPr>
      <xdr:spPr>
        <a:xfrm flipH="1" flipV="1">
          <a:off x="3480435" y="18415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100</xdr:row>
      <xdr:rowOff>400050</xdr:rowOff>
    </xdr:from>
    <xdr:to>
      <xdr:col>5</xdr:col>
      <xdr:colOff>1666875</xdr:colOff>
      <xdr:row>100</xdr:row>
      <xdr:rowOff>400050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CxnSpPr/>
      </xdr:nvCxnSpPr>
      <xdr:spPr>
        <a:xfrm>
          <a:off x="3476625" y="18467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100</xdr:row>
      <xdr:rowOff>127000</xdr:rowOff>
    </xdr:from>
    <xdr:to>
      <xdr:col>5</xdr:col>
      <xdr:colOff>356810</xdr:colOff>
      <xdr:row>100</xdr:row>
      <xdr:rowOff>409912</xdr:rowOff>
    </xdr:to>
    <xdr:cxnSp macro="">
      <xdr:nvCxnSpPr>
        <xdr:cNvPr id="273" name="Straight Connector 272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CxnSpPr/>
      </xdr:nvCxnSpPr>
      <xdr:spPr>
        <a:xfrm flipH="1" flipV="1">
          <a:off x="3481009" y="18415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1661160</xdr:colOff>
      <xdr:row>100</xdr:row>
      <xdr:rowOff>153035</xdr:rowOff>
    </xdr:from>
    <xdr:to>
      <xdr:col>5</xdr:col>
      <xdr:colOff>1661161</xdr:colOff>
      <xdr:row>100</xdr:row>
      <xdr:rowOff>435947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CxnSpPr/>
      </xdr:nvCxnSpPr>
      <xdr:spPr>
        <a:xfrm flipH="1" flipV="1">
          <a:off x="3749040" y="18441035"/>
          <a:ext cx="1" cy="3145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101</xdr:row>
      <xdr:rowOff>190500</xdr:rowOff>
    </xdr:from>
    <xdr:to>
      <xdr:col>5</xdr:col>
      <xdr:colOff>1628775</xdr:colOff>
      <xdr:row>101</xdr:row>
      <xdr:rowOff>190500</xdr:rowOff>
    </xdr:to>
    <xdr:cxnSp macro="">
      <xdr:nvCxnSpPr>
        <xdr:cNvPr id="275" name="Straight Connector 274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CxnSpPr/>
      </xdr:nvCxnSpPr>
      <xdr:spPr>
        <a:xfrm>
          <a:off x="3438525" y="1865376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104</xdr:row>
      <xdr:rowOff>123824</xdr:rowOff>
    </xdr:from>
    <xdr:to>
      <xdr:col>5</xdr:col>
      <xdr:colOff>1428750</xdr:colOff>
      <xdr:row>104</xdr:row>
      <xdr:rowOff>1219199</xdr:rowOff>
    </xdr:to>
    <xdr:sp macro="" textlink="">
      <xdr:nvSpPr>
        <xdr:cNvPr id="276" name="Rounded Rectangle 275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SpPr/>
      </xdr:nvSpPr>
      <xdr:spPr>
        <a:xfrm>
          <a:off x="3745230" y="191433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104</xdr:row>
      <xdr:rowOff>238127</xdr:rowOff>
    </xdr:from>
    <xdr:to>
      <xdr:col>5</xdr:col>
      <xdr:colOff>790575</xdr:colOff>
      <xdr:row>104</xdr:row>
      <xdr:rowOff>361950</xdr:rowOff>
    </xdr:to>
    <xdr:cxnSp macro="">
      <xdr:nvCxnSpPr>
        <xdr:cNvPr id="277" name="Straight Connector 276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CxnSpPr/>
      </xdr:nvCxnSpPr>
      <xdr:spPr>
        <a:xfrm flipH="1" flipV="1">
          <a:off x="3749041" y="192043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104</xdr:row>
      <xdr:rowOff>133352</xdr:rowOff>
    </xdr:from>
    <xdr:to>
      <xdr:col>5</xdr:col>
      <xdr:colOff>885825</xdr:colOff>
      <xdr:row>104</xdr:row>
      <xdr:rowOff>257175</xdr:rowOff>
    </xdr:to>
    <xdr:cxnSp macro="">
      <xdr:nvCxnSpPr>
        <xdr:cNvPr id="278" name="Straight Connector 277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CxnSpPr/>
      </xdr:nvCxnSpPr>
      <xdr:spPr>
        <a:xfrm flipH="1" flipV="1">
          <a:off x="3745231" y="191528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102</xdr:row>
      <xdr:rowOff>174625</xdr:rowOff>
    </xdr:from>
    <xdr:to>
      <xdr:col>5</xdr:col>
      <xdr:colOff>327661</xdr:colOff>
      <xdr:row>102</xdr:row>
      <xdr:rowOff>457537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CxnSpPr/>
      </xdr:nvCxnSpPr>
      <xdr:spPr>
        <a:xfrm flipH="1" flipV="1">
          <a:off x="3451860" y="1882838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102</xdr:row>
      <xdr:rowOff>200025</xdr:rowOff>
    </xdr:from>
    <xdr:to>
      <xdr:col>5</xdr:col>
      <xdr:colOff>1638300</xdr:colOff>
      <xdr:row>102</xdr:row>
      <xdr:rowOff>200025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CxnSpPr/>
      </xdr:nvCxnSpPr>
      <xdr:spPr>
        <a:xfrm>
          <a:off x="3448050" y="1883854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103</xdr:row>
      <xdr:rowOff>174625</xdr:rowOff>
    </xdr:from>
    <xdr:to>
      <xdr:col>5</xdr:col>
      <xdr:colOff>327661</xdr:colOff>
      <xdr:row>103</xdr:row>
      <xdr:rowOff>457537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CxnSpPr/>
      </xdr:nvCxnSpPr>
      <xdr:spPr>
        <a:xfrm flipH="1" flipV="1">
          <a:off x="3451860" y="1901126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103</xdr:row>
      <xdr:rowOff>200025</xdr:rowOff>
    </xdr:from>
    <xdr:to>
      <xdr:col>5</xdr:col>
      <xdr:colOff>1638300</xdr:colOff>
      <xdr:row>103</xdr:row>
      <xdr:rowOff>200025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CxnSpPr/>
      </xdr:nvCxnSpPr>
      <xdr:spPr>
        <a:xfrm>
          <a:off x="3448050" y="1902142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1623060</xdr:colOff>
      <xdr:row>102</xdr:row>
      <xdr:rowOff>182245</xdr:rowOff>
    </xdr:from>
    <xdr:to>
      <xdr:col>5</xdr:col>
      <xdr:colOff>1623061</xdr:colOff>
      <xdr:row>102</xdr:row>
      <xdr:rowOff>465157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CxnSpPr/>
      </xdr:nvCxnSpPr>
      <xdr:spPr>
        <a:xfrm flipH="1" flipV="1">
          <a:off x="3749040" y="18836005"/>
          <a:ext cx="1" cy="97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109</xdr:row>
      <xdr:rowOff>127000</xdr:rowOff>
    </xdr:from>
    <xdr:to>
      <xdr:col>5</xdr:col>
      <xdr:colOff>356235</xdr:colOff>
      <xdr:row>109</xdr:row>
      <xdr:rowOff>309880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CxnSpPr/>
      </xdr:nvCxnSpPr>
      <xdr:spPr>
        <a:xfrm flipH="1" flipV="1">
          <a:off x="3480435" y="200609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109</xdr:row>
      <xdr:rowOff>400050</xdr:rowOff>
    </xdr:from>
    <xdr:to>
      <xdr:col>5</xdr:col>
      <xdr:colOff>1666875</xdr:colOff>
      <xdr:row>109</xdr:row>
      <xdr:rowOff>400050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CxnSpPr/>
      </xdr:nvCxnSpPr>
      <xdr:spPr>
        <a:xfrm>
          <a:off x="3476625" y="201129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109</xdr:row>
      <xdr:rowOff>127000</xdr:rowOff>
    </xdr:from>
    <xdr:to>
      <xdr:col>5</xdr:col>
      <xdr:colOff>356810</xdr:colOff>
      <xdr:row>109</xdr:row>
      <xdr:rowOff>409912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CxnSpPr/>
      </xdr:nvCxnSpPr>
      <xdr:spPr>
        <a:xfrm flipH="1" flipV="1">
          <a:off x="3481009" y="200609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1661160</xdr:colOff>
      <xdr:row>109</xdr:row>
      <xdr:rowOff>153035</xdr:rowOff>
    </xdr:from>
    <xdr:to>
      <xdr:col>5</xdr:col>
      <xdr:colOff>1661161</xdr:colOff>
      <xdr:row>109</xdr:row>
      <xdr:rowOff>435947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CxnSpPr/>
      </xdr:nvCxnSpPr>
      <xdr:spPr>
        <a:xfrm flipH="1" flipV="1">
          <a:off x="3749040" y="20086955"/>
          <a:ext cx="1" cy="3145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110</xdr:row>
      <xdr:rowOff>190500</xdr:rowOff>
    </xdr:from>
    <xdr:to>
      <xdr:col>5</xdr:col>
      <xdr:colOff>1628775</xdr:colOff>
      <xdr:row>110</xdr:row>
      <xdr:rowOff>190500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CxnSpPr/>
      </xdr:nvCxnSpPr>
      <xdr:spPr>
        <a:xfrm>
          <a:off x="3438525" y="2029968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113</xdr:row>
      <xdr:rowOff>123824</xdr:rowOff>
    </xdr:from>
    <xdr:to>
      <xdr:col>5</xdr:col>
      <xdr:colOff>1428750</xdr:colOff>
      <xdr:row>113</xdr:row>
      <xdr:rowOff>1219199</xdr:rowOff>
    </xdr:to>
    <xdr:sp macro="" textlink="">
      <xdr:nvSpPr>
        <xdr:cNvPr id="289" name="Rounded Rectangle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SpPr/>
      </xdr:nvSpPr>
      <xdr:spPr>
        <a:xfrm>
          <a:off x="3745230" y="20789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113</xdr:row>
      <xdr:rowOff>238127</xdr:rowOff>
    </xdr:from>
    <xdr:to>
      <xdr:col>5</xdr:col>
      <xdr:colOff>790575</xdr:colOff>
      <xdr:row>113</xdr:row>
      <xdr:rowOff>361950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CxnSpPr/>
      </xdr:nvCxnSpPr>
      <xdr:spPr>
        <a:xfrm flipH="1" flipV="1">
          <a:off x="3749041" y="20850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113</xdr:row>
      <xdr:rowOff>133352</xdr:rowOff>
    </xdr:from>
    <xdr:to>
      <xdr:col>5</xdr:col>
      <xdr:colOff>885825</xdr:colOff>
      <xdr:row>113</xdr:row>
      <xdr:rowOff>257175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CxnSpPr/>
      </xdr:nvCxnSpPr>
      <xdr:spPr>
        <a:xfrm flipH="1" flipV="1">
          <a:off x="3745231" y="20798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111</xdr:row>
      <xdr:rowOff>174625</xdr:rowOff>
    </xdr:from>
    <xdr:to>
      <xdr:col>5</xdr:col>
      <xdr:colOff>327661</xdr:colOff>
      <xdr:row>111</xdr:row>
      <xdr:rowOff>457537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CxnSpPr/>
      </xdr:nvCxnSpPr>
      <xdr:spPr>
        <a:xfrm flipH="1" flipV="1">
          <a:off x="3451860" y="2047430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111</xdr:row>
      <xdr:rowOff>200025</xdr:rowOff>
    </xdr:from>
    <xdr:to>
      <xdr:col>5</xdr:col>
      <xdr:colOff>1638300</xdr:colOff>
      <xdr:row>111</xdr:row>
      <xdr:rowOff>200025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CxnSpPr/>
      </xdr:nvCxnSpPr>
      <xdr:spPr>
        <a:xfrm>
          <a:off x="3448050" y="2048446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112</xdr:row>
      <xdr:rowOff>174625</xdr:rowOff>
    </xdr:from>
    <xdr:to>
      <xdr:col>5</xdr:col>
      <xdr:colOff>327661</xdr:colOff>
      <xdr:row>112</xdr:row>
      <xdr:rowOff>457537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CxnSpPr/>
      </xdr:nvCxnSpPr>
      <xdr:spPr>
        <a:xfrm flipH="1" flipV="1">
          <a:off x="3451860" y="2065718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112</xdr:row>
      <xdr:rowOff>200025</xdr:rowOff>
    </xdr:from>
    <xdr:to>
      <xdr:col>5</xdr:col>
      <xdr:colOff>1638300</xdr:colOff>
      <xdr:row>112</xdr:row>
      <xdr:rowOff>200025</xdr:rowOff>
    </xdr:to>
    <xdr:cxnSp macro="">
      <xdr:nvCxnSpPr>
        <xdr:cNvPr id="295" name="Straight Connector 294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CxnSpPr/>
      </xdr:nvCxnSpPr>
      <xdr:spPr>
        <a:xfrm>
          <a:off x="3448050" y="2066734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1623060</xdr:colOff>
      <xdr:row>111</xdr:row>
      <xdr:rowOff>182245</xdr:rowOff>
    </xdr:from>
    <xdr:to>
      <xdr:col>5</xdr:col>
      <xdr:colOff>1623061</xdr:colOff>
      <xdr:row>111</xdr:row>
      <xdr:rowOff>465157</xdr:rowOff>
    </xdr:to>
    <xdr:cxnSp macro="">
      <xdr:nvCxnSpPr>
        <xdr:cNvPr id="296" name="Straight Connector 295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CxnSpPr/>
      </xdr:nvCxnSpPr>
      <xdr:spPr>
        <a:xfrm flipH="1" flipV="1">
          <a:off x="3749040" y="20481925"/>
          <a:ext cx="1" cy="97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117</xdr:row>
      <xdr:rowOff>127000</xdr:rowOff>
    </xdr:from>
    <xdr:to>
      <xdr:col>5</xdr:col>
      <xdr:colOff>356235</xdr:colOff>
      <xdr:row>117</xdr:row>
      <xdr:rowOff>309880</xdr:rowOff>
    </xdr:to>
    <xdr:cxnSp macro="">
      <xdr:nvCxnSpPr>
        <xdr:cNvPr id="297" name="Straight Connector 296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CxnSpPr/>
      </xdr:nvCxnSpPr>
      <xdr:spPr>
        <a:xfrm flipH="1" flipV="1">
          <a:off x="3480435" y="2152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117</xdr:row>
      <xdr:rowOff>400050</xdr:rowOff>
    </xdr:from>
    <xdr:to>
      <xdr:col>5</xdr:col>
      <xdr:colOff>1666875</xdr:colOff>
      <xdr:row>117</xdr:row>
      <xdr:rowOff>400050</xdr:rowOff>
    </xdr:to>
    <xdr:cxnSp macro="">
      <xdr:nvCxnSpPr>
        <xdr:cNvPr id="298" name="Straight Connector 297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CxnSpPr/>
      </xdr:nvCxnSpPr>
      <xdr:spPr>
        <a:xfrm>
          <a:off x="3476625" y="215760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117</xdr:row>
      <xdr:rowOff>127000</xdr:rowOff>
    </xdr:from>
    <xdr:to>
      <xdr:col>5</xdr:col>
      <xdr:colOff>356810</xdr:colOff>
      <xdr:row>117</xdr:row>
      <xdr:rowOff>409912</xdr:rowOff>
    </xdr:to>
    <xdr:cxnSp macro="">
      <xdr:nvCxnSpPr>
        <xdr:cNvPr id="299" name="Straight Connector 298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CxnSpPr/>
      </xdr:nvCxnSpPr>
      <xdr:spPr>
        <a:xfrm flipH="1" flipV="1">
          <a:off x="3481009" y="2152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117</xdr:row>
      <xdr:rowOff>134252</xdr:rowOff>
    </xdr:from>
    <xdr:to>
      <xdr:col>5</xdr:col>
      <xdr:colOff>1652211</xdr:colOff>
      <xdr:row>117</xdr:row>
      <xdr:rowOff>417164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CxnSpPr/>
      </xdr:nvCxnSpPr>
      <xdr:spPr>
        <a:xfrm flipH="1" flipV="1">
          <a:off x="3747710" y="2153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118</xdr:row>
      <xdr:rowOff>127000</xdr:rowOff>
    </xdr:from>
    <xdr:to>
      <xdr:col>5</xdr:col>
      <xdr:colOff>356235</xdr:colOff>
      <xdr:row>118</xdr:row>
      <xdr:rowOff>309880</xdr:rowOff>
    </xdr:to>
    <xdr:cxnSp macro="">
      <xdr:nvCxnSpPr>
        <xdr:cNvPr id="301" name="Straight Connector 300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CxnSpPr/>
      </xdr:nvCxnSpPr>
      <xdr:spPr>
        <a:xfrm flipH="1" flipV="1">
          <a:off x="3480435" y="21706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118</xdr:row>
      <xdr:rowOff>152400</xdr:rowOff>
    </xdr:from>
    <xdr:to>
      <xdr:col>5</xdr:col>
      <xdr:colOff>1676400</xdr:colOff>
      <xdr:row>118</xdr:row>
      <xdr:rowOff>152400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CxnSpPr/>
      </xdr:nvCxnSpPr>
      <xdr:spPr>
        <a:xfrm>
          <a:off x="3486150" y="217322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118</xdr:row>
      <xdr:rowOff>127000</xdr:rowOff>
    </xdr:from>
    <xdr:to>
      <xdr:col>5</xdr:col>
      <xdr:colOff>356810</xdr:colOff>
      <xdr:row>118</xdr:row>
      <xdr:rowOff>409912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CxnSpPr/>
      </xdr:nvCxnSpPr>
      <xdr:spPr>
        <a:xfrm flipH="1" flipV="1">
          <a:off x="3481009" y="21706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118</xdr:row>
      <xdr:rowOff>134252</xdr:rowOff>
    </xdr:from>
    <xdr:to>
      <xdr:col>5</xdr:col>
      <xdr:colOff>1652211</xdr:colOff>
      <xdr:row>118</xdr:row>
      <xdr:rowOff>417164</xdr:rowOff>
    </xdr:to>
    <xdr:cxnSp macro="">
      <xdr:nvCxnSpPr>
        <xdr:cNvPr id="304" name="Straight Connector 303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CxnSpPr/>
      </xdr:nvCxnSpPr>
      <xdr:spPr>
        <a:xfrm flipH="1" flipV="1">
          <a:off x="3747710" y="21714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119</xdr:row>
      <xdr:rowOff>123824</xdr:rowOff>
    </xdr:from>
    <xdr:to>
      <xdr:col>5</xdr:col>
      <xdr:colOff>1428750</xdr:colOff>
      <xdr:row>119</xdr:row>
      <xdr:rowOff>1219199</xdr:rowOff>
    </xdr:to>
    <xdr:sp macro="" textlink="">
      <xdr:nvSpPr>
        <xdr:cNvPr id="305" name="Rounded Rectangle 304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SpPr/>
      </xdr:nvSpPr>
      <xdr:spPr>
        <a:xfrm>
          <a:off x="3745230" y="218865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119</xdr:row>
      <xdr:rowOff>238127</xdr:rowOff>
    </xdr:from>
    <xdr:to>
      <xdr:col>5</xdr:col>
      <xdr:colOff>790575</xdr:colOff>
      <xdr:row>119</xdr:row>
      <xdr:rowOff>361950</xdr:rowOff>
    </xdr:to>
    <xdr:cxnSp macro="">
      <xdr:nvCxnSpPr>
        <xdr:cNvPr id="306" name="Straight Connector 305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CxnSpPr/>
      </xdr:nvCxnSpPr>
      <xdr:spPr>
        <a:xfrm flipH="1" flipV="1">
          <a:off x="3749041" y="219475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119</xdr:row>
      <xdr:rowOff>133352</xdr:rowOff>
    </xdr:from>
    <xdr:to>
      <xdr:col>5</xdr:col>
      <xdr:colOff>885825</xdr:colOff>
      <xdr:row>119</xdr:row>
      <xdr:rowOff>257175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CxnSpPr/>
      </xdr:nvCxnSpPr>
      <xdr:spPr>
        <a:xfrm flipH="1" flipV="1">
          <a:off x="3745231" y="218960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117</xdr:row>
      <xdr:rowOff>127000</xdr:rowOff>
    </xdr:from>
    <xdr:to>
      <xdr:col>5</xdr:col>
      <xdr:colOff>356235</xdr:colOff>
      <xdr:row>117</xdr:row>
      <xdr:rowOff>309880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CxnSpPr/>
      </xdr:nvCxnSpPr>
      <xdr:spPr>
        <a:xfrm flipH="1" flipV="1">
          <a:off x="3480435" y="2152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117</xdr:row>
      <xdr:rowOff>400050</xdr:rowOff>
    </xdr:from>
    <xdr:to>
      <xdr:col>5</xdr:col>
      <xdr:colOff>1666875</xdr:colOff>
      <xdr:row>117</xdr:row>
      <xdr:rowOff>400050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CxnSpPr/>
      </xdr:nvCxnSpPr>
      <xdr:spPr>
        <a:xfrm>
          <a:off x="3476625" y="215760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117</xdr:row>
      <xdr:rowOff>127000</xdr:rowOff>
    </xdr:from>
    <xdr:to>
      <xdr:col>5</xdr:col>
      <xdr:colOff>356810</xdr:colOff>
      <xdr:row>117</xdr:row>
      <xdr:rowOff>409912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CxnSpPr/>
      </xdr:nvCxnSpPr>
      <xdr:spPr>
        <a:xfrm flipH="1" flipV="1">
          <a:off x="3481009" y="2152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117</xdr:row>
      <xdr:rowOff>134252</xdr:rowOff>
    </xdr:from>
    <xdr:to>
      <xdr:col>5</xdr:col>
      <xdr:colOff>1652211</xdr:colOff>
      <xdr:row>117</xdr:row>
      <xdr:rowOff>417164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CxnSpPr/>
      </xdr:nvCxnSpPr>
      <xdr:spPr>
        <a:xfrm flipH="1" flipV="1">
          <a:off x="3747710" y="2153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118</xdr:row>
      <xdr:rowOff>127000</xdr:rowOff>
    </xdr:from>
    <xdr:to>
      <xdr:col>5</xdr:col>
      <xdr:colOff>356235</xdr:colOff>
      <xdr:row>118</xdr:row>
      <xdr:rowOff>309880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CxnSpPr/>
      </xdr:nvCxnSpPr>
      <xdr:spPr>
        <a:xfrm flipH="1" flipV="1">
          <a:off x="3480435" y="21706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118</xdr:row>
      <xdr:rowOff>152400</xdr:rowOff>
    </xdr:from>
    <xdr:to>
      <xdr:col>5</xdr:col>
      <xdr:colOff>1676400</xdr:colOff>
      <xdr:row>118</xdr:row>
      <xdr:rowOff>152400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CxnSpPr/>
      </xdr:nvCxnSpPr>
      <xdr:spPr>
        <a:xfrm>
          <a:off x="3486150" y="217322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118</xdr:row>
      <xdr:rowOff>127000</xdr:rowOff>
    </xdr:from>
    <xdr:to>
      <xdr:col>5</xdr:col>
      <xdr:colOff>356810</xdr:colOff>
      <xdr:row>118</xdr:row>
      <xdr:rowOff>409912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CxnSpPr/>
      </xdr:nvCxnSpPr>
      <xdr:spPr>
        <a:xfrm flipH="1" flipV="1">
          <a:off x="3481009" y="21706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118</xdr:row>
      <xdr:rowOff>134252</xdr:rowOff>
    </xdr:from>
    <xdr:to>
      <xdr:col>5</xdr:col>
      <xdr:colOff>1652211</xdr:colOff>
      <xdr:row>118</xdr:row>
      <xdr:rowOff>417164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CxnSpPr/>
      </xdr:nvCxnSpPr>
      <xdr:spPr>
        <a:xfrm flipH="1" flipV="1">
          <a:off x="3747710" y="21714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119</xdr:row>
      <xdr:rowOff>123824</xdr:rowOff>
    </xdr:from>
    <xdr:to>
      <xdr:col>5</xdr:col>
      <xdr:colOff>1428750</xdr:colOff>
      <xdr:row>119</xdr:row>
      <xdr:rowOff>1219199</xdr:rowOff>
    </xdr:to>
    <xdr:sp macro="" textlink="">
      <xdr:nvSpPr>
        <xdr:cNvPr id="316" name="Rounded Rectangle 315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SpPr/>
      </xdr:nvSpPr>
      <xdr:spPr>
        <a:xfrm>
          <a:off x="3745230" y="218865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119</xdr:row>
      <xdr:rowOff>238127</xdr:rowOff>
    </xdr:from>
    <xdr:to>
      <xdr:col>5</xdr:col>
      <xdr:colOff>790575</xdr:colOff>
      <xdr:row>119</xdr:row>
      <xdr:rowOff>361950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CxnSpPr/>
      </xdr:nvCxnSpPr>
      <xdr:spPr>
        <a:xfrm flipH="1" flipV="1">
          <a:off x="3749041" y="219475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119</xdr:row>
      <xdr:rowOff>133352</xdr:rowOff>
    </xdr:from>
    <xdr:to>
      <xdr:col>5</xdr:col>
      <xdr:colOff>885825</xdr:colOff>
      <xdr:row>119</xdr:row>
      <xdr:rowOff>257175</xdr:rowOff>
    </xdr:to>
    <xdr:cxnSp macro="">
      <xdr:nvCxnSpPr>
        <xdr:cNvPr id="318" name="Straight Connector 317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CxnSpPr/>
      </xdr:nvCxnSpPr>
      <xdr:spPr>
        <a:xfrm flipH="1" flipV="1">
          <a:off x="3745231" y="218960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117</xdr:row>
      <xdr:rowOff>127000</xdr:rowOff>
    </xdr:from>
    <xdr:to>
      <xdr:col>5</xdr:col>
      <xdr:colOff>356235</xdr:colOff>
      <xdr:row>117</xdr:row>
      <xdr:rowOff>309880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CxnSpPr/>
      </xdr:nvCxnSpPr>
      <xdr:spPr>
        <a:xfrm flipH="1" flipV="1">
          <a:off x="3480435" y="2152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117</xdr:row>
      <xdr:rowOff>400050</xdr:rowOff>
    </xdr:from>
    <xdr:to>
      <xdr:col>5</xdr:col>
      <xdr:colOff>1666875</xdr:colOff>
      <xdr:row>117</xdr:row>
      <xdr:rowOff>400050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CxnSpPr/>
      </xdr:nvCxnSpPr>
      <xdr:spPr>
        <a:xfrm>
          <a:off x="3476625" y="215760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117</xdr:row>
      <xdr:rowOff>127000</xdr:rowOff>
    </xdr:from>
    <xdr:to>
      <xdr:col>5</xdr:col>
      <xdr:colOff>356810</xdr:colOff>
      <xdr:row>117</xdr:row>
      <xdr:rowOff>409912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CxnSpPr/>
      </xdr:nvCxnSpPr>
      <xdr:spPr>
        <a:xfrm flipH="1" flipV="1">
          <a:off x="3481009" y="2152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117</xdr:row>
      <xdr:rowOff>134252</xdr:rowOff>
    </xdr:from>
    <xdr:to>
      <xdr:col>5</xdr:col>
      <xdr:colOff>1652211</xdr:colOff>
      <xdr:row>117</xdr:row>
      <xdr:rowOff>417164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CxnSpPr/>
      </xdr:nvCxnSpPr>
      <xdr:spPr>
        <a:xfrm flipH="1" flipV="1">
          <a:off x="3747710" y="2153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118</xdr:row>
      <xdr:rowOff>127000</xdr:rowOff>
    </xdr:from>
    <xdr:to>
      <xdr:col>5</xdr:col>
      <xdr:colOff>356235</xdr:colOff>
      <xdr:row>118</xdr:row>
      <xdr:rowOff>309880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CxnSpPr/>
      </xdr:nvCxnSpPr>
      <xdr:spPr>
        <a:xfrm flipH="1" flipV="1">
          <a:off x="3480435" y="21706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118</xdr:row>
      <xdr:rowOff>152400</xdr:rowOff>
    </xdr:from>
    <xdr:to>
      <xdr:col>5</xdr:col>
      <xdr:colOff>1676400</xdr:colOff>
      <xdr:row>118</xdr:row>
      <xdr:rowOff>152400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CxnSpPr/>
      </xdr:nvCxnSpPr>
      <xdr:spPr>
        <a:xfrm>
          <a:off x="3486150" y="217322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118</xdr:row>
      <xdr:rowOff>127000</xdr:rowOff>
    </xdr:from>
    <xdr:to>
      <xdr:col>5</xdr:col>
      <xdr:colOff>356810</xdr:colOff>
      <xdr:row>118</xdr:row>
      <xdr:rowOff>409912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CxnSpPr/>
      </xdr:nvCxnSpPr>
      <xdr:spPr>
        <a:xfrm flipH="1" flipV="1">
          <a:off x="3481009" y="21706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118</xdr:row>
      <xdr:rowOff>134252</xdr:rowOff>
    </xdr:from>
    <xdr:to>
      <xdr:col>5</xdr:col>
      <xdr:colOff>1652211</xdr:colOff>
      <xdr:row>118</xdr:row>
      <xdr:rowOff>417164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CxnSpPr/>
      </xdr:nvCxnSpPr>
      <xdr:spPr>
        <a:xfrm flipH="1" flipV="1">
          <a:off x="3747710" y="21714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119</xdr:row>
      <xdr:rowOff>123824</xdr:rowOff>
    </xdr:from>
    <xdr:to>
      <xdr:col>5</xdr:col>
      <xdr:colOff>1428750</xdr:colOff>
      <xdr:row>119</xdr:row>
      <xdr:rowOff>1219199</xdr:rowOff>
    </xdr:to>
    <xdr:sp macro="" textlink="">
      <xdr:nvSpPr>
        <xdr:cNvPr id="327" name="Rounded Rectangle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SpPr/>
      </xdr:nvSpPr>
      <xdr:spPr>
        <a:xfrm>
          <a:off x="3745230" y="218865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119</xdr:row>
      <xdr:rowOff>238127</xdr:rowOff>
    </xdr:from>
    <xdr:to>
      <xdr:col>5</xdr:col>
      <xdr:colOff>790575</xdr:colOff>
      <xdr:row>119</xdr:row>
      <xdr:rowOff>361950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CxnSpPr/>
      </xdr:nvCxnSpPr>
      <xdr:spPr>
        <a:xfrm flipH="1" flipV="1">
          <a:off x="3749041" y="219475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119</xdr:row>
      <xdr:rowOff>133352</xdr:rowOff>
    </xdr:from>
    <xdr:to>
      <xdr:col>5</xdr:col>
      <xdr:colOff>885825</xdr:colOff>
      <xdr:row>119</xdr:row>
      <xdr:rowOff>257175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CxnSpPr/>
      </xdr:nvCxnSpPr>
      <xdr:spPr>
        <a:xfrm flipH="1" flipV="1">
          <a:off x="3745231" y="218960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117</xdr:row>
      <xdr:rowOff>127000</xdr:rowOff>
    </xdr:from>
    <xdr:to>
      <xdr:col>5</xdr:col>
      <xdr:colOff>356235</xdr:colOff>
      <xdr:row>117</xdr:row>
      <xdr:rowOff>309880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CxnSpPr/>
      </xdr:nvCxnSpPr>
      <xdr:spPr>
        <a:xfrm flipH="1" flipV="1">
          <a:off x="3480435" y="2152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117</xdr:row>
      <xdr:rowOff>400050</xdr:rowOff>
    </xdr:from>
    <xdr:to>
      <xdr:col>5</xdr:col>
      <xdr:colOff>1666875</xdr:colOff>
      <xdr:row>117</xdr:row>
      <xdr:rowOff>400050</xdr:rowOff>
    </xdr:to>
    <xdr:cxnSp macro="">
      <xdr:nvCxnSpPr>
        <xdr:cNvPr id="331" name="Straight Connector 330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CxnSpPr/>
      </xdr:nvCxnSpPr>
      <xdr:spPr>
        <a:xfrm>
          <a:off x="3476625" y="215760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117</xdr:row>
      <xdr:rowOff>127000</xdr:rowOff>
    </xdr:from>
    <xdr:to>
      <xdr:col>5</xdr:col>
      <xdr:colOff>356810</xdr:colOff>
      <xdr:row>117</xdr:row>
      <xdr:rowOff>409912</xdr:rowOff>
    </xdr:to>
    <xdr:cxnSp macro="">
      <xdr:nvCxnSpPr>
        <xdr:cNvPr id="332" name="Straight Connector 331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CxnSpPr/>
      </xdr:nvCxnSpPr>
      <xdr:spPr>
        <a:xfrm flipH="1" flipV="1">
          <a:off x="3481009" y="2152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117</xdr:row>
      <xdr:rowOff>134252</xdr:rowOff>
    </xdr:from>
    <xdr:to>
      <xdr:col>5</xdr:col>
      <xdr:colOff>1652211</xdr:colOff>
      <xdr:row>117</xdr:row>
      <xdr:rowOff>417164</xdr:rowOff>
    </xdr:to>
    <xdr:cxnSp macro="">
      <xdr:nvCxnSpPr>
        <xdr:cNvPr id="333" name="Straight Connector 332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CxnSpPr/>
      </xdr:nvCxnSpPr>
      <xdr:spPr>
        <a:xfrm flipH="1" flipV="1">
          <a:off x="3747710" y="2153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118</xdr:row>
      <xdr:rowOff>127000</xdr:rowOff>
    </xdr:from>
    <xdr:to>
      <xdr:col>5</xdr:col>
      <xdr:colOff>356235</xdr:colOff>
      <xdr:row>118</xdr:row>
      <xdr:rowOff>309880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CxnSpPr/>
      </xdr:nvCxnSpPr>
      <xdr:spPr>
        <a:xfrm flipH="1" flipV="1">
          <a:off x="3480435" y="21706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118</xdr:row>
      <xdr:rowOff>152400</xdr:rowOff>
    </xdr:from>
    <xdr:to>
      <xdr:col>5</xdr:col>
      <xdr:colOff>1676400</xdr:colOff>
      <xdr:row>118</xdr:row>
      <xdr:rowOff>152400</xdr:rowOff>
    </xdr:to>
    <xdr:cxnSp macro="">
      <xdr:nvCxnSpPr>
        <xdr:cNvPr id="335" name="Straight Connector 334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CxnSpPr/>
      </xdr:nvCxnSpPr>
      <xdr:spPr>
        <a:xfrm>
          <a:off x="3486150" y="217322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118</xdr:row>
      <xdr:rowOff>127000</xdr:rowOff>
    </xdr:from>
    <xdr:to>
      <xdr:col>5</xdr:col>
      <xdr:colOff>356810</xdr:colOff>
      <xdr:row>118</xdr:row>
      <xdr:rowOff>409912</xdr:rowOff>
    </xdr:to>
    <xdr:cxnSp macro="">
      <xdr:nvCxnSpPr>
        <xdr:cNvPr id="336" name="Straight Connector 335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CxnSpPr/>
      </xdr:nvCxnSpPr>
      <xdr:spPr>
        <a:xfrm flipH="1" flipV="1">
          <a:off x="3481009" y="21706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119</xdr:row>
      <xdr:rowOff>123824</xdr:rowOff>
    </xdr:from>
    <xdr:to>
      <xdr:col>5</xdr:col>
      <xdr:colOff>1428750</xdr:colOff>
      <xdr:row>119</xdr:row>
      <xdr:rowOff>1219199</xdr:rowOff>
    </xdr:to>
    <xdr:sp macro="" textlink="">
      <xdr:nvSpPr>
        <xdr:cNvPr id="337" name="Rounded Rectangle 336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SpPr/>
      </xdr:nvSpPr>
      <xdr:spPr>
        <a:xfrm>
          <a:off x="3745230" y="218865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119</xdr:row>
      <xdr:rowOff>238127</xdr:rowOff>
    </xdr:from>
    <xdr:to>
      <xdr:col>5</xdr:col>
      <xdr:colOff>790575</xdr:colOff>
      <xdr:row>119</xdr:row>
      <xdr:rowOff>361950</xdr:rowOff>
    </xdr:to>
    <xdr:cxnSp macro="">
      <xdr:nvCxnSpPr>
        <xdr:cNvPr id="338" name="Straight Connector 337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CxnSpPr/>
      </xdr:nvCxnSpPr>
      <xdr:spPr>
        <a:xfrm flipH="1" flipV="1">
          <a:off x="3749041" y="219475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119</xdr:row>
      <xdr:rowOff>133352</xdr:rowOff>
    </xdr:from>
    <xdr:to>
      <xdr:col>5</xdr:col>
      <xdr:colOff>885825</xdr:colOff>
      <xdr:row>119</xdr:row>
      <xdr:rowOff>257175</xdr:rowOff>
    </xdr:to>
    <xdr:cxnSp macro="">
      <xdr:nvCxnSpPr>
        <xdr:cNvPr id="339" name="Straight Connector 338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CxnSpPr/>
      </xdr:nvCxnSpPr>
      <xdr:spPr>
        <a:xfrm flipH="1" flipV="1">
          <a:off x="3745231" y="218960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122</xdr:row>
      <xdr:rowOff>127000</xdr:rowOff>
    </xdr:from>
    <xdr:to>
      <xdr:col>5</xdr:col>
      <xdr:colOff>356235</xdr:colOff>
      <xdr:row>122</xdr:row>
      <xdr:rowOff>309880</xdr:rowOff>
    </xdr:to>
    <xdr:cxnSp macro="">
      <xdr:nvCxnSpPr>
        <xdr:cNvPr id="340" name="Straight Connector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CxnSpPr/>
      </xdr:nvCxnSpPr>
      <xdr:spPr>
        <a:xfrm flipH="1" flipV="1">
          <a:off x="3480435" y="2243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122</xdr:row>
      <xdr:rowOff>400050</xdr:rowOff>
    </xdr:from>
    <xdr:to>
      <xdr:col>5</xdr:col>
      <xdr:colOff>1666875</xdr:colOff>
      <xdr:row>122</xdr:row>
      <xdr:rowOff>400050</xdr:rowOff>
    </xdr:to>
    <xdr:cxnSp macro="">
      <xdr:nvCxnSpPr>
        <xdr:cNvPr id="341" name="Straight Connector 340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CxnSpPr/>
      </xdr:nvCxnSpPr>
      <xdr:spPr>
        <a:xfrm>
          <a:off x="3476625" y="2249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122</xdr:row>
      <xdr:rowOff>127000</xdr:rowOff>
    </xdr:from>
    <xdr:to>
      <xdr:col>5</xdr:col>
      <xdr:colOff>356810</xdr:colOff>
      <xdr:row>122</xdr:row>
      <xdr:rowOff>409912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CxnSpPr/>
      </xdr:nvCxnSpPr>
      <xdr:spPr>
        <a:xfrm flipH="1" flipV="1">
          <a:off x="3481009" y="2243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122</xdr:row>
      <xdr:rowOff>134252</xdr:rowOff>
    </xdr:from>
    <xdr:to>
      <xdr:col>5</xdr:col>
      <xdr:colOff>1652211</xdr:colOff>
      <xdr:row>122</xdr:row>
      <xdr:rowOff>417164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CxnSpPr/>
      </xdr:nvCxnSpPr>
      <xdr:spPr>
        <a:xfrm flipH="1" flipV="1">
          <a:off x="3747710" y="2244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123</xdr:row>
      <xdr:rowOff>127000</xdr:rowOff>
    </xdr:from>
    <xdr:to>
      <xdr:col>5</xdr:col>
      <xdr:colOff>356235</xdr:colOff>
      <xdr:row>123</xdr:row>
      <xdr:rowOff>309880</xdr:rowOff>
    </xdr:to>
    <xdr:cxnSp macro="">
      <xdr:nvCxnSpPr>
        <xdr:cNvPr id="344" name="Straight Connector 343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CxnSpPr/>
      </xdr:nvCxnSpPr>
      <xdr:spPr>
        <a:xfrm flipH="1" flipV="1">
          <a:off x="3480435" y="2262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123</xdr:row>
      <xdr:rowOff>152400</xdr:rowOff>
    </xdr:from>
    <xdr:to>
      <xdr:col>5</xdr:col>
      <xdr:colOff>1676400</xdr:colOff>
      <xdr:row>123</xdr:row>
      <xdr:rowOff>152400</xdr:rowOff>
    </xdr:to>
    <xdr:cxnSp macro="">
      <xdr:nvCxnSpPr>
        <xdr:cNvPr id="345" name="Straight Connector 344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CxnSpPr/>
      </xdr:nvCxnSpPr>
      <xdr:spPr>
        <a:xfrm>
          <a:off x="3486150" y="2264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123</xdr:row>
      <xdr:rowOff>127000</xdr:rowOff>
    </xdr:from>
    <xdr:to>
      <xdr:col>5</xdr:col>
      <xdr:colOff>356810</xdr:colOff>
      <xdr:row>123</xdr:row>
      <xdr:rowOff>409912</xdr:rowOff>
    </xdr:to>
    <xdr:cxnSp macro="">
      <xdr:nvCxnSpPr>
        <xdr:cNvPr id="346" name="Straight Connector 345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CxnSpPr/>
      </xdr:nvCxnSpPr>
      <xdr:spPr>
        <a:xfrm flipH="1" flipV="1">
          <a:off x="3481009" y="2262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123</xdr:row>
      <xdr:rowOff>134252</xdr:rowOff>
    </xdr:from>
    <xdr:to>
      <xdr:col>5</xdr:col>
      <xdr:colOff>1652211</xdr:colOff>
      <xdr:row>123</xdr:row>
      <xdr:rowOff>417164</xdr:rowOff>
    </xdr:to>
    <xdr:cxnSp macro="">
      <xdr:nvCxnSpPr>
        <xdr:cNvPr id="347" name="Straight Connector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CxnSpPr/>
      </xdr:nvCxnSpPr>
      <xdr:spPr>
        <a:xfrm flipH="1" flipV="1">
          <a:off x="3747710" y="22628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124</xdr:row>
      <xdr:rowOff>123824</xdr:rowOff>
    </xdr:from>
    <xdr:to>
      <xdr:col>5</xdr:col>
      <xdr:colOff>1428750</xdr:colOff>
      <xdr:row>124</xdr:row>
      <xdr:rowOff>1219199</xdr:rowOff>
    </xdr:to>
    <xdr:sp macro="" textlink="">
      <xdr:nvSpPr>
        <xdr:cNvPr id="348" name="Rounded Rectangle 347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SpPr/>
      </xdr:nvSpPr>
      <xdr:spPr>
        <a:xfrm>
          <a:off x="3745230" y="2280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124</xdr:row>
      <xdr:rowOff>238127</xdr:rowOff>
    </xdr:from>
    <xdr:to>
      <xdr:col>5</xdr:col>
      <xdr:colOff>790575</xdr:colOff>
      <xdr:row>124</xdr:row>
      <xdr:rowOff>361950</xdr:rowOff>
    </xdr:to>
    <xdr:cxnSp macro="">
      <xdr:nvCxnSpPr>
        <xdr:cNvPr id="349" name="Straight Connector 348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CxnSpPr/>
      </xdr:nvCxnSpPr>
      <xdr:spPr>
        <a:xfrm flipH="1" flipV="1">
          <a:off x="3749041" y="2286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124</xdr:row>
      <xdr:rowOff>133352</xdr:rowOff>
    </xdr:from>
    <xdr:to>
      <xdr:col>5</xdr:col>
      <xdr:colOff>885825</xdr:colOff>
      <xdr:row>124</xdr:row>
      <xdr:rowOff>257175</xdr:rowOff>
    </xdr:to>
    <xdr:cxnSp macro="">
      <xdr:nvCxnSpPr>
        <xdr:cNvPr id="350" name="Straight Connector 34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CxnSpPr/>
      </xdr:nvCxnSpPr>
      <xdr:spPr>
        <a:xfrm flipH="1" flipV="1">
          <a:off x="3745231" y="2281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122</xdr:row>
      <xdr:rowOff>127000</xdr:rowOff>
    </xdr:from>
    <xdr:to>
      <xdr:col>5</xdr:col>
      <xdr:colOff>356235</xdr:colOff>
      <xdr:row>122</xdr:row>
      <xdr:rowOff>309880</xdr:rowOff>
    </xdr:to>
    <xdr:cxnSp macro="">
      <xdr:nvCxnSpPr>
        <xdr:cNvPr id="351" name="Straight Connector 350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CxnSpPr/>
      </xdr:nvCxnSpPr>
      <xdr:spPr>
        <a:xfrm flipH="1" flipV="1">
          <a:off x="3480435" y="2243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122</xdr:row>
      <xdr:rowOff>400050</xdr:rowOff>
    </xdr:from>
    <xdr:to>
      <xdr:col>5</xdr:col>
      <xdr:colOff>1666875</xdr:colOff>
      <xdr:row>122</xdr:row>
      <xdr:rowOff>400050</xdr:rowOff>
    </xdr:to>
    <xdr:cxnSp macro="">
      <xdr:nvCxnSpPr>
        <xdr:cNvPr id="352" name="Straight Connector 351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CxnSpPr/>
      </xdr:nvCxnSpPr>
      <xdr:spPr>
        <a:xfrm>
          <a:off x="3476625" y="2249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122</xdr:row>
      <xdr:rowOff>127000</xdr:rowOff>
    </xdr:from>
    <xdr:to>
      <xdr:col>5</xdr:col>
      <xdr:colOff>356810</xdr:colOff>
      <xdr:row>122</xdr:row>
      <xdr:rowOff>409912</xdr:rowOff>
    </xdr:to>
    <xdr:cxnSp macro="">
      <xdr:nvCxnSpPr>
        <xdr:cNvPr id="353" name="Straight Connector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CxnSpPr/>
      </xdr:nvCxnSpPr>
      <xdr:spPr>
        <a:xfrm flipH="1" flipV="1">
          <a:off x="3481009" y="2243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122</xdr:row>
      <xdr:rowOff>134252</xdr:rowOff>
    </xdr:from>
    <xdr:to>
      <xdr:col>5</xdr:col>
      <xdr:colOff>1652211</xdr:colOff>
      <xdr:row>122</xdr:row>
      <xdr:rowOff>417164</xdr:rowOff>
    </xdr:to>
    <xdr:cxnSp macro="">
      <xdr:nvCxnSpPr>
        <xdr:cNvPr id="354" name="Straight Connector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CxnSpPr/>
      </xdr:nvCxnSpPr>
      <xdr:spPr>
        <a:xfrm flipH="1" flipV="1">
          <a:off x="3747710" y="2244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123</xdr:row>
      <xdr:rowOff>127000</xdr:rowOff>
    </xdr:from>
    <xdr:to>
      <xdr:col>5</xdr:col>
      <xdr:colOff>356235</xdr:colOff>
      <xdr:row>123</xdr:row>
      <xdr:rowOff>309880</xdr:rowOff>
    </xdr:to>
    <xdr:cxnSp macro="">
      <xdr:nvCxnSpPr>
        <xdr:cNvPr id="355" name="Straight Connector 354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CxnSpPr/>
      </xdr:nvCxnSpPr>
      <xdr:spPr>
        <a:xfrm flipH="1" flipV="1">
          <a:off x="3480435" y="2262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123</xdr:row>
      <xdr:rowOff>152400</xdr:rowOff>
    </xdr:from>
    <xdr:to>
      <xdr:col>5</xdr:col>
      <xdr:colOff>1676400</xdr:colOff>
      <xdr:row>123</xdr:row>
      <xdr:rowOff>152400</xdr:rowOff>
    </xdr:to>
    <xdr:cxnSp macro="">
      <xdr:nvCxnSpPr>
        <xdr:cNvPr id="356" name="Straight Connector 355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CxnSpPr/>
      </xdr:nvCxnSpPr>
      <xdr:spPr>
        <a:xfrm>
          <a:off x="3486150" y="2264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123</xdr:row>
      <xdr:rowOff>127000</xdr:rowOff>
    </xdr:from>
    <xdr:to>
      <xdr:col>5</xdr:col>
      <xdr:colOff>356810</xdr:colOff>
      <xdr:row>123</xdr:row>
      <xdr:rowOff>409912</xdr:rowOff>
    </xdr:to>
    <xdr:cxnSp macro="">
      <xdr:nvCxnSpPr>
        <xdr:cNvPr id="357" name="Straight Connector 356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CxnSpPr/>
      </xdr:nvCxnSpPr>
      <xdr:spPr>
        <a:xfrm flipH="1" flipV="1">
          <a:off x="3481009" y="2262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123</xdr:row>
      <xdr:rowOff>134252</xdr:rowOff>
    </xdr:from>
    <xdr:to>
      <xdr:col>5</xdr:col>
      <xdr:colOff>1652211</xdr:colOff>
      <xdr:row>123</xdr:row>
      <xdr:rowOff>417164</xdr:rowOff>
    </xdr:to>
    <xdr:cxnSp macro="">
      <xdr:nvCxnSpPr>
        <xdr:cNvPr id="358" name="Straight Connector 357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CxnSpPr/>
      </xdr:nvCxnSpPr>
      <xdr:spPr>
        <a:xfrm flipH="1" flipV="1">
          <a:off x="3747710" y="22628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124</xdr:row>
      <xdr:rowOff>123824</xdr:rowOff>
    </xdr:from>
    <xdr:to>
      <xdr:col>5</xdr:col>
      <xdr:colOff>1428750</xdr:colOff>
      <xdr:row>124</xdr:row>
      <xdr:rowOff>1219199</xdr:rowOff>
    </xdr:to>
    <xdr:sp macro="" textlink="">
      <xdr:nvSpPr>
        <xdr:cNvPr id="359" name="Rounded Rectangle 358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SpPr/>
      </xdr:nvSpPr>
      <xdr:spPr>
        <a:xfrm>
          <a:off x="3745230" y="2280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124</xdr:row>
      <xdr:rowOff>238127</xdr:rowOff>
    </xdr:from>
    <xdr:to>
      <xdr:col>5</xdr:col>
      <xdr:colOff>790575</xdr:colOff>
      <xdr:row>124</xdr:row>
      <xdr:rowOff>361950</xdr:rowOff>
    </xdr:to>
    <xdr:cxnSp macro="">
      <xdr:nvCxnSpPr>
        <xdr:cNvPr id="360" name="Straight Connector 35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CxnSpPr/>
      </xdr:nvCxnSpPr>
      <xdr:spPr>
        <a:xfrm flipH="1" flipV="1">
          <a:off x="3749041" y="2286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124</xdr:row>
      <xdr:rowOff>133352</xdr:rowOff>
    </xdr:from>
    <xdr:to>
      <xdr:col>5</xdr:col>
      <xdr:colOff>885825</xdr:colOff>
      <xdr:row>124</xdr:row>
      <xdr:rowOff>257175</xdr:rowOff>
    </xdr:to>
    <xdr:cxnSp macro="">
      <xdr:nvCxnSpPr>
        <xdr:cNvPr id="361" name="Straight Connector 360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CxnSpPr/>
      </xdr:nvCxnSpPr>
      <xdr:spPr>
        <a:xfrm flipH="1" flipV="1">
          <a:off x="3745231" y="2281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122</xdr:row>
      <xdr:rowOff>127000</xdr:rowOff>
    </xdr:from>
    <xdr:to>
      <xdr:col>5</xdr:col>
      <xdr:colOff>356235</xdr:colOff>
      <xdr:row>122</xdr:row>
      <xdr:rowOff>309880</xdr:rowOff>
    </xdr:to>
    <xdr:cxnSp macro="">
      <xdr:nvCxnSpPr>
        <xdr:cNvPr id="362" name="Straight Connector 361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CxnSpPr/>
      </xdr:nvCxnSpPr>
      <xdr:spPr>
        <a:xfrm flipH="1" flipV="1">
          <a:off x="3480435" y="2243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122</xdr:row>
      <xdr:rowOff>400050</xdr:rowOff>
    </xdr:from>
    <xdr:to>
      <xdr:col>5</xdr:col>
      <xdr:colOff>1666875</xdr:colOff>
      <xdr:row>122</xdr:row>
      <xdr:rowOff>400050</xdr:rowOff>
    </xdr:to>
    <xdr:cxnSp macro="">
      <xdr:nvCxnSpPr>
        <xdr:cNvPr id="363" name="Straight Connector 362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CxnSpPr/>
      </xdr:nvCxnSpPr>
      <xdr:spPr>
        <a:xfrm>
          <a:off x="3476625" y="2249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122</xdr:row>
      <xdr:rowOff>127000</xdr:rowOff>
    </xdr:from>
    <xdr:to>
      <xdr:col>5</xdr:col>
      <xdr:colOff>356810</xdr:colOff>
      <xdr:row>122</xdr:row>
      <xdr:rowOff>409912</xdr:rowOff>
    </xdr:to>
    <xdr:cxnSp macro="">
      <xdr:nvCxnSpPr>
        <xdr:cNvPr id="364" name="Straight Connector 363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CxnSpPr/>
      </xdr:nvCxnSpPr>
      <xdr:spPr>
        <a:xfrm flipH="1" flipV="1">
          <a:off x="3481009" y="2243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122</xdr:row>
      <xdr:rowOff>134252</xdr:rowOff>
    </xdr:from>
    <xdr:to>
      <xdr:col>5</xdr:col>
      <xdr:colOff>1652211</xdr:colOff>
      <xdr:row>122</xdr:row>
      <xdr:rowOff>417164</xdr:rowOff>
    </xdr:to>
    <xdr:cxnSp macro="">
      <xdr:nvCxnSpPr>
        <xdr:cNvPr id="365" name="Straight Connector 364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CxnSpPr/>
      </xdr:nvCxnSpPr>
      <xdr:spPr>
        <a:xfrm flipH="1" flipV="1">
          <a:off x="3747710" y="2244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123</xdr:row>
      <xdr:rowOff>127000</xdr:rowOff>
    </xdr:from>
    <xdr:to>
      <xdr:col>5</xdr:col>
      <xdr:colOff>356235</xdr:colOff>
      <xdr:row>123</xdr:row>
      <xdr:rowOff>309880</xdr:rowOff>
    </xdr:to>
    <xdr:cxnSp macro="">
      <xdr:nvCxnSpPr>
        <xdr:cNvPr id="366" name="Straight Connector 365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CxnSpPr/>
      </xdr:nvCxnSpPr>
      <xdr:spPr>
        <a:xfrm flipH="1" flipV="1">
          <a:off x="3480435" y="2262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123</xdr:row>
      <xdr:rowOff>152400</xdr:rowOff>
    </xdr:from>
    <xdr:to>
      <xdr:col>5</xdr:col>
      <xdr:colOff>1676400</xdr:colOff>
      <xdr:row>123</xdr:row>
      <xdr:rowOff>152400</xdr:rowOff>
    </xdr:to>
    <xdr:cxnSp macro="">
      <xdr:nvCxnSpPr>
        <xdr:cNvPr id="367" name="Straight Connector 366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CxnSpPr/>
      </xdr:nvCxnSpPr>
      <xdr:spPr>
        <a:xfrm>
          <a:off x="3486150" y="2264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123</xdr:row>
      <xdr:rowOff>127000</xdr:rowOff>
    </xdr:from>
    <xdr:to>
      <xdr:col>5</xdr:col>
      <xdr:colOff>356810</xdr:colOff>
      <xdr:row>123</xdr:row>
      <xdr:rowOff>409912</xdr:rowOff>
    </xdr:to>
    <xdr:cxnSp macro="">
      <xdr:nvCxnSpPr>
        <xdr:cNvPr id="368" name="Straight Connector 367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CxnSpPr/>
      </xdr:nvCxnSpPr>
      <xdr:spPr>
        <a:xfrm flipH="1" flipV="1">
          <a:off x="3481009" y="2262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123</xdr:row>
      <xdr:rowOff>134252</xdr:rowOff>
    </xdr:from>
    <xdr:to>
      <xdr:col>5</xdr:col>
      <xdr:colOff>1652211</xdr:colOff>
      <xdr:row>123</xdr:row>
      <xdr:rowOff>417164</xdr:rowOff>
    </xdr:to>
    <xdr:cxnSp macro="">
      <xdr:nvCxnSpPr>
        <xdr:cNvPr id="369" name="Straight Connector 368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CxnSpPr/>
      </xdr:nvCxnSpPr>
      <xdr:spPr>
        <a:xfrm flipH="1" flipV="1">
          <a:off x="3747710" y="22628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124</xdr:row>
      <xdr:rowOff>123824</xdr:rowOff>
    </xdr:from>
    <xdr:to>
      <xdr:col>5</xdr:col>
      <xdr:colOff>1428750</xdr:colOff>
      <xdr:row>124</xdr:row>
      <xdr:rowOff>1219199</xdr:rowOff>
    </xdr:to>
    <xdr:sp macro="" textlink="">
      <xdr:nvSpPr>
        <xdr:cNvPr id="370" name="Rounded Rectangle 3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SpPr/>
      </xdr:nvSpPr>
      <xdr:spPr>
        <a:xfrm>
          <a:off x="3745230" y="2280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124</xdr:row>
      <xdr:rowOff>238127</xdr:rowOff>
    </xdr:from>
    <xdr:to>
      <xdr:col>5</xdr:col>
      <xdr:colOff>790575</xdr:colOff>
      <xdr:row>124</xdr:row>
      <xdr:rowOff>361950</xdr:rowOff>
    </xdr:to>
    <xdr:cxnSp macro="">
      <xdr:nvCxnSpPr>
        <xdr:cNvPr id="371" name="Straight Connector 370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CxnSpPr/>
      </xdr:nvCxnSpPr>
      <xdr:spPr>
        <a:xfrm flipH="1" flipV="1">
          <a:off x="3749041" y="2286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124</xdr:row>
      <xdr:rowOff>133352</xdr:rowOff>
    </xdr:from>
    <xdr:to>
      <xdr:col>5</xdr:col>
      <xdr:colOff>885825</xdr:colOff>
      <xdr:row>124</xdr:row>
      <xdr:rowOff>257175</xdr:rowOff>
    </xdr:to>
    <xdr:cxnSp macro="">
      <xdr:nvCxnSpPr>
        <xdr:cNvPr id="372" name="Straight Connector 371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CxnSpPr/>
      </xdr:nvCxnSpPr>
      <xdr:spPr>
        <a:xfrm flipH="1" flipV="1">
          <a:off x="3745231" y="2281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122</xdr:row>
      <xdr:rowOff>127000</xdr:rowOff>
    </xdr:from>
    <xdr:to>
      <xdr:col>5</xdr:col>
      <xdr:colOff>356235</xdr:colOff>
      <xdr:row>122</xdr:row>
      <xdr:rowOff>309880</xdr:rowOff>
    </xdr:to>
    <xdr:cxnSp macro="">
      <xdr:nvCxnSpPr>
        <xdr:cNvPr id="373" name="Straight Connector 372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CxnSpPr/>
      </xdr:nvCxnSpPr>
      <xdr:spPr>
        <a:xfrm flipH="1" flipV="1">
          <a:off x="3480435" y="2243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122</xdr:row>
      <xdr:rowOff>400050</xdr:rowOff>
    </xdr:from>
    <xdr:to>
      <xdr:col>5</xdr:col>
      <xdr:colOff>1666875</xdr:colOff>
      <xdr:row>122</xdr:row>
      <xdr:rowOff>400050</xdr:rowOff>
    </xdr:to>
    <xdr:cxnSp macro="">
      <xdr:nvCxnSpPr>
        <xdr:cNvPr id="374" name="Straight Connector 373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CxnSpPr/>
      </xdr:nvCxnSpPr>
      <xdr:spPr>
        <a:xfrm>
          <a:off x="3476625" y="2249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122</xdr:row>
      <xdr:rowOff>127000</xdr:rowOff>
    </xdr:from>
    <xdr:to>
      <xdr:col>5</xdr:col>
      <xdr:colOff>356810</xdr:colOff>
      <xdr:row>122</xdr:row>
      <xdr:rowOff>409912</xdr:rowOff>
    </xdr:to>
    <xdr:cxnSp macro="">
      <xdr:nvCxnSpPr>
        <xdr:cNvPr id="375" name="Straight Connector 374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CxnSpPr/>
      </xdr:nvCxnSpPr>
      <xdr:spPr>
        <a:xfrm flipH="1" flipV="1">
          <a:off x="3481009" y="2243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122</xdr:row>
      <xdr:rowOff>134252</xdr:rowOff>
    </xdr:from>
    <xdr:to>
      <xdr:col>5</xdr:col>
      <xdr:colOff>1652211</xdr:colOff>
      <xdr:row>122</xdr:row>
      <xdr:rowOff>417164</xdr:rowOff>
    </xdr:to>
    <xdr:cxnSp macro="">
      <xdr:nvCxnSpPr>
        <xdr:cNvPr id="376" name="Straight Connector 375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CxnSpPr/>
      </xdr:nvCxnSpPr>
      <xdr:spPr>
        <a:xfrm flipH="1" flipV="1">
          <a:off x="3747710" y="2244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123</xdr:row>
      <xdr:rowOff>127000</xdr:rowOff>
    </xdr:from>
    <xdr:to>
      <xdr:col>5</xdr:col>
      <xdr:colOff>356235</xdr:colOff>
      <xdr:row>123</xdr:row>
      <xdr:rowOff>309880</xdr:rowOff>
    </xdr:to>
    <xdr:cxnSp macro="">
      <xdr:nvCxnSpPr>
        <xdr:cNvPr id="377" name="Straight Connector 376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CxnSpPr/>
      </xdr:nvCxnSpPr>
      <xdr:spPr>
        <a:xfrm flipH="1" flipV="1">
          <a:off x="3480435" y="2262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123</xdr:row>
      <xdr:rowOff>152400</xdr:rowOff>
    </xdr:from>
    <xdr:to>
      <xdr:col>5</xdr:col>
      <xdr:colOff>1676400</xdr:colOff>
      <xdr:row>123</xdr:row>
      <xdr:rowOff>152400</xdr:rowOff>
    </xdr:to>
    <xdr:cxnSp macro="">
      <xdr:nvCxnSpPr>
        <xdr:cNvPr id="378" name="Straight Connector 377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CxnSpPr/>
      </xdr:nvCxnSpPr>
      <xdr:spPr>
        <a:xfrm>
          <a:off x="3486150" y="2264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123</xdr:row>
      <xdr:rowOff>127000</xdr:rowOff>
    </xdr:from>
    <xdr:to>
      <xdr:col>5</xdr:col>
      <xdr:colOff>356810</xdr:colOff>
      <xdr:row>123</xdr:row>
      <xdr:rowOff>409912</xdr:rowOff>
    </xdr:to>
    <xdr:cxnSp macro="">
      <xdr:nvCxnSpPr>
        <xdr:cNvPr id="379" name="Straight Connector 378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CxnSpPr/>
      </xdr:nvCxnSpPr>
      <xdr:spPr>
        <a:xfrm flipH="1" flipV="1">
          <a:off x="3481009" y="2262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124</xdr:row>
      <xdr:rowOff>123824</xdr:rowOff>
    </xdr:from>
    <xdr:to>
      <xdr:col>5</xdr:col>
      <xdr:colOff>1428750</xdr:colOff>
      <xdr:row>124</xdr:row>
      <xdr:rowOff>1219199</xdr:rowOff>
    </xdr:to>
    <xdr:sp macro="" textlink="">
      <xdr:nvSpPr>
        <xdr:cNvPr id="380" name="Rounded Rectangle 37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SpPr/>
      </xdr:nvSpPr>
      <xdr:spPr>
        <a:xfrm>
          <a:off x="3745230" y="2280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124</xdr:row>
      <xdr:rowOff>238127</xdr:rowOff>
    </xdr:from>
    <xdr:to>
      <xdr:col>5</xdr:col>
      <xdr:colOff>790575</xdr:colOff>
      <xdr:row>124</xdr:row>
      <xdr:rowOff>361950</xdr:rowOff>
    </xdr:to>
    <xdr:cxnSp macro="">
      <xdr:nvCxnSpPr>
        <xdr:cNvPr id="381" name="Straight Connector 380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CxnSpPr/>
      </xdr:nvCxnSpPr>
      <xdr:spPr>
        <a:xfrm flipH="1" flipV="1">
          <a:off x="3749041" y="2286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124</xdr:row>
      <xdr:rowOff>133352</xdr:rowOff>
    </xdr:from>
    <xdr:to>
      <xdr:col>5</xdr:col>
      <xdr:colOff>885825</xdr:colOff>
      <xdr:row>124</xdr:row>
      <xdr:rowOff>257175</xdr:rowOff>
    </xdr:to>
    <xdr:cxnSp macro="">
      <xdr:nvCxnSpPr>
        <xdr:cNvPr id="382" name="Straight Connector 381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CxnSpPr/>
      </xdr:nvCxnSpPr>
      <xdr:spPr>
        <a:xfrm flipH="1" flipV="1">
          <a:off x="3745231" y="2281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130</xdr:row>
      <xdr:rowOff>127000</xdr:rowOff>
    </xdr:from>
    <xdr:to>
      <xdr:col>5</xdr:col>
      <xdr:colOff>356235</xdr:colOff>
      <xdr:row>130</xdr:row>
      <xdr:rowOff>309880</xdr:rowOff>
    </xdr:to>
    <xdr:cxnSp macro="">
      <xdr:nvCxnSpPr>
        <xdr:cNvPr id="383" name="Straight Connector 382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CxnSpPr/>
      </xdr:nvCxnSpPr>
      <xdr:spPr>
        <a:xfrm flipH="1" flipV="1">
          <a:off x="3480435" y="23901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130</xdr:row>
      <xdr:rowOff>400050</xdr:rowOff>
    </xdr:from>
    <xdr:to>
      <xdr:col>5</xdr:col>
      <xdr:colOff>1666875</xdr:colOff>
      <xdr:row>130</xdr:row>
      <xdr:rowOff>400050</xdr:rowOff>
    </xdr:to>
    <xdr:cxnSp macro="">
      <xdr:nvCxnSpPr>
        <xdr:cNvPr id="384" name="Straight Connector 383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CxnSpPr/>
      </xdr:nvCxnSpPr>
      <xdr:spPr>
        <a:xfrm>
          <a:off x="3476625" y="23953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130</xdr:row>
      <xdr:rowOff>127000</xdr:rowOff>
    </xdr:from>
    <xdr:to>
      <xdr:col>5</xdr:col>
      <xdr:colOff>356810</xdr:colOff>
      <xdr:row>130</xdr:row>
      <xdr:rowOff>409912</xdr:rowOff>
    </xdr:to>
    <xdr:cxnSp macro="">
      <xdr:nvCxnSpPr>
        <xdr:cNvPr id="385" name="Straight Connector 384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CxnSpPr/>
      </xdr:nvCxnSpPr>
      <xdr:spPr>
        <a:xfrm flipH="1" flipV="1">
          <a:off x="3481009" y="23901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130</xdr:row>
      <xdr:rowOff>134252</xdr:rowOff>
    </xdr:from>
    <xdr:to>
      <xdr:col>5</xdr:col>
      <xdr:colOff>1652211</xdr:colOff>
      <xdr:row>130</xdr:row>
      <xdr:rowOff>417164</xdr:rowOff>
    </xdr:to>
    <xdr:cxnSp macro="">
      <xdr:nvCxnSpPr>
        <xdr:cNvPr id="386" name="Straight Connector 385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CxnSpPr/>
      </xdr:nvCxnSpPr>
      <xdr:spPr>
        <a:xfrm flipH="1" flipV="1">
          <a:off x="3747710" y="23908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131</xdr:row>
      <xdr:rowOff>127000</xdr:rowOff>
    </xdr:from>
    <xdr:to>
      <xdr:col>5</xdr:col>
      <xdr:colOff>356235</xdr:colOff>
      <xdr:row>131</xdr:row>
      <xdr:rowOff>309880</xdr:rowOff>
    </xdr:to>
    <xdr:cxnSp macro="">
      <xdr:nvCxnSpPr>
        <xdr:cNvPr id="387" name="Straight Connector 386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CxnSpPr/>
      </xdr:nvCxnSpPr>
      <xdr:spPr>
        <a:xfrm flipH="1" flipV="1">
          <a:off x="3480435" y="24084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131</xdr:row>
      <xdr:rowOff>152400</xdr:rowOff>
    </xdr:from>
    <xdr:to>
      <xdr:col>5</xdr:col>
      <xdr:colOff>1676400</xdr:colOff>
      <xdr:row>131</xdr:row>
      <xdr:rowOff>152400</xdr:rowOff>
    </xdr:to>
    <xdr:cxnSp macro="">
      <xdr:nvCxnSpPr>
        <xdr:cNvPr id="388" name="Straight Connector 387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CxnSpPr/>
      </xdr:nvCxnSpPr>
      <xdr:spPr>
        <a:xfrm>
          <a:off x="3486150" y="24109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131</xdr:row>
      <xdr:rowOff>127000</xdr:rowOff>
    </xdr:from>
    <xdr:to>
      <xdr:col>5</xdr:col>
      <xdr:colOff>356810</xdr:colOff>
      <xdr:row>131</xdr:row>
      <xdr:rowOff>409912</xdr:rowOff>
    </xdr:to>
    <xdr:cxnSp macro="">
      <xdr:nvCxnSpPr>
        <xdr:cNvPr id="389" name="Straight Connector 388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CxnSpPr/>
      </xdr:nvCxnSpPr>
      <xdr:spPr>
        <a:xfrm flipH="1" flipV="1">
          <a:off x="3481009" y="24084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131</xdr:row>
      <xdr:rowOff>134252</xdr:rowOff>
    </xdr:from>
    <xdr:to>
      <xdr:col>5</xdr:col>
      <xdr:colOff>1652211</xdr:colOff>
      <xdr:row>131</xdr:row>
      <xdr:rowOff>417164</xdr:rowOff>
    </xdr:to>
    <xdr:cxnSp macro="">
      <xdr:nvCxnSpPr>
        <xdr:cNvPr id="390" name="Straight Connector 38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CxnSpPr/>
      </xdr:nvCxnSpPr>
      <xdr:spPr>
        <a:xfrm flipH="1" flipV="1">
          <a:off x="3747710" y="24091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132</xdr:row>
      <xdr:rowOff>123824</xdr:rowOff>
    </xdr:from>
    <xdr:to>
      <xdr:col>5</xdr:col>
      <xdr:colOff>1428750</xdr:colOff>
      <xdr:row>132</xdr:row>
      <xdr:rowOff>1219199</xdr:rowOff>
    </xdr:to>
    <xdr:sp macro="" textlink="">
      <xdr:nvSpPr>
        <xdr:cNvPr id="391" name="Rounded Rectangle 390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SpPr/>
      </xdr:nvSpPr>
      <xdr:spPr>
        <a:xfrm>
          <a:off x="3745230" y="24263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132</xdr:row>
      <xdr:rowOff>238127</xdr:rowOff>
    </xdr:from>
    <xdr:to>
      <xdr:col>5</xdr:col>
      <xdr:colOff>790575</xdr:colOff>
      <xdr:row>132</xdr:row>
      <xdr:rowOff>361950</xdr:rowOff>
    </xdr:to>
    <xdr:cxnSp macro="">
      <xdr:nvCxnSpPr>
        <xdr:cNvPr id="392" name="Straight Connector 391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CxnSpPr/>
      </xdr:nvCxnSpPr>
      <xdr:spPr>
        <a:xfrm flipH="1" flipV="1">
          <a:off x="3749041" y="24324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132</xdr:row>
      <xdr:rowOff>133352</xdr:rowOff>
    </xdr:from>
    <xdr:to>
      <xdr:col>5</xdr:col>
      <xdr:colOff>885825</xdr:colOff>
      <xdr:row>132</xdr:row>
      <xdr:rowOff>257175</xdr:rowOff>
    </xdr:to>
    <xdr:cxnSp macro="">
      <xdr:nvCxnSpPr>
        <xdr:cNvPr id="393" name="Straight Connector 392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CxnSpPr/>
      </xdr:nvCxnSpPr>
      <xdr:spPr>
        <a:xfrm flipH="1" flipV="1">
          <a:off x="3745231" y="24273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130</xdr:row>
      <xdr:rowOff>127000</xdr:rowOff>
    </xdr:from>
    <xdr:to>
      <xdr:col>5</xdr:col>
      <xdr:colOff>356235</xdr:colOff>
      <xdr:row>130</xdr:row>
      <xdr:rowOff>309880</xdr:rowOff>
    </xdr:to>
    <xdr:cxnSp macro="">
      <xdr:nvCxnSpPr>
        <xdr:cNvPr id="394" name="Straight Connector 393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CxnSpPr/>
      </xdr:nvCxnSpPr>
      <xdr:spPr>
        <a:xfrm flipH="1" flipV="1">
          <a:off x="3480435" y="23901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130</xdr:row>
      <xdr:rowOff>400050</xdr:rowOff>
    </xdr:from>
    <xdr:to>
      <xdr:col>5</xdr:col>
      <xdr:colOff>1666875</xdr:colOff>
      <xdr:row>130</xdr:row>
      <xdr:rowOff>400050</xdr:rowOff>
    </xdr:to>
    <xdr:cxnSp macro="">
      <xdr:nvCxnSpPr>
        <xdr:cNvPr id="395" name="Straight Connector 394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CxnSpPr/>
      </xdr:nvCxnSpPr>
      <xdr:spPr>
        <a:xfrm>
          <a:off x="3476625" y="23953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130</xdr:row>
      <xdr:rowOff>127000</xdr:rowOff>
    </xdr:from>
    <xdr:to>
      <xdr:col>5</xdr:col>
      <xdr:colOff>356810</xdr:colOff>
      <xdr:row>130</xdr:row>
      <xdr:rowOff>409912</xdr:rowOff>
    </xdr:to>
    <xdr:cxnSp macro="">
      <xdr:nvCxnSpPr>
        <xdr:cNvPr id="396" name="Straight Connector 395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CxnSpPr/>
      </xdr:nvCxnSpPr>
      <xdr:spPr>
        <a:xfrm flipH="1" flipV="1">
          <a:off x="3481009" y="23901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130</xdr:row>
      <xdr:rowOff>134252</xdr:rowOff>
    </xdr:from>
    <xdr:to>
      <xdr:col>5</xdr:col>
      <xdr:colOff>1652211</xdr:colOff>
      <xdr:row>130</xdr:row>
      <xdr:rowOff>417164</xdr:rowOff>
    </xdr:to>
    <xdr:cxnSp macro="">
      <xdr:nvCxnSpPr>
        <xdr:cNvPr id="397" name="Straight Connector 396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CxnSpPr/>
      </xdr:nvCxnSpPr>
      <xdr:spPr>
        <a:xfrm flipH="1" flipV="1">
          <a:off x="3747710" y="23908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131</xdr:row>
      <xdr:rowOff>127000</xdr:rowOff>
    </xdr:from>
    <xdr:to>
      <xdr:col>5</xdr:col>
      <xdr:colOff>356235</xdr:colOff>
      <xdr:row>131</xdr:row>
      <xdr:rowOff>309880</xdr:rowOff>
    </xdr:to>
    <xdr:cxnSp macro="">
      <xdr:nvCxnSpPr>
        <xdr:cNvPr id="398" name="Straight Connector 397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CxnSpPr/>
      </xdr:nvCxnSpPr>
      <xdr:spPr>
        <a:xfrm flipH="1" flipV="1">
          <a:off x="3480435" y="24084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131</xdr:row>
      <xdr:rowOff>152400</xdr:rowOff>
    </xdr:from>
    <xdr:to>
      <xdr:col>5</xdr:col>
      <xdr:colOff>1676400</xdr:colOff>
      <xdr:row>131</xdr:row>
      <xdr:rowOff>152400</xdr:rowOff>
    </xdr:to>
    <xdr:cxnSp macro="">
      <xdr:nvCxnSpPr>
        <xdr:cNvPr id="399" name="Straight Connector 398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CxnSpPr/>
      </xdr:nvCxnSpPr>
      <xdr:spPr>
        <a:xfrm>
          <a:off x="3486150" y="24109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131</xdr:row>
      <xdr:rowOff>127000</xdr:rowOff>
    </xdr:from>
    <xdr:to>
      <xdr:col>5</xdr:col>
      <xdr:colOff>356810</xdr:colOff>
      <xdr:row>131</xdr:row>
      <xdr:rowOff>409912</xdr:rowOff>
    </xdr:to>
    <xdr:cxnSp macro="">
      <xdr:nvCxnSpPr>
        <xdr:cNvPr id="400" name="Straight Connector 39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CxnSpPr/>
      </xdr:nvCxnSpPr>
      <xdr:spPr>
        <a:xfrm flipH="1" flipV="1">
          <a:off x="3481009" y="24084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131</xdr:row>
      <xdr:rowOff>134252</xdr:rowOff>
    </xdr:from>
    <xdr:to>
      <xdr:col>5</xdr:col>
      <xdr:colOff>1652211</xdr:colOff>
      <xdr:row>131</xdr:row>
      <xdr:rowOff>417164</xdr:rowOff>
    </xdr:to>
    <xdr:cxnSp macro="">
      <xdr:nvCxnSpPr>
        <xdr:cNvPr id="401" name="Straight Connector 400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CxnSpPr/>
      </xdr:nvCxnSpPr>
      <xdr:spPr>
        <a:xfrm flipH="1" flipV="1">
          <a:off x="3747710" y="24091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132</xdr:row>
      <xdr:rowOff>123824</xdr:rowOff>
    </xdr:from>
    <xdr:to>
      <xdr:col>5</xdr:col>
      <xdr:colOff>1428750</xdr:colOff>
      <xdr:row>132</xdr:row>
      <xdr:rowOff>1219199</xdr:rowOff>
    </xdr:to>
    <xdr:sp macro="" textlink="">
      <xdr:nvSpPr>
        <xdr:cNvPr id="402" name="Rounded Rectangle 401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SpPr/>
      </xdr:nvSpPr>
      <xdr:spPr>
        <a:xfrm>
          <a:off x="3745230" y="24263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132</xdr:row>
      <xdr:rowOff>238127</xdr:rowOff>
    </xdr:from>
    <xdr:to>
      <xdr:col>5</xdr:col>
      <xdr:colOff>790575</xdr:colOff>
      <xdr:row>132</xdr:row>
      <xdr:rowOff>361950</xdr:rowOff>
    </xdr:to>
    <xdr:cxnSp macro="">
      <xdr:nvCxnSpPr>
        <xdr:cNvPr id="403" name="Straight Connector 402">
          <a:extLst>
            <a:ext uri="{FF2B5EF4-FFF2-40B4-BE49-F238E27FC236}">
              <a16:creationId xmlns:a16="http://schemas.microsoft.com/office/drawing/2014/main" id="{00000000-0008-0000-0700-000093010000}"/>
            </a:ext>
          </a:extLst>
        </xdr:cNvPr>
        <xdr:cNvCxnSpPr/>
      </xdr:nvCxnSpPr>
      <xdr:spPr>
        <a:xfrm flipH="1" flipV="1">
          <a:off x="3749041" y="24324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132</xdr:row>
      <xdr:rowOff>133352</xdr:rowOff>
    </xdr:from>
    <xdr:to>
      <xdr:col>5</xdr:col>
      <xdr:colOff>885825</xdr:colOff>
      <xdr:row>132</xdr:row>
      <xdr:rowOff>257175</xdr:rowOff>
    </xdr:to>
    <xdr:cxnSp macro="">
      <xdr:nvCxnSpPr>
        <xdr:cNvPr id="404" name="Straight Connector 403">
          <a:extLst>
            <a:ext uri="{FF2B5EF4-FFF2-40B4-BE49-F238E27FC236}">
              <a16:creationId xmlns:a16="http://schemas.microsoft.com/office/drawing/2014/main" id="{00000000-0008-0000-0700-000094010000}"/>
            </a:ext>
          </a:extLst>
        </xdr:cNvPr>
        <xdr:cNvCxnSpPr/>
      </xdr:nvCxnSpPr>
      <xdr:spPr>
        <a:xfrm flipH="1" flipV="1">
          <a:off x="3745231" y="24273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130</xdr:row>
      <xdr:rowOff>127000</xdr:rowOff>
    </xdr:from>
    <xdr:to>
      <xdr:col>5</xdr:col>
      <xdr:colOff>356235</xdr:colOff>
      <xdr:row>130</xdr:row>
      <xdr:rowOff>309880</xdr:rowOff>
    </xdr:to>
    <xdr:cxnSp macro="">
      <xdr:nvCxnSpPr>
        <xdr:cNvPr id="405" name="Straight Connector 404">
          <a:extLst>
            <a:ext uri="{FF2B5EF4-FFF2-40B4-BE49-F238E27FC236}">
              <a16:creationId xmlns:a16="http://schemas.microsoft.com/office/drawing/2014/main" id="{00000000-0008-0000-0700-000095010000}"/>
            </a:ext>
          </a:extLst>
        </xdr:cNvPr>
        <xdr:cNvCxnSpPr/>
      </xdr:nvCxnSpPr>
      <xdr:spPr>
        <a:xfrm flipH="1" flipV="1">
          <a:off x="3480435" y="23901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130</xdr:row>
      <xdr:rowOff>400050</xdr:rowOff>
    </xdr:from>
    <xdr:to>
      <xdr:col>5</xdr:col>
      <xdr:colOff>1666875</xdr:colOff>
      <xdr:row>130</xdr:row>
      <xdr:rowOff>400050</xdr:rowOff>
    </xdr:to>
    <xdr:cxnSp macro="">
      <xdr:nvCxnSpPr>
        <xdr:cNvPr id="406" name="Straight Connector 405">
          <a:extLst>
            <a:ext uri="{FF2B5EF4-FFF2-40B4-BE49-F238E27FC236}">
              <a16:creationId xmlns:a16="http://schemas.microsoft.com/office/drawing/2014/main" id="{00000000-0008-0000-0700-000096010000}"/>
            </a:ext>
          </a:extLst>
        </xdr:cNvPr>
        <xdr:cNvCxnSpPr/>
      </xdr:nvCxnSpPr>
      <xdr:spPr>
        <a:xfrm>
          <a:off x="3476625" y="23953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130</xdr:row>
      <xdr:rowOff>127000</xdr:rowOff>
    </xdr:from>
    <xdr:to>
      <xdr:col>5</xdr:col>
      <xdr:colOff>356810</xdr:colOff>
      <xdr:row>130</xdr:row>
      <xdr:rowOff>409912</xdr:rowOff>
    </xdr:to>
    <xdr:cxnSp macro="">
      <xdr:nvCxnSpPr>
        <xdr:cNvPr id="407" name="Straight Connector 406">
          <a:extLst>
            <a:ext uri="{FF2B5EF4-FFF2-40B4-BE49-F238E27FC236}">
              <a16:creationId xmlns:a16="http://schemas.microsoft.com/office/drawing/2014/main" id="{00000000-0008-0000-0700-000097010000}"/>
            </a:ext>
          </a:extLst>
        </xdr:cNvPr>
        <xdr:cNvCxnSpPr/>
      </xdr:nvCxnSpPr>
      <xdr:spPr>
        <a:xfrm flipH="1" flipV="1">
          <a:off x="3481009" y="23901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130</xdr:row>
      <xdr:rowOff>134252</xdr:rowOff>
    </xdr:from>
    <xdr:to>
      <xdr:col>5</xdr:col>
      <xdr:colOff>1652211</xdr:colOff>
      <xdr:row>130</xdr:row>
      <xdr:rowOff>417164</xdr:rowOff>
    </xdr:to>
    <xdr:cxnSp macro="">
      <xdr:nvCxnSpPr>
        <xdr:cNvPr id="408" name="Straight Connector 407">
          <a:extLst>
            <a:ext uri="{FF2B5EF4-FFF2-40B4-BE49-F238E27FC236}">
              <a16:creationId xmlns:a16="http://schemas.microsoft.com/office/drawing/2014/main" id="{00000000-0008-0000-0700-000098010000}"/>
            </a:ext>
          </a:extLst>
        </xdr:cNvPr>
        <xdr:cNvCxnSpPr/>
      </xdr:nvCxnSpPr>
      <xdr:spPr>
        <a:xfrm flipH="1" flipV="1">
          <a:off x="3747710" y="23908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131</xdr:row>
      <xdr:rowOff>127000</xdr:rowOff>
    </xdr:from>
    <xdr:to>
      <xdr:col>5</xdr:col>
      <xdr:colOff>356235</xdr:colOff>
      <xdr:row>131</xdr:row>
      <xdr:rowOff>309880</xdr:rowOff>
    </xdr:to>
    <xdr:cxnSp macro="">
      <xdr:nvCxnSpPr>
        <xdr:cNvPr id="409" name="Straight Connector 408">
          <a:extLst>
            <a:ext uri="{FF2B5EF4-FFF2-40B4-BE49-F238E27FC236}">
              <a16:creationId xmlns:a16="http://schemas.microsoft.com/office/drawing/2014/main" id="{00000000-0008-0000-0700-000099010000}"/>
            </a:ext>
          </a:extLst>
        </xdr:cNvPr>
        <xdr:cNvCxnSpPr/>
      </xdr:nvCxnSpPr>
      <xdr:spPr>
        <a:xfrm flipH="1" flipV="1">
          <a:off x="3480435" y="24084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131</xdr:row>
      <xdr:rowOff>152400</xdr:rowOff>
    </xdr:from>
    <xdr:to>
      <xdr:col>5</xdr:col>
      <xdr:colOff>1676400</xdr:colOff>
      <xdr:row>131</xdr:row>
      <xdr:rowOff>152400</xdr:rowOff>
    </xdr:to>
    <xdr:cxnSp macro="">
      <xdr:nvCxnSpPr>
        <xdr:cNvPr id="410" name="Straight Connector 409">
          <a:extLst>
            <a:ext uri="{FF2B5EF4-FFF2-40B4-BE49-F238E27FC236}">
              <a16:creationId xmlns:a16="http://schemas.microsoft.com/office/drawing/2014/main" id="{00000000-0008-0000-0700-00009A010000}"/>
            </a:ext>
          </a:extLst>
        </xdr:cNvPr>
        <xdr:cNvCxnSpPr/>
      </xdr:nvCxnSpPr>
      <xdr:spPr>
        <a:xfrm>
          <a:off x="3486150" y="24109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131</xdr:row>
      <xdr:rowOff>127000</xdr:rowOff>
    </xdr:from>
    <xdr:to>
      <xdr:col>5</xdr:col>
      <xdr:colOff>356810</xdr:colOff>
      <xdr:row>131</xdr:row>
      <xdr:rowOff>409912</xdr:rowOff>
    </xdr:to>
    <xdr:cxnSp macro="">
      <xdr:nvCxnSpPr>
        <xdr:cNvPr id="411" name="Straight Connector 410">
          <a:extLst>
            <a:ext uri="{FF2B5EF4-FFF2-40B4-BE49-F238E27FC236}">
              <a16:creationId xmlns:a16="http://schemas.microsoft.com/office/drawing/2014/main" id="{00000000-0008-0000-0700-00009B010000}"/>
            </a:ext>
          </a:extLst>
        </xdr:cNvPr>
        <xdr:cNvCxnSpPr/>
      </xdr:nvCxnSpPr>
      <xdr:spPr>
        <a:xfrm flipH="1" flipV="1">
          <a:off x="3481009" y="24084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131</xdr:row>
      <xdr:rowOff>134252</xdr:rowOff>
    </xdr:from>
    <xdr:to>
      <xdr:col>5</xdr:col>
      <xdr:colOff>1652211</xdr:colOff>
      <xdr:row>131</xdr:row>
      <xdr:rowOff>417164</xdr:rowOff>
    </xdr:to>
    <xdr:cxnSp macro="">
      <xdr:nvCxnSpPr>
        <xdr:cNvPr id="412" name="Straight Connector 411">
          <a:extLst>
            <a:ext uri="{FF2B5EF4-FFF2-40B4-BE49-F238E27FC236}">
              <a16:creationId xmlns:a16="http://schemas.microsoft.com/office/drawing/2014/main" id="{00000000-0008-0000-0700-00009C010000}"/>
            </a:ext>
          </a:extLst>
        </xdr:cNvPr>
        <xdr:cNvCxnSpPr/>
      </xdr:nvCxnSpPr>
      <xdr:spPr>
        <a:xfrm flipH="1" flipV="1">
          <a:off x="3747710" y="24091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132</xdr:row>
      <xdr:rowOff>123824</xdr:rowOff>
    </xdr:from>
    <xdr:to>
      <xdr:col>5</xdr:col>
      <xdr:colOff>1428750</xdr:colOff>
      <xdr:row>132</xdr:row>
      <xdr:rowOff>1219199</xdr:rowOff>
    </xdr:to>
    <xdr:sp macro="" textlink="">
      <xdr:nvSpPr>
        <xdr:cNvPr id="413" name="Rounded Rectangle 412">
          <a:extLst>
            <a:ext uri="{FF2B5EF4-FFF2-40B4-BE49-F238E27FC236}">
              <a16:creationId xmlns:a16="http://schemas.microsoft.com/office/drawing/2014/main" id="{00000000-0008-0000-0700-00009D010000}"/>
            </a:ext>
          </a:extLst>
        </xdr:cNvPr>
        <xdr:cNvSpPr/>
      </xdr:nvSpPr>
      <xdr:spPr>
        <a:xfrm>
          <a:off x="3745230" y="24263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132</xdr:row>
      <xdr:rowOff>238127</xdr:rowOff>
    </xdr:from>
    <xdr:to>
      <xdr:col>5</xdr:col>
      <xdr:colOff>790575</xdr:colOff>
      <xdr:row>132</xdr:row>
      <xdr:rowOff>361950</xdr:rowOff>
    </xdr:to>
    <xdr:cxnSp macro="">
      <xdr:nvCxnSpPr>
        <xdr:cNvPr id="414" name="Straight Connector 413">
          <a:extLst>
            <a:ext uri="{FF2B5EF4-FFF2-40B4-BE49-F238E27FC236}">
              <a16:creationId xmlns:a16="http://schemas.microsoft.com/office/drawing/2014/main" id="{00000000-0008-0000-0700-00009E010000}"/>
            </a:ext>
          </a:extLst>
        </xdr:cNvPr>
        <xdr:cNvCxnSpPr/>
      </xdr:nvCxnSpPr>
      <xdr:spPr>
        <a:xfrm flipH="1" flipV="1">
          <a:off x="3749041" y="24324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132</xdr:row>
      <xdr:rowOff>133352</xdr:rowOff>
    </xdr:from>
    <xdr:to>
      <xdr:col>5</xdr:col>
      <xdr:colOff>885825</xdr:colOff>
      <xdr:row>132</xdr:row>
      <xdr:rowOff>257175</xdr:rowOff>
    </xdr:to>
    <xdr:cxnSp macro="">
      <xdr:nvCxnSpPr>
        <xdr:cNvPr id="415" name="Straight Connector 414">
          <a:extLst>
            <a:ext uri="{FF2B5EF4-FFF2-40B4-BE49-F238E27FC236}">
              <a16:creationId xmlns:a16="http://schemas.microsoft.com/office/drawing/2014/main" id="{00000000-0008-0000-0700-00009F010000}"/>
            </a:ext>
          </a:extLst>
        </xdr:cNvPr>
        <xdr:cNvCxnSpPr/>
      </xdr:nvCxnSpPr>
      <xdr:spPr>
        <a:xfrm flipH="1" flipV="1">
          <a:off x="3745231" y="24273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130</xdr:row>
      <xdr:rowOff>127000</xdr:rowOff>
    </xdr:from>
    <xdr:to>
      <xdr:col>5</xdr:col>
      <xdr:colOff>356235</xdr:colOff>
      <xdr:row>130</xdr:row>
      <xdr:rowOff>309880</xdr:rowOff>
    </xdr:to>
    <xdr:cxnSp macro="">
      <xdr:nvCxnSpPr>
        <xdr:cNvPr id="416" name="Straight Connector 415">
          <a:extLst>
            <a:ext uri="{FF2B5EF4-FFF2-40B4-BE49-F238E27FC236}">
              <a16:creationId xmlns:a16="http://schemas.microsoft.com/office/drawing/2014/main" id="{00000000-0008-0000-0700-0000A0010000}"/>
            </a:ext>
          </a:extLst>
        </xdr:cNvPr>
        <xdr:cNvCxnSpPr/>
      </xdr:nvCxnSpPr>
      <xdr:spPr>
        <a:xfrm flipH="1" flipV="1">
          <a:off x="3480435" y="23901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130</xdr:row>
      <xdr:rowOff>400050</xdr:rowOff>
    </xdr:from>
    <xdr:to>
      <xdr:col>5</xdr:col>
      <xdr:colOff>1666875</xdr:colOff>
      <xdr:row>130</xdr:row>
      <xdr:rowOff>400050</xdr:rowOff>
    </xdr:to>
    <xdr:cxnSp macro="">
      <xdr:nvCxnSpPr>
        <xdr:cNvPr id="417" name="Straight Connector 416">
          <a:extLst>
            <a:ext uri="{FF2B5EF4-FFF2-40B4-BE49-F238E27FC236}">
              <a16:creationId xmlns:a16="http://schemas.microsoft.com/office/drawing/2014/main" id="{00000000-0008-0000-0700-0000A1010000}"/>
            </a:ext>
          </a:extLst>
        </xdr:cNvPr>
        <xdr:cNvCxnSpPr/>
      </xdr:nvCxnSpPr>
      <xdr:spPr>
        <a:xfrm>
          <a:off x="3476625" y="23953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130</xdr:row>
      <xdr:rowOff>127000</xdr:rowOff>
    </xdr:from>
    <xdr:to>
      <xdr:col>5</xdr:col>
      <xdr:colOff>356810</xdr:colOff>
      <xdr:row>130</xdr:row>
      <xdr:rowOff>409912</xdr:rowOff>
    </xdr:to>
    <xdr:cxnSp macro="">
      <xdr:nvCxnSpPr>
        <xdr:cNvPr id="418" name="Straight Connector 417">
          <a:extLst>
            <a:ext uri="{FF2B5EF4-FFF2-40B4-BE49-F238E27FC236}">
              <a16:creationId xmlns:a16="http://schemas.microsoft.com/office/drawing/2014/main" id="{00000000-0008-0000-0700-0000A2010000}"/>
            </a:ext>
          </a:extLst>
        </xdr:cNvPr>
        <xdr:cNvCxnSpPr/>
      </xdr:nvCxnSpPr>
      <xdr:spPr>
        <a:xfrm flipH="1" flipV="1">
          <a:off x="3481009" y="23901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130</xdr:row>
      <xdr:rowOff>134252</xdr:rowOff>
    </xdr:from>
    <xdr:to>
      <xdr:col>5</xdr:col>
      <xdr:colOff>1652211</xdr:colOff>
      <xdr:row>130</xdr:row>
      <xdr:rowOff>417164</xdr:rowOff>
    </xdr:to>
    <xdr:cxnSp macro="">
      <xdr:nvCxnSpPr>
        <xdr:cNvPr id="419" name="Straight Connector 418">
          <a:extLst>
            <a:ext uri="{FF2B5EF4-FFF2-40B4-BE49-F238E27FC236}">
              <a16:creationId xmlns:a16="http://schemas.microsoft.com/office/drawing/2014/main" id="{00000000-0008-0000-0700-0000A3010000}"/>
            </a:ext>
          </a:extLst>
        </xdr:cNvPr>
        <xdr:cNvCxnSpPr/>
      </xdr:nvCxnSpPr>
      <xdr:spPr>
        <a:xfrm flipH="1" flipV="1">
          <a:off x="3747710" y="23908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131</xdr:row>
      <xdr:rowOff>127000</xdr:rowOff>
    </xdr:from>
    <xdr:to>
      <xdr:col>5</xdr:col>
      <xdr:colOff>356235</xdr:colOff>
      <xdr:row>131</xdr:row>
      <xdr:rowOff>309880</xdr:rowOff>
    </xdr:to>
    <xdr:cxnSp macro="">
      <xdr:nvCxnSpPr>
        <xdr:cNvPr id="420" name="Straight Connector 419">
          <a:extLst>
            <a:ext uri="{FF2B5EF4-FFF2-40B4-BE49-F238E27FC236}">
              <a16:creationId xmlns:a16="http://schemas.microsoft.com/office/drawing/2014/main" id="{00000000-0008-0000-0700-0000A4010000}"/>
            </a:ext>
          </a:extLst>
        </xdr:cNvPr>
        <xdr:cNvCxnSpPr/>
      </xdr:nvCxnSpPr>
      <xdr:spPr>
        <a:xfrm flipH="1" flipV="1">
          <a:off x="3480435" y="24084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131</xdr:row>
      <xdr:rowOff>152400</xdr:rowOff>
    </xdr:from>
    <xdr:to>
      <xdr:col>5</xdr:col>
      <xdr:colOff>1676400</xdr:colOff>
      <xdr:row>131</xdr:row>
      <xdr:rowOff>152400</xdr:rowOff>
    </xdr:to>
    <xdr:cxnSp macro="">
      <xdr:nvCxnSpPr>
        <xdr:cNvPr id="421" name="Straight Connector 420">
          <a:extLst>
            <a:ext uri="{FF2B5EF4-FFF2-40B4-BE49-F238E27FC236}">
              <a16:creationId xmlns:a16="http://schemas.microsoft.com/office/drawing/2014/main" id="{00000000-0008-0000-0700-0000A5010000}"/>
            </a:ext>
          </a:extLst>
        </xdr:cNvPr>
        <xdr:cNvCxnSpPr/>
      </xdr:nvCxnSpPr>
      <xdr:spPr>
        <a:xfrm>
          <a:off x="3486150" y="24109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131</xdr:row>
      <xdr:rowOff>127000</xdr:rowOff>
    </xdr:from>
    <xdr:to>
      <xdr:col>5</xdr:col>
      <xdr:colOff>356810</xdr:colOff>
      <xdr:row>131</xdr:row>
      <xdr:rowOff>409912</xdr:rowOff>
    </xdr:to>
    <xdr:cxnSp macro="">
      <xdr:nvCxnSpPr>
        <xdr:cNvPr id="422" name="Straight Connector 421">
          <a:extLst>
            <a:ext uri="{FF2B5EF4-FFF2-40B4-BE49-F238E27FC236}">
              <a16:creationId xmlns:a16="http://schemas.microsoft.com/office/drawing/2014/main" id="{00000000-0008-0000-0700-0000A6010000}"/>
            </a:ext>
          </a:extLst>
        </xdr:cNvPr>
        <xdr:cNvCxnSpPr/>
      </xdr:nvCxnSpPr>
      <xdr:spPr>
        <a:xfrm flipH="1" flipV="1">
          <a:off x="3481009" y="24084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132</xdr:row>
      <xdr:rowOff>123824</xdr:rowOff>
    </xdr:from>
    <xdr:to>
      <xdr:col>5</xdr:col>
      <xdr:colOff>1428750</xdr:colOff>
      <xdr:row>132</xdr:row>
      <xdr:rowOff>1219199</xdr:rowOff>
    </xdr:to>
    <xdr:sp macro="" textlink="">
      <xdr:nvSpPr>
        <xdr:cNvPr id="423" name="Rounded Rectangle 422">
          <a:extLst>
            <a:ext uri="{FF2B5EF4-FFF2-40B4-BE49-F238E27FC236}">
              <a16:creationId xmlns:a16="http://schemas.microsoft.com/office/drawing/2014/main" id="{00000000-0008-0000-0700-0000A7010000}"/>
            </a:ext>
          </a:extLst>
        </xdr:cNvPr>
        <xdr:cNvSpPr/>
      </xdr:nvSpPr>
      <xdr:spPr>
        <a:xfrm>
          <a:off x="3745230" y="24263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132</xdr:row>
      <xdr:rowOff>238127</xdr:rowOff>
    </xdr:from>
    <xdr:to>
      <xdr:col>5</xdr:col>
      <xdr:colOff>790575</xdr:colOff>
      <xdr:row>132</xdr:row>
      <xdr:rowOff>361950</xdr:rowOff>
    </xdr:to>
    <xdr:cxnSp macro="">
      <xdr:nvCxnSpPr>
        <xdr:cNvPr id="424" name="Straight Connector 423">
          <a:extLst>
            <a:ext uri="{FF2B5EF4-FFF2-40B4-BE49-F238E27FC236}">
              <a16:creationId xmlns:a16="http://schemas.microsoft.com/office/drawing/2014/main" id="{00000000-0008-0000-0700-0000A8010000}"/>
            </a:ext>
          </a:extLst>
        </xdr:cNvPr>
        <xdr:cNvCxnSpPr/>
      </xdr:nvCxnSpPr>
      <xdr:spPr>
        <a:xfrm flipH="1" flipV="1">
          <a:off x="3749041" y="24324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132</xdr:row>
      <xdr:rowOff>133352</xdr:rowOff>
    </xdr:from>
    <xdr:to>
      <xdr:col>5</xdr:col>
      <xdr:colOff>885825</xdr:colOff>
      <xdr:row>132</xdr:row>
      <xdr:rowOff>257175</xdr:rowOff>
    </xdr:to>
    <xdr:cxnSp macro="">
      <xdr:nvCxnSpPr>
        <xdr:cNvPr id="425" name="Straight Connector 424">
          <a:extLst>
            <a:ext uri="{FF2B5EF4-FFF2-40B4-BE49-F238E27FC236}">
              <a16:creationId xmlns:a16="http://schemas.microsoft.com/office/drawing/2014/main" id="{00000000-0008-0000-0700-0000A9010000}"/>
            </a:ext>
          </a:extLst>
        </xdr:cNvPr>
        <xdr:cNvCxnSpPr/>
      </xdr:nvCxnSpPr>
      <xdr:spPr>
        <a:xfrm flipH="1" flipV="1">
          <a:off x="3745231" y="24273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136</xdr:row>
      <xdr:rowOff>127000</xdr:rowOff>
    </xdr:from>
    <xdr:to>
      <xdr:col>5</xdr:col>
      <xdr:colOff>356235</xdr:colOff>
      <xdr:row>136</xdr:row>
      <xdr:rowOff>309880</xdr:rowOff>
    </xdr:to>
    <xdr:cxnSp macro="">
      <xdr:nvCxnSpPr>
        <xdr:cNvPr id="426" name="Straight Connector 425">
          <a:extLst>
            <a:ext uri="{FF2B5EF4-FFF2-40B4-BE49-F238E27FC236}">
              <a16:creationId xmlns:a16="http://schemas.microsoft.com/office/drawing/2014/main" id="{00000000-0008-0000-0700-0000AA010000}"/>
            </a:ext>
          </a:extLst>
        </xdr:cNvPr>
        <xdr:cNvCxnSpPr/>
      </xdr:nvCxnSpPr>
      <xdr:spPr>
        <a:xfrm flipH="1" flipV="1">
          <a:off x="3480435" y="24998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136</xdr:row>
      <xdr:rowOff>400050</xdr:rowOff>
    </xdr:from>
    <xdr:to>
      <xdr:col>5</xdr:col>
      <xdr:colOff>1666875</xdr:colOff>
      <xdr:row>136</xdr:row>
      <xdr:rowOff>400050</xdr:rowOff>
    </xdr:to>
    <xdr:cxnSp macro="">
      <xdr:nvCxnSpPr>
        <xdr:cNvPr id="427" name="Straight Connector 426">
          <a:extLst>
            <a:ext uri="{FF2B5EF4-FFF2-40B4-BE49-F238E27FC236}">
              <a16:creationId xmlns:a16="http://schemas.microsoft.com/office/drawing/2014/main" id="{00000000-0008-0000-0700-0000AB010000}"/>
            </a:ext>
          </a:extLst>
        </xdr:cNvPr>
        <xdr:cNvCxnSpPr/>
      </xdr:nvCxnSpPr>
      <xdr:spPr>
        <a:xfrm>
          <a:off x="3476625" y="25050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136</xdr:row>
      <xdr:rowOff>127000</xdr:rowOff>
    </xdr:from>
    <xdr:to>
      <xdr:col>5</xdr:col>
      <xdr:colOff>356810</xdr:colOff>
      <xdr:row>136</xdr:row>
      <xdr:rowOff>409912</xdr:rowOff>
    </xdr:to>
    <xdr:cxnSp macro="">
      <xdr:nvCxnSpPr>
        <xdr:cNvPr id="428" name="Straight Connector 427">
          <a:extLst>
            <a:ext uri="{FF2B5EF4-FFF2-40B4-BE49-F238E27FC236}">
              <a16:creationId xmlns:a16="http://schemas.microsoft.com/office/drawing/2014/main" id="{00000000-0008-0000-0700-0000AC010000}"/>
            </a:ext>
          </a:extLst>
        </xdr:cNvPr>
        <xdr:cNvCxnSpPr/>
      </xdr:nvCxnSpPr>
      <xdr:spPr>
        <a:xfrm flipH="1" flipV="1">
          <a:off x="3481009" y="24998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136</xdr:row>
      <xdr:rowOff>134252</xdr:rowOff>
    </xdr:from>
    <xdr:to>
      <xdr:col>5</xdr:col>
      <xdr:colOff>1652211</xdr:colOff>
      <xdr:row>136</xdr:row>
      <xdr:rowOff>417164</xdr:rowOff>
    </xdr:to>
    <xdr:cxnSp macro="">
      <xdr:nvCxnSpPr>
        <xdr:cNvPr id="429" name="Straight Connector 428">
          <a:extLst>
            <a:ext uri="{FF2B5EF4-FFF2-40B4-BE49-F238E27FC236}">
              <a16:creationId xmlns:a16="http://schemas.microsoft.com/office/drawing/2014/main" id="{00000000-0008-0000-0700-0000AD010000}"/>
            </a:ext>
          </a:extLst>
        </xdr:cNvPr>
        <xdr:cNvCxnSpPr/>
      </xdr:nvCxnSpPr>
      <xdr:spPr>
        <a:xfrm flipH="1" flipV="1">
          <a:off x="3747710" y="25005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137</xdr:row>
      <xdr:rowOff>127000</xdr:rowOff>
    </xdr:from>
    <xdr:to>
      <xdr:col>5</xdr:col>
      <xdr:colOff>356235</xdr:colOff>
      <xdr:row>137</xdr:row>
      <xdr:rowOff>309880</xdr:rowOff>
    </xdr:to>
    <xdr:cxnSp macro="">
      <xdr:nvCxnSpPr>
        <xdr:cNvPr id="430" name="Straight Connector 429">
          <a:extLst>
            <a:ext uri="{FF2B5EF4-FFF2-40B4-BE49-F238E27FC236}">
              <a16:creationId xmlns:a16="http://schemas.microsoft.com/office/drawing/2014/main" id="{00000000-0008-0000-0700-0000AE010000}"/>
            </a:ext>
          </a:extLst>
        </xdr:cNvPr>
        <xdr:cNvCxnSpPr/>
      </xdr:nvCxnSpPr>
      <xdr:spPr>
        <a:xfrm flipH="1" flipV="1">
          <a:off x="3480435" y="25181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137</xdr:row>
      <xdr:rowOff>152400</xdr:rowOff>
    </xdr:from>
    <xdr:to>
      <xdr:col>5</xdr:col>
      <xdr:colOff>1676400</xdr:colOff>
      <xdr:row>137</xdr:row>
      <xdr:rowOff>152400</xdr:rowOff>
    </xdr:to>
    <xdr:cxnSp macro="">
      <xdr:nvCxnSpPr>
        <xdr:cNvPr id="431" name="Straight Connector 430">
          <a:extLst>
            <a:ext uri="{FF2B5EF4-FFF2-40B4-BE49-F238E27FC236}">
              <a16:creationId xmlns:a16="http://schemas.microsoft.com/office/drawing/2014/main" id="{00000000-0008-0000-0700-0000AF010000}"/>
            </a:ext>
          </a:extLst>
        </xdr:cNvPr>
        <xdr:cNvCxnSpPr/>
      </xdr:nvCxnSpPr>
      <xdr:spPr>
        <a:xfrm>
          <a:off x="3486150" y="25206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137</xdr:row>
      <xdr:rowOff>127000</xdr:rowOff>
    </xdr:from>
    <xdr:to>
      <xdr:col>5</xdr:col>
      <xdr:colOff>356810</xdr:colOff>
      <xdr:row>137</xdr:row>
      <xdr:rowOff>409912</xdr:rowOff>
    </xdr:to>
    <xdr:cxnSp macro="">
      <xdr:nvCxnSpPr>
        <xdr:cNvPr id="432" name="Straight Connector 431">
          <a:extLst>
            <a:ext uri="{FF2B5EF4-FFF2-40B4-BE49-F238E27FC236}">
              <a16:creationId xmlns:a16="http://schemas.microsoft.com/office/drawing/2014/main" id="{00000000-0008-0000-0700-0000B0010000}"/>
            </a:ext>
          </a:extLst>
        </xdr:cNvPr>
        <xdr:cNvCxnSpPr/>
      </xdr:nvCxnSpPr>
      <xdr:spPr>
        <a:xfrm flipH="1" flipV="1">
          <a:off x="3481009" y="25181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137</xdr:row>
      <xdr:rowOff>134252</xdr:rowOff>
    </xdr:from>
    <xdr:to>
      <xdr:col>5</xdr:col>
      <xdr:colOff>1652211</xdr:colOff>
      <xdr:row>137</xdr:row>
      <xdr:rowOff>417164</xdr:rowOff>
    </xdr:to>
    <xdr:cxnSp macro="">
      <xdr:nvCxnSpPr>
        <xdr:cNvPr id="433" name="Straight Connector 432">
          <a:extLst>
            <a:ext uri="{FF2B5EF4-FFF2-40B4-BE49-F238E27FC236}">
              <a16:creationId xmlns:a16="http://schemas.microsoft.com/office/drawing/2014/main" id="{00000000-0008-0000-0700-0000B1010000}"/>
            </a:ext>
          </a:extLst>
        </xdr:cNvPr>
        <xdr:cNvCxnSpPr/>
      </xdr:nvCxnSpPr>
      <xdr:spPr>
        <a:xfrm flipH="1" flipV="1">
          <a:off x="3747710" y="25188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138</xdr:row>
      <xdr:rowOff>123824</xdr:rowOff>
    </xdr:from>
    <xdr:to>
      <xdr:col>5</xdr:col>
      <xdr:colOff>1428750</xdr:colOff>
      <xdr:row>138</xdr:row>
      <xdr:rowOff>1219199</xdr:rowOff>
    </xdr:to>
    <xdr:sp macro="" textlink="">
      <xdr:nvSpPr>
        <xdr:cNvPr id="434" name="Rounded Rectangle 433">
          <a:extLst>
            <a:ext uri="{FF2B5EF4-FFF2-40B4-BE49-F238E27FC236}">
              <a16:creationId xmlns:a16="http://schemas.microsoft.com/office/drawing/2014/main" id="{00000000-0008-0000-0700-0000B2010000}"/>
            </a:ext>
          </a:extLst>
        </xdr:cNvPr>
        <xdr:cNvSpPr/>
      </xdr:nvSpPr>
      <xdr:spPr>
        <a:xfrm>
          <a:off x="3745230" y="25361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138</xdr:row>
      <xdr:rowOff>238127</xdr:rowOff>
    </xdr:from>
    <xdr:to>
      <xdr:col>5</xdr:col>
      <xdr:colOff>790575</xdr:colOff>
      <xdr:row>138</xdr:row>
      <xdr:rowOff>361950</xdr:rowOff>
    </xdr:to>
    <xdr:cxnSp macro="">
      <xdr:nvCxnSpPr>
        <xdr:cNvPr id="435" name="Straight Connector 434">
          <a:extLst>
            <a:ext uri="{FF2B5EF4-FFF2-40B4-BE49-F238E27FC236}">
              <a16:creationId xmlns:a16="http://schemas.microsoft.com/office/drawing/2014/main" id="{00000000-0008-0000-0700-0000B3010000}"/>
            </a:ext>
          </a:extLst>
        </xdr:cNvPr>
        <xdr:cNvCxnSpPr/>
      </xdr:nvCxnSpPr>
      <xdr:spPr>
        <a:xfrm flipH="1" flipV="1">
          <a:off x="3749041" y="25422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138</xdr:row>
      <xdr:rowOff>133352</xdr:rowOff>
    </xdr:from>
    <xdr:to>
      <xdr:col>5</xdr:col>
      <xdr:colOff>885825</xdr:colOff>
      <xdr:row>138</xdr:row>
      <xdr:rowOff>257175</xdr:rowOff>
    </xdr:to>
    <xdr:cxnSp macro="">
      <xdr:nvCxnSpPr>
        <xdr:cNvPr id="436" name="Straight Connector 435">
          <a:extLst>
            <a:ext uri="{FF2B5EF4-FFF2-40B4-BE49-F238E27FC236}">
              <a16:creationId xmlns:a16="http://schemas.microsoft.com/office/drawing/2014/main" id="{00000000-0008-0000-0700-0000B4010000}"/>
            </a:ext>
          </a:extLst>
        </xdr:cNvPr>
        <xdr:cNvCxnSpPr/>
      </xdr:nvCxnSpPr>
      <xdr:spPr>
        <a:xfrm flipH="1" flipV="1">
          <a:off x="3745231" y="25370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136</xdr:row>
      <xdr:rowOff>127000</xdr:rowOff>
    </xdr:from>
    <xdr:to>
      <xdr:col>5</xdr:col>
      <xdr:colOff>356235</xdr:colOff>
      <xdr:row>136</xdr:row>
      <xdr:rowOff>309880</xdr:rowOff>
    </xdr:to>
    <xdr:cxnSp macro="">
      <xdr:nvCxnSpPr>
        <xdr:cNvPr id="437" name="Straight Connector 436">
          <a:extLst>
            <a:ext uri="{FF2B5EF4-FFF2-40B4-BE49-F238E27FC236}">
              <a16:creationId xmlns:a16="http://schemas.microsoft.com/office/drawing/2014/main" id="{00000000-0008-0000-0700-0000B5010000}"/>
            </a:ext>
          </a:extLst>
        </xdr:cNvPr>
        <xdr:cNvCxnSpPr/>
      </xdr:nvCxnSpPr>
      <xdr:spPr>
        <a:xfrm flipH="1" flipV="1">
          <a:off x="3480435" y="24998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136</xdr:row>
      <xdr:rowOff>400050</xdr:rowOff>
    </xdr:from>
    <xdr:to>
      <xdr:col>5</xdr:col>
      <xdr:colOff>1666875</xdr:colOff>
      <xdr:row>136</xdr:row>
      <xdr:rowOff>400050</xdr:rowOff>
    </xdr:to>
    <xdr:cxnSp macro="">
      <xdr:nvCxnSpPr>
        <xdr:cNvPr id="438" name="Straight Connector 437">
          <a:extLst>
            <a:ext uri="{FF2B5EF4-FFF2-40B4-BE49-F238E27FC236}">
              <a16:creationId xmlns:a16="http://schemas.microsoft.com/office/drawing/2014/main" id="{00000000-0008-0000-0700-0000B6010000}"/>
            </a:ext>
          </a:extLst>
        </xdr:cNvPr>
        <xdr:cNvCxnSpPr/>
      </xdr:nvCxnSpPr>
      <xdr:spPr>
        <a:xfrm>
          <a:off x="3476625" y="25050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136</xdr:row>
      <xdr:rowOff>127000</xdr:rowOff>
    </xdr:from>
    <xdr:to>
      <xdr:col>5</xdr:col>
      <xdr:colOff>356810</xdr:colOff>
      <xdr:row>136</xdr:row>
      <xdr:rowOff>409912</xdr:rowOff>
    </xdr:to>
    <xdr:cxnSp macro="">
      <xdr:nvCxnSpPr>
        <xdr:cNvPr id="439" name="Straight Connector 438">
          <a:extLst>
            <a:ext uri="{FF2B5EF4-FFF2-40B4-BE49-F238E27FC236}">
              <a16:creationId xmlns:a16="http://schemas.microsoft.com/office/drawing/2014/main" id="{00000000-0008-0000-0700-0000B7010000}"/>
            </a:ext>
          </a:extLst>
        </xdr:cNvPr>
        <xdr:cNvCxnSpPr/>
      </xdr:nvCxnSpPr>
      <xdr:spPr>
        <a:xfrm flipH="1" flipV="1">
          <a:off x="3481009" y="24998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136</xdr:row>
      <xdr:rowOff>134252</xdr:rowOff>
    </xdr:from>
    <xdr:to>
      <xdr:col>5</xdr:col>
      <xdr:colOff>1652211</xdr:colOff>
      <xdr:row>136</xdr:row>
      <xdr:rowOff>417164</xdr:rowOff>
    </xdr:to>
    <xdr:cxnSp macro="">
      <xdr:nvCxnSpPr>
        <xdr:cNvPr id="440" name="Straight Connector 439">
          <a:extLst>
            <a:ext uri="{FF2B5EF4-FFF2-40B4-BE49-F238E27FC236}">
              <a16:creationId xmlns:a16="http://schemas.microsoft.com/office/drawing/2014/main" id="{00000000-0008-0000-0700-0000B8010000}"/>
            </a:ext>
          </a:extLst>
        </xdr:cNvPr>
        <xdr:cNvCxnSpPr/>
      </xdr:nvCxnSpPr>
      <xdr:spPr>
        <a:xfrm flipH="1" flipV="1">
          <a:off x="3747710" y="25005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137</xdr:row>
      <xdr:rowOff>127000</xdr:rowOff>
    </xdr:from>
    <xdr:to>
      <xdr:col>5</xdr:col>
      <xdr:colOff>356235</xdr:colOff>
      <xdr:row>137</xdr:row>
      <xdr:rowOff>309880</xdr:rowOff>
    </xdr:to>
    <xdr:cxnSp macro="">
      <xdr:nvCxnSpPr>
        <xdr:cNvPr id="441" name="Straight Connector 440">
          <a:extLst>
            <a:ext uri="{FF2B5EF4-FFF2-40B4-BE49-F238E27FC236}">
              <a16:creationId xmlns:a16="http://schemas.microsoft.com/office/drawing/2014/main" id="{00000000-0008-0000-0700-0000B9010000}"/>
            </a:ext>
          </a:extLst>
        </xdr:cNvPr>
        <xdr:cNvCxnSpPr/>
      </xdr:nvCxnSpPr>
      <xdr:spPr>
        <a:xfrm flipH="1" flipV="1">
          <a:off x="3480435" y="25181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137</xdr:row>
      <xdr:rowOff>152400</xdr:rowOff>
    </xdr:from>
    <xdr:to>
      <xdr:col>5</xdr:col>
      <xdr:colOff>1676400</xdr:colOff>
      <xdr:row>137</xdr:row>
      <xdr:rowOff>152400</xdr:rowOff>
    </xdr:to>
    <xdr:cxnSp macro="">
      <xdr:nvCxnSpPr>
        <xdr:cNvPr id="442" name="Straight Connector 441">
          <a:extLst>
            <a:ext uri="{FF2B5EF4-FFF2-40B4-BE49-F238E27FC236}">
              <a16:creationId xmlns:a16="http://schemas.microsoft.com/office/drawing/2014/main" id="{00000000-0008-0000-0700-0000BA010000}"/>
            </a:ext>
          </a:extLst>
        </xdr:cNvPr>
        <xdr:cNvCxnSpPr/>
      </xdr:nvCxnSpPr>
      <xdr:spPr>
        <a:xfrm>
          <a:off x="3486150" y="25206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137</xdr:row>
      <xdr:rowOff>127000</xdr:rowOff>
    </xdr:from>
    <xdr:to>
      <xdr:col>5</xdr:col>
      <xdr:colOff>356810</xdr:colOff>
      <xdr:row>137</xdr:row>
      <xdr:rowOff>409912</xdr:rowOff>
    </xdr:to>
    <xdr:cxnSp macro="">
      <xdr:nvCxnSpPr>
        <xdr:cNvPr id="443" name="Straight Connector 442">
          <a:extLst>
            <a:ext uri="{FF2B5EF4-FFF2-40B4-BE49-F238E27FC236}">
              <a16:creationId xmlns:a16="http://schemas.microsoft.com/office/drawing/2014/main" id="{00000000-0008-0000-0700-0000BB010000}"/>
            </a:ext>
          </a:extLst>
        </xdr:cNvPr>
        <xdr:cNvCxnSpPr/>
      </xdr:nvCxnSpPr>
      <xdr:spPr>
        <a:xfrm flipH="1" flipV="1">
          <a:off x="3481009" y="25181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137</xdr:row>
      <xdr:rowOff>134252</xdr:rowOff>
    </xdr:from>
    <xdr:to>
      <xdr:col>5</xdr:col>
      <xdr:colOff>1652211</xdr:colOff>
      <xdr:row>137</xdr:row>
      <xdr:rowOff>417164</xdr:rowOff>
    </xdr:to>
    <xdr:cxnSp macro="">
      <xdr:nvCxnSpPr>
        <xdr:cNvPr id="444" name="Straight Connector 443">
          <a:extLst>
            <a:ext uri="{FF2B5EF4-FFF2-40B4-BE49-F238E27FC236}">
              <a16:creationId xmlns:a16="http://schemas.microsoft.com/office/drawing/2014/main" id="{00000000-0008-0000-0700-0000BC010000}"/>
            </a:ext>
          </a:extLst>
        </xdr:cNvPr>
        <xdr:cNvCxnSpPr/>
      </xdr:nvCxnSpPr>
      <xdr:spPr>
        <a:xfrm flipH="1" flipV="1">
          <a:off x="3747710" y="25188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138</xdr:row>
      <xdr:rowOff>123824</xdr:rowOff>
    </xdr:from>
    <xdr:to>
      <xdr:col>5</xdr:col>
      <xdr:colOff>1428750</xdr:colOff>
      <xdr:row>138</xdr:row>
      <xdr:rowOff>1219199</xdr:rowOff>
    </xdr:to>
    <xdr:sp macro="" textlink="">
      <xdr:nvSpPr>
        <xdr:cNvPr id="445" name="Rounded Rectangle 444">
          <a:extLst>
            <a:ext uri="{FF2B5EF4-FFF2-40B4-BE49-F238E27FC236}">
              <a16:creationId xmlns:a16="http://schemas.microsoft.com/office/drawing/2014/main" id="{00000000-0008-0000-0700-0000BD010000}"/>
            </a:ext>
          </a:extLst>
        </xdr:cNvPr>
        <xdr:cNvSpPr/>
      </xdr:nvSpPr>
      <xdr:spPr>
        <a:xfrm>
          <a:off x="3745230" y="25361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138</xdr:row>
      <xdr:rowOff>238127</xdr:rowOff>
    </xdr:from>
    <xdr:to>
      <xdr:col>5</xdr:col>
      <xdr:colOff>790575</xdr:colOff>
      <xdr:row>138</xdr:row>
      <xdr:rowOff>361950</xdr:rowOff>
    </xdr:to>
    <xdr:cxnSp macro="">
      <xdr:nvCxnSpPr>
        <xdr:cNvPr id="446" name="Straight Connector 445">
          <a:extLst>
            <a:ext uri="{FF2B5EF4-FFF2-40B4-BE49-F238E27FC236}">
              <a16:creationId xmlns:a16="http://schemas.microsoft.com/office/drawing/2014/main" id="{00000000-0008-0000-0700-0000BE010000}"/>
            </a:ext>
          </a:extLst>
        </xdr:cNvPr>
        <xdr:cNvCxnSpPr/>
      </xdr:nvCxnSpPr>
      <xdr:spPr>
        <a:xfrm flipH="1" flipV="1">
          <a:off x="3749041" y="25422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138</xdr:row>
      <xdr:rowOff>133352</xdr:rowOff>
    </xdr:from>
    <xdr:to>
      <xdr:col>5</xdr:col>
      <xdr:colOff>885825</xdr:colOff>
      <xdr:row>138</xdr:row>
      <xdr:rowOff>257175</xdr:rowOff>
    </xdr:to>
    <xdr:cxnSp macro="">
      <xdr:nvCxnSpPr>
        <xdr:cNvPr id="447" name="Straight Connector 446">
          <a:extLst>
            <a:ext uri="{FF2B5EF4-FFF2-40B4-BE49-F238E27FC236}">
              <a16:creationId xmlns:a16="http://schemas.microsoft.com/office/drawing/2014/main" id="{00000000-0008-0000-0700-0000BF010000}"/>
            </a:ext>
          </a:extLst>
        </xdr:cNvPr>
        <xdr:cNvCxnSpPr/>
      </xdr:nvCxnSpPr>
      <xdr:spPr>
        <a:xfrm flipH="1" flipV="1">
          <a:off x="3745231" y="25370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136</xdr:row>
      <xdr:rowOff>127000</xdr:rowOff>
    </xdr:from>
    <xdr:to>
      <xdr:col>5</xdr:col>
      <xdr:colOff>356235</xdr:colOff>
      <xdr:row>136</xdr:row>
      <xdr:rowOff>309880</xdr:rowOff>
    </xdr:to>
    <xdr:cxnSp macro="">
      <xdr:nvCxnSpPr>
        <xdr:cNvPr id="448" name="Straight Connector 447">
          <a:extLst>
            <a:ext uri="{FF2B5EF4-FFF2-40B4-BE49-F238E27FC236}">
              <a16:creationId xmlns:a16="http://schemas.microsoft.com/office/drawing/2014/main" id="{00000000-0008-0000-0700-0000C0010000}"/>
            </a:ext>
          </a:extLst>
        </xdr:cNvPr>
        <xdr:cNvCxnSpPr/>
      </xdr:nvCxnSpPr>
      <xdr:spPr>
        <a:xfrm flipH="1" flipV="1">
          <a:off x="3480435" y="24998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136</xdr:row>
      <xdr:rowOff>400050</xdr:rowOff>
    </xdr:from>
    <xdr:to>
      <xdr:col>5</xdr:col>
      <xdr:colOff>1666875</xdr:colOff>
      <xdr:row>136</xdr:row>
      <xdr:rowOff>400050</xdr:rowOff>
    </xdr:to>
    <xdr:cxnSp macro="">
      <xdr:nvCxnSpPr>
        <xdr:cNvPr id="449" name="Straight Connector 448">
          <a:extLst>
            <a:ext uri="{FF2B5EF4-FFF2-40B4-BE49-F238E27FC236}">
              <a16:creationId xmlns:a16="http://schemas.microsoft.com/office/drawing/2014/main" id="{00000000-0008-0000-0700-0000C1010000}"/>
            </a:ext>
          </a:extLst>
        </xdr:cNvPr>
        <xdr:cNvCxnSpPr/>
      </xdr:nvCxnSpPr>
      <xdr:spPr>
        <a:xfrm>
          <a:off x="3476625" y="25050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136</xdr:row>
      <xdr:rowOff>127000</xdr:rowOff>
    </xdr:from>
    <xdr:to>
      <xdr:col>5</xdr:col>
      <xdr:colOff>356810</xdr:colOff>
      <xdr:row>136</xdr:row>
      <xdr:rowOff>409912</xdr:rowOff>
    </xdr:to>
    <xdr:cxnSp macro="">
      <xdr:nvCxnSpPr>
        <xdr:cNvPr id="450" name="Straight Connector 449">
          <a:extLst>
            <a:ext uri="{FF2B5EF4-FFF2-40B4-BE49-F238E27FC236}">
              <a16:creationId xmlns:a16="http://schemas.microsoft.com/office/drawing/2014/main" id="{00000000-0008-0000-0700-0000C2010000}"/>
            </a:ext>
          </a:extLst>
        </xdr:cNvPr>
        <xdr:cNvCxnSpPr/>
      </xdr:nvCxnSpPr>
      <xdr:spPr>
        <a:xfrm flipH="1" flipV="1">
          <a:off x="3481009" y="24998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136</xdr:row>
      <xdr:rowOff>134252</xdr:rowOff>
    </xdr:from>
    <xdr:to>
      <xdr:col>5</xdr:col>
      <xdr:colOff>1652211</xdr:colOff>
      <xdr:row>136</xdr:row>
      <xdr:rowOff>417164</xdr:rowOff>
    </xdr:to>
    <xdr:cxnSp macro="">
      <xdr:nvCxnSpPr>
        <xdr:cNvPr id="451" name="Straight Connector 450">
          <a:extLst>
            <a:ext uri="{FF2B5EF4-FFF2-40B4-BE49-F238E27FC236}">
              <a16:creationId xmlns:a16="http://schemas.microsoft.com/office/drawing/2014/main" id="{00000000-0008-0000-0700-0000C3010000}"/>
            </a:ext>
          </a:extLst>
        </xdr:cNvPr>
        <xdr:cNvCxnSpPr/>
      </xdr:nvCxnSpPr>
      <xdr:spPr>
        <a:xfrm flipH="1" flipV="1">
          <a:off x="3747710" y="25005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137</xdr:row>
      <xdr:rowOff>127000</xdr:rowOff>
    </xdr:from>
    <xdr:to>
      <xdr:col>5</xdr:col>
      <xdr:colOff>356235</xdr:colOff>
      <xdr:row>137</xdr:row>
      <xdr:rowOff>309880</xdr:rowOff>
    </xdr:to>
    <xdr:cxnSp macro="">
      <xdr:nvCxnSpPr>
        <xdr:cNvPr id="452" name="Straight Connector 451">
          <a:extLst>
            <a:ext uri="{FF2B5EF4-FFF2-40B4-BE49-F238E27FC236}">
              <a16:creationId xmlns:a16="http://schemas.microsoft.com/office/drawing/2014/main" id="{00000000-0008-0000-0700-0000C4010000}"/>
            </a:ext>
          </a:extLst>
        </xdr:cNvPr>
        <xdr:cNvCxnSpPr/>
      </xdr:nvCxnSpPr>
      <xdr:spPr>
        <a:xfrm flipH="1" flipV="1">
          <a:off x="3480435" y="25181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137</xdr:row>
      <xdr:rowOff>152400</xdr:rowOff>
    </xdr:from>
    <xdr:to>
      <xdr:col>5</xdr:col>
      <xdr:colOff>1676400</xdr:colOff>
      <xdr:row>137</xdr:row>
      <xdr:rowOff>152400</xdr:rowOff>
    </xdr:to>
    <xdr:cxnSp macro="">
      <xdr:nvCxnSpPr>
        <xdr:cNvPr id="453" name="Straight Connector 452">
          <a:extLst>
            <a:ext uri="{FF2B5EF4-FFF2-40B4-BE49-F238E27FC236}">
              <a16:creationId xmlns:a16="http://schemas.microsoft.com/office/drawing/2014/main" id="{00000000-0008-0000-0700-0000C5010000}"/>
            </a:ext>
          </a:extLst>
        </xdr:cNvPr>
        <xdr:cNvCxnSpPr/>
      </xdr:nvCxnSpPr>
      <xdr:spPr>
        <a:xfrm>
          <a:off x="3486150" y="25206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137</xdr:row>
      <xdr:rowOff>127000</xdr:rowOff>
    </xdr:from>
    <xdr:to>
      <xdr:col>5</xdr:col>
      <xdr:colOff>356810</xdr:colOff>
      <xdr:row>137</xdr:row>
      <xdr:rowOff>409912</xdr:rowOff>
    </xdr:to>
    <xdr:cxnSp macro="">
      <xdr:nvCxnSpPr>
        <xdr:cNvPr id="454" name="Straight Connector 453">
          <a:extLst>
            <a:ext uri="{FF2B5EF4-FFF2-40B4-BE49-F238E27FC236}">
              <a16:creationId xmlns:a16="http://schemas.microsoft.com/office/drawing/2014/main" id="{00000000-0008-0000-0700-0000C6010000}"/>
            </a:ext>
          </a:extLst>
        </xdr:cNvPr>
        <xdr:cNvCxnSpPr/>
      </xdr:nvCxnSpPr>
      <xdr:spPr>
        <a:xfrm flipH="1" flipV="1">
          <a:off x="3481009" y="25181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137</xdr:row>
      <xdr:rowOff>134252</xdr:rowOff>
    </xdr:from>
    <xdr:to>
      <xdr:col>5</xdr:col>
      <xdr:colOff>1652211</xdr:colOff>
      <xdr:row>137</xdr:row>
      <xdr:rowOff>417164</xdr:rowOff>
    </xdr:to>
    <xdr:cxnSp macro="">
      <xdr:nvCxnSpPr>
        <xdr:cNvPr id="455" name="Straight Connector 454">
          <a:extLst>
            <a:ext uri="{FF2B5EF4-FFF2-40B4-BE49-F238E27FC236}">
              <a16:creationId xmlns:a16="http://schemas.microsoft.com/office/drawing/2014/main" id="{00000000-0008-0000-0700-0000C7010000}"/>
            </a:ext>
          </a:extLst>
        </xdr:cNvPr>
        <xdr:cNvCxnSpPr/>
      </xdr:nvCxnSpPr>
      <xdr:spPr>
        <a:xfrm flipH="1" flipV="1">
          <a:off x="3747710" y="25188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138</xdr:row>
      <xdr:rowOff>123824</xdr:rowOff>
    </xdr:from>
    <xdr:to>
      <xdr:col>5</xdr:col>
      <xdr:colOff>1428750</xdr:colOff>
      <xdr:row>138</xdr:row>
      <xdr:rowOff>1219199</xdr:rowOff>
    </xdr:to>
    <xdr:sp macro="" textlink="">
      <xdr:nvSpPr>
        <xdr:cNvPr id="456" name="Rounded Rectangle 455">
          <a:extLst>
            <a:ext uri="{FF2B5EF4-FFF2-40B4-BE49-F238E27FC236}">
              <a16:creationId xmlns:a16="http://schemas.microsoft.com/office/drawing/2014/main" id="{00000000-0008-0000-0700-0000C8010000}"/>
            </a:ext>
          </a:extLst>
        </xdr:cNvPr>
        <xdr:cNvSpPr/>
      </xdr:nvSpPr>
      <xdr:spPr>
        <a:xfrm>
          <a:off x="3745230" y="25361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138</xdr:row>
      <xdr:rowOff>238127</xdr:rowOff>
    </xdr:from>
    <xdr:to>
      <xdr:col>5</xdr:col>
      <xdr:colOff>790575</xdr:colOff>
      <xdr:row>138</xdr:row>
      <xdr:rowOff>361950</xdr:rowOff>
    </xdr:to>
    <xdr:cxnSp macro="">
      <xdr:nvCxnSpPr>
        <xdr:cNvPr id="457" name="Straight Connector 456">
          <a:extLst>
            <a:ext uri="{FF2B5EF4-FFF2-40B4-BE49-F238E27FC236}">
              <a16:creationId xmlns:a16="http://schemas.microsoft.com/office/drawing/2014/main" id="{00000000-0008-0000-0700-0000C9010000}"/>
            </a:ext>
          </a:extLst>
        </xdr:cNvPr>
        <xdr:cNvCxnSpPr/>
      </xdr:nvCxnSpPr>
      <xdr:spPr>
        <a:xfrm flipH="1" flipV="1">
          <a:off x="3749041" y="25422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138</xdr:row>
      <xdr:rowOff>133352</xdr:rowOff>
    </xdr:from>
    <xdr:to>
      <xdr:col>5</xdr:col>
      <xdr:colOff>885825</xdr:colOff>
      <xdr:row>138</xdr:row>
      <xdr:rowOff>257175</xdr:rowOff>
    </xdr:to>
    <xdr:cxnSp macro="">
      <xdr:nvCxnSpPr>
        <xdr:cNvPr id="458" name="Straight Connector 457">
          <a:extLst>
            <a:ext uri="{FF2B5EF4-FFF2-40B4-BE49-F238E27FC236}">
              <a16:creationId xmlns:a16="http://schemas.microsoft.com/office/drawing/2014/main" id="{00000000-0008-0000-0700-0000CA010000}"/>
            </a:ext>
          </a:extLst>
        </xdr:cNvPr>
        <xdr:cNvCxnSpPr/>
      </xdr:nvCxnSpPr>
      <xdr:spPr>
        <a:xfrm flipH="1" flipV="1">
          <a:off x="3745231" y="25370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136</xdr:row>
      <xdr:rowOff>127000</xdr:rowOff>
    </xdr:from>
    <xdr:to>
      <xdr:col>5</xdr:col>
      <xdr:colOff>356235</xdr:colOff>
      <xdr:row>136</xdr:row>
      <xdr:rowOff>309880</xdr:rowOff>
    </xdr:to>
    <xdr:cxnSp macro="">
      <xdr:nvCxnSpPr>
        <xdr:cNvPr id="459" name="Straight Connector 458">
          <a:extLst>
            <a:ext uri="{FF2B5EF4-FFF2-40B4-BE49-F238E27FC236}">
              <a16:creationId xmlns:a16="http://schemas.microsoft.com/office/drawing/2014/main" id="{00000000-0008-0000-0700-0000CB010000}"/>
            </a:ext>
          </a:extLst>
        </xdr:cNvPr>
        <xdr:cNvCxnSpPr/>
      </xdr:nvCxnSpPr>
      <xdr:spPr>
        <a:xfrm flipH="1" flipV="1">
          <a:off x="3480435" y="24998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136</xdr:row>
      <xdr:rowOff>400050</xdr:rowOff>
    </xdr:from>
    <xdr:to>
      <xdr:col>5</xdr:col>
      <xdr:colOff>1666875</xdr:colOff>
      <xdr:row>136</xdr:row>
      <xdr:rowOff>400050</xdr:rowOff>
    </xdr:to>
    <xdr:cxnSp macro="">
      <xdr:nvCxnSpPr>
        <xdr:cNvPr id="460" name="Straight Connector 459">
          <a:extLst>
            <a:ext uri="{FF2B5EF4-FFF2-40B4-BE49-F238E27FC236}">
              <a16:creationId xmlns:a16="http://schemas.microsoft.com/office/drawing/2014/main" id="{00000000-0008-0000-0700-0000CC010000}"/>
            </a:ext>
          </a:extLst>
        </xdr:cNvPr>
        <xdr:cNvCxnSpPr/>
      </xdr:nvCxnSpPr>
      <xdr:spPr>
        <a:xfrm>
          <a:off x="3476625" y="250507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136</xdr:row>
      <xdr:rowOff>127000</xdr:rowOff>
    </xdr:from>
    <xdr:to>
      <xdr:col>5</xdr:col>
      <xdr:colOff>356810</xdr:colOff>
      <xdr:row>136</xdr:row>
      <xdr:rowOff>409912</xdr:rowOff>
    </xdr:to>
    <xdr:cxnSp macro="">
      <xdr:nvCxnSpPr>
        <xdr:cNvPr id="461" name="Straight Connector 460">
          <a:extLst>
            <a:ext uri="{FF2B5EF4-FFF2-40B4-BE49-F238E27FC236}">
              <a16:creationId xmlns:a16="http://schemas.microsoft.com/office/drawing/2014/main" id="{00000000-0008-0000-0700-0000CD010000}"/>
            </a:ext>
          </a:extLst>
        </xdr:cNvPr>
        <xdr:cNvCxnSpPr/>
      </xdr:nvCxnSpPr>
      <xdr:spPr>
        <a:xfrm flipH="1" flipV="1">
          <a:off x="3481009" y="24998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136</xdr:row>
      <xdr:rowOff>134252</xdr:rowOff>
    </xdr:from>
    <xdr:to>
      <xdr:col>5</xdr:col>
      <xdr:colOff>1652211</xdr:colOff>
      <xdr:row>136</xdr:row>
      <xdr:rowOff>417164</xdr:rowOff>
    </xdr:to>
    <xdr:cxnSp macro="">
      <xdr:nvCxnSpPr>
        <xdr:cNvPr id="462" name="Straight Connector 461">
          <a:extLst>
            <a:ext uri="{FF2B5EF4-FFF2-40B4-BE49-F238E27FC236}">
              <a16:creationId xmlns:a16="http://schemas.microsoft.com/office/drawing/2014/main" id="{00000000-0008-0000-0700-0000CE010000}"/>
            </a:ext>
          </a:extLst>
        </xdr:cNvPr>
        <xdr:cNvCxnSpPr/>
      </xdr:nvCxnSpPr>
      <xdr:spPr>
        <a:xfrm flipH="1" flipV="1">
          <a:off x="3747710" y="25005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137</xdr:row>
      <xdr:rowOff>127000</xdr:rowOff>
    </xdr:from>
    <xdr:to>
      <xdr:col>5</xdr:col>
      <xdr:colOff>356235</xdr:colOff>
      <xdr:row>137</xdr:row>
      <xdr:rowOff>309880</xdr:rowOff>
    </xdr:to>
    <xdr:cxnSp macro="">
      <xdr:nvCxnSpPr>
        <xdr:cNvPr id="463" name="Straight Connector 462">
          <a:extLst>
            <a:ext uri="{FF2B5EF4-FFF2-40B4-BE49-F238E27FC236}">
              <a16:creationId xmlns:a16="http://schemas.microsoft.com/office/drawing/2014/main" id="{00000000-0008-0000-0700-0000CF010000}"/>
            </a:ext>
          </a:extLst>
        </xdr:cNvPr>
        <xdr:cNvCxnSpPr/>
      </xdr:nvCxnSpPr>
      <xdr:spPr>
        <a:xfrm flipH="1" flipV="1">
          <a:off x="3480435" y="25181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137</xdr:row>
      <xdr:rowOff>152400</xdr:rowOff>
    </xdr:from>
    <xdr:to>
      <xdr:col>5</xdr:col>
      <xdr:colOff>1676400</xdr:colOff>
      <xdr:row>137</xdr:row>
      <xdr:rowOff>152400</xdr:rowOff>
    </xdr:to>
    <xdr:cxnSp macro="">
      <xdr:nvCxnSpPr>
        <xdr:cNvPr id="464" name="Straight Connector 463">
          <a:extLst>
            <a:ext uri="{FF2B5EF4-FFF2-40B4-BE49-F238E27FC236}">
              <a16:creationId xmlns:a16="http://schemas.microsoft.com/office/drawing/2014/main" id="{00000000-0008-0000-0700-0000D0010000}"/>
            </a:ext>
          </a:extLst>
        </xdr:cNvPr>
        <xdr:cNvCxnSpPr/>
      </xdr:nvCxnSpPr>
      <xdr:spPr>
        <a:xfrm>
          <a:off x="3486150" y="252069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137</xdr:row>
      <xdr:rowOff>127000</xdr:rowOff>
    </xdr:from>
    <xdr:to>
      <xdr:col>5</xdr:col>
      <xdr:colOff>356810</xdr:colOff>
      <xdr:row>137</xdr:row>
      <xdr:rowOff>409912</xdr:rowOff>
    </xdr:to>
    <xdr:cxnSp macro="">
      <xdr:nvCxnSpPr>
        <xdr:cNvPr id="465" name="Straight Connector 464">
          <a:extLst>
            <a:ext uri="{FF2B5EF4-FFF2-40B4-BE49-F238E27FC236}">
              <a16:creationId xmlns:a16="http://schemas.microsoft.com/office/drawing/2014/main" id="{00000000-0008-0000-0700-0000D1010000}"/>
            </a:ext>
          </a:extLst>
        </xdr:cNvPr>
        <xdr:cNvCxnSpPr/>
      </xdr:nvCxnSpPr>
      <xdr:spPr>
        <a:xfrm flipH="1" flipV="1">
          <a:off x="3481009" y="25181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138</xdr:row>
      <xdr:rowOff>123824</xdr:rowOff>
    </xdr:from>
    <xdr:to>
      <xdr:col>5</xdr:col>
      <xdr:colOff>1428750</xdr:colOff>
      <xdr:row>138</xdr:row>
      <xdr:rowOff>1219199</xdr:rowOff>
    </xdr:to>
    <xdr:sp macro="" textlink="">
      <xdr:nvSpPr>
        <xdr:cNvPr id="466" name="Rounded Rectangle 465">
          <a:extLst>
            <a:ext uri="{FF2B5EF4-FFF2-40B4-BE49-F238E27FC236}">
              <a16:creationId xmlns:a16="http://schemas.microsoft.com/office/drawing/2014/main" id="{00000000-0008-0000-0700-0000D2010000}"/>
            </a:ext>
          </a:extLst>
        </xdr:cNvPr>
        <xdr:cNvSpPr/>
      </xdr:nvSpPr>
      <xdr:spPr>
        <a:xfrm>
          <a:off x="3745230" y="253612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138</xdr:row>
      <xdr:rowOff>238127</xdr:rowOff>
    </xdr:from>
    <xdr:to>
      <xdr:col>5</xdr:col>
      <xdr:colOff>790575</xdr:colOff>
      <xdr:row>138</xdr:row>
      <xdr:rowOff>361950</xdr:rowOff>
    </xdr:to>
    <xdr:cxnSp macro="">
      <xdr:nvCxnSpPr>
        <xdr:cNvPr id="467" name="Straight Connector 466">
          <a:extLst>
            <a:ext uri="{FF2B5EF4-FFF2-40B4-BE49-F238E27FC236}">
              <a16:creationId xmlns:a16="http://schemas.microsoft.com/office/drawing/2014/main" id="{00000000-0008-0000-0700-0000D3010000}"/>
            </a:ext>
          </a:extLst>
        </xdr:cNvPr>
        <xdr:cNvCxnSpPr/>
      </xdr:nvCxnSpPr>
      <xdr:spPr>
        <a:xfrm flipH="1" flipV="1">
          <a:off x="3749041" y="254222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138</xdr:row>
      <xdr:rowOff>133352</xdr:rowOff>
    </xdr:from>
    <xdr:to>
      <xdr:col>5</xdr:col>
      <xdr:colOff>885825</xdr:colOff>
      <xdr:row>138</xdr:row>
      <xdr:rowOff>257175</xdr:rowOff>
    </xdr:to>
    <xdr:cxnSp macro="">
      <xdr:nvCxnSpPr>
        <xdr:cNvPr id="468" name="Straight Connector 467">
          <a:extLst>
            <a:ext uri="{FF2B5EF4-FFF2-40B4-BE49-F238E27FC236}">
              <a16:creationId xmlns:a16="http://schemas.microsoft.com/office/drawing/2014/main" id="{00000000-0008-0000-0700-0000D4010000}"/>
            </a:ext>
          </a:extLst>
        </xdr:cNvPr>
        <xdr:cNvCxnSpPr/>
      </xdr:nvCxnSpPr>
      <xdr:spPr>
        <a:xfrm flipH="1" flipV="1">
          <a:off x="3745231" y="253707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143</xdr:row>
      <xdr:rowOff>127000</xdr:rowOff>
    </xdr:from>
    <xdr:to>
      <xdr:col>5</xdr:col>
      <xdr:colOff>356235</xdr:colOff>
      <xdr:row>143</xdr:row>
      <xdr:rowOff>309880</xdr:rowOff>
    </xdr:to>
    <xdr:cxnSp macro="">
      <xdr:nvCxnSpPr>
        <xdr:cNvPr id="469" name="Straight Connector 468">
          <a:extLst>
            <a:ext uri="{FF2B5EF4-FFF2-40B4-BE49-F238E27FC236}">
              <a16:creationId xmlns:a16="http://schemas.microsoft.com/office/drawing/2014/main" id="{00000000-0008-0000-0700-0000D5010000}"/>
            </a:ext>
          </a:extLst>
        </xdr:cNvPr>
        <xdr:cNvCxnSpPr/>
      </xdr:nvCxnSpPr>
      <xdr:spPr>
        <a:xfrm flipH="1" flipV="1">
          <a:off x="3480435" y="26278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143</xdr:row>
      <xdr:rowOff>400050</xdr:rowOff>
    </xdr:from>
    <xdr:to>
      <xdr:col>5</xdr:col>
      <xdr:colOff>1666875</xdr:colOff>
      <xdr:row>143</xdr:row>
      <xdr:rowOff>400050</xdr:rowOff>
    </xdr:to>
    <xdr:cxnSp macro="">
      <xdr:nvCxnSpPr>
        <xdr:cNvPr id="470" name="Straight Connector 469">
          <a:extLst>
            <a:ext uri="{FF2B5EF4-FFF2-40B4-BE49-F238E27FC236}">
              <a16:creationId xmlns:a16="http://schemas.microsoft.com/office/drawing/2014/main" id="{00000000-0008-0000-0700-0000D6010000}"/>
            </a:ext>
          </a:extLst>
        </xdr:cNvPr>
        <xdr:cNvCxnSpPr/>
      </xdr:nvCxnSpPr>
      <xdr:spPr>
        <a:xfrm>
          <a:off x="3476625" y="26330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143</xdr:row>
      <xdr:rowOff>127000</xdr:rowOff>
    </xdr:from>
    <xdr:to>
      <xdr:col>5</xdr:col>
      <xdr:colOff>356810</xdr:colOff>
      <xdr:row>143</xdr:row>
      <xdr:rowOff>409912</xdr:rowOff>
    </xdr:to>
    <xdr:cxnSp macro="">
      <xdr:nvCxnSpPr>
        <xdr:cNvPr id="471" name="Straight Connector 470">
          <a:extLst>
            <a:ext uri="{FF2B5EF4-FFF2-40B4-BE49-F238E27FC236}">
              <a16:creationId xmlns:a16="http://schemas.microsoft.com/office/drawing/2014/main" id="{00000000-0008-0000-0700-0000D7010000}"/>
            </a:ext>
          </a:extLst>
        </xdr:cNvPr>
        <xdr:cNvCxnSpPr/>
      </xdr:nvCxnSpPr>
      <xdr:spPr>
        <a:xfrm flipH="1" flipV="1">
          <a:off x="3481009" y="26278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143</xdr:row>
      <xdr:rowOff>134252</xdr:rowOff>
    </xdr:from>
    <xdr:to>
      <xdr:col>5</xdr:col>
      <xdr:colOff>1652211</xdr:colOff>
      <xdr:row>143</xdr:row>
      <xdr:rowOff>417164</xdr:rowOff>
    </xdr:to>
    <xdr:cxnSp macro="">
      <xdr:nvCxnSpPr>
        <xdr:cNvPr id="472" name="Straight Connector 471">
          <a:extLst>
            <a:ext uri="{FF2B5EF4-FFF2-40B4-BE49-F238E27FC236}">
              <a16:creationId xmlns:a16="http://schemas.microsoft.com/office/drawing/2014/main" id="{00000000-0008-0000-0700-0000D8010000}"/>
            </a:ext>
          </a:extLst>
        </xdr:cNvPr>
        <xdr:cNvCxnSpPr/>
      </xdr:nvCxnSpPr>
      <xdr:spPr>
        <a:xfrm flipH="1" flipV="1">
          <a:off x="3747710" y="26286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144</xdr:row>
      <xdr:rowOff>127000</xdr:rowOff>
    </xdr:from>
    <xdr:to>
      <xdr:col>5</xdr:col>
      <xdr:colOff>356235</xdr:colOff>
      <xdr:row>144</xdr:row>
      <xdr:rowOff>309880</xdr:rowOff>
    </xdr:to>
    <xdr:cxnSp macro="">
      <xdr:nvCxnSpPr>
        <xdr:cNvPr id="473" name="Straight Connector 472">
          <a:extLst>
            <a:ext uri="{FF2B5EF4-FFF2-40B4-BE49-F238E27FC236}">
              <a16:creationId xmlns:a16="http://schemas.microsoft.com/office/drawing/2014/main" id="{00000000-0008-0000-0700-0000D9010000}"/>
            </a:ext>
          </a:extLst>
        </xdr:cNvPr>
        <xdr:cNvCxnSpPr/>
      </xdr:nvCxnSpPr>
      <xdr:spPr>
        <a:xfrm flipH="1" flipV="1">
          <a:off x="3480435" y="26461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144</xdr:row>
      <xdr:rowOff>152400</xdr:rowOff>
    </xdr:from>
    <xdr:to>
      <xdr:col>5</xdr:col>
      <xdr:colOff>1676400</xdr:colOff>
      <xdr:row>144</xdr:row>
      <xdr:rowOff>152400</xdr:rowOff>
    </xdr:to>
    <xdr:cxnSp macro="">
      <xdr:nvCxnSpPr>
        <xdr:cNvPr id="474" name="Straight Connector 473">
          <a:extLst>
            <a:ext uri="{FF2B5EF4-FFF2-40B4-BE49-F238E27FC236}">
              <a16:creationId xmlns:a16="http://schemas.microsoft.com/office/drawing/2014/main" id="{00000000-0008-0000-0700-0000DA010000}"/>
            </a:ext>
          </a:extLst>
        </xdr:cNvPr>
        <xdr:cNvCxnSpPr/>
      </xdr:nvCxnSpPr>
      <xdr:spPr>
        <a:xfrm>
          <a:off x="3486150" y="26487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144</xdr:row>
      <xdr:rowOff>127000</xdr:rowOff>
    </xdr:from>
    <xdr:to>
      <xdr:col>5</xdr:col>
      <xdr:colOff>356810</xdr:colOff>
      <xdr:row>144</xdr:row>
      <xdr:rowOff>409912</xdr:rowOff>
    </xdr:to>
    <xdr:cxnSp macro="">
      <xdr:nvCxnSpPr>
        <xdr:cNvPr id="475" name="Straight Connector 474">
          <a:extLst>
            <a:ext uri="{FF2B5EF4-FFF2-40B4-BE49-F238E27FC236}">
              <a16:creationId xmlns:a16="http://schemas.microsoft.com/office/drawing/2014/main" id="{00000000-0008-0000-0700-0000DB010000}"/>
            </a:ext>
          </a:extLst>
        </xdr:cNvPr>
        <xdr:cNvCxnSpPr/>
      </xdr:nvCxnSpPr>
      <xdr:spPr>
        <a:xfrm flipH="1" flipV="1">
          <a:off x="3481009" y="26461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144</xdr:row>
      <xdr:rowOff>134252</xdr:rowOff>
    </xdr:from>
    <xdr:to>
      <xdr:col>5</xdr:col>
      <xdr:colOff>1652211</xdr:colOff>
      <xdr:row>144</xdr:row>
      <xdr:rowOff>417164</xdr:rowOff>
    </xdr:to>
    <xdr:cxnSp macro="">
      <xdr:nvCxnSpPr>
        <xdr:cNvPr id="476" name="Straight Connector 475">
          <a:extLst>
            <a:ext uri="{FF2B5EF4-FFF2-40B4-BE49-F238E27FC236}">
              <a16:creationId xmlns:a16="http://schemas.microsoft.com/office/drawing/2014/main" id="{00000000-0008-0000-0700-0000DC010000}"/>
            </a:ext>
          </a:extLst>
        </xdr:cNvPr>
        <xdr:cNvCxnSpPr/>
      </xdr:nvCxnSpPr>
      <xdr:spPr>
        <a:xfrm flipH="1" flipV="1">
          <a:off x="3747710" y="26468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145</xdr:row>
      <xdr:rowOff>123824</xdr:rowOff>
    </xdr:from>
    <xdr:to>
      <xdr:col>5</xdr:col>
      <xdr:colOff>1428750</xdr:colOff>
      <xdr:row>145</xdr:row>
      <xdr:rowOff>1219199</xdr:rowOff>
    </xdr:to>
    <xdr:sp macro="" textlink="">
      <xdr:nvSpPr>
        <xdr:cNvPr id="477" name="Rounded Rectangle 476">
          <a:extLst>
            <a:ext uri="{FF2B5EF4-FFF2-40B4-BE49-F238E27FC236}">
              <a16:creationId xmlns:a16="http://schemas.microsoft.com/office/drawing/2014/main" id="{00000000-0008-0000-0700-0000DD010000}"/>
            </a:ext>
          </a:extLst>
        </xdr:cNvPr>
        <xdr:cNvSpPr/>
      </xdr:nvSpPr>
      <xdr:spPr>
        <a:xfrm>
          <a:off x="3745230" y="26641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145</xdr:row>
      <xdr:rowOff>238127</xdr:rowOff>
    </xdr:from>
    <xdr:to>
      <xdr:col>5</xdr:col>
      <xdr:colOff>790575</xdr:colOff>
      <xdr:row>145</xdr:row>
      <xdr:rowOff>361950</xdr:rowOff>
    </xdr:to>
    <xdr:cxnSp macro="">
      <xdr:nvCxnSpPr>
        <xdr:cNvPr id="478" name="Straight Connector 477">
          <a:extLst>
            <a:ext uri="{FF2B5EF4-FFF2-40B4-BE49-F238E27FC236}">
              <a16:creationId xmlns:a16="http://schemas.microsoft.com/office/drawing/2014/main" id="{00000000-0008-0000-0700-0000DE010000}"/>
            </a:ext>
          </a:extLst>
        </xdr:cNvPr>
        <xdr:cNvCxnSpPr/>
      </xdr:nvCxnSpPr>
      <xdr:spPr>
        <a:xfrm flipH="1" flipV="1">
          <a:off x="3749041" y="26702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145</xdr:row>
      <xdr:rowOff>133352</xdr:rowOff>
    </xdr:from>
    <xdr:to>
      <xdr:col>5</xdr:col>
      <xdr:colOff>885825</xdr:colOff>
      <xdr:row>145</xdr:row>
      <xdr:rowOff>257175</xdr:rowOff>
    </xdr:to>
    <xdr:cxnSp macro="">
      <xdr:nvCxnSpPr>
        <xdr:cNvPr id="479" name="Straight Connector 478">
          <a:extLst>
            <a:ext uri="{FF2B5EF4-FFF2-40B4-BE49-F238E27FC236}">
              <a16:creationId xmlns:a16="http://schemas.microsoft.com/office/drawing/2014/main" id="{00000000-0008-0000-0700-0000DF010000}"/>
            </a:ext>
          </a:extLst>
        </xdr:cNvPr>
        <xdr:cNvCxnSpPr/>
      </xdr:nvCxnSpPr>
      <xdr:spPr>
        <a:xfrm flipH="1" flipV="1">
          <a:off x="3745231" y="26650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143</xdr:row>
      <xdr:rowOff>127000</xdr:rowOff>
    </xdr:from>
    <xdr:to>
      <xdr:col>5</xdr:col>
      <xdr:colOff>356235</xdr:colOff>
      <xdr:row>143</xdr:row>
      <xdr:rowOff>309880</xdr:rowOff>
    </xdr:to>
    <xdr:cxnSp macro="">
      <xdr:nvCxnSpPr>
        <xdr:cNvPr id="480" name="Straight Connector 479">
          <a:extLst>
            <a:ext uri="{FF2B5EF4-FFF2-40B4-BE49-F238E27FC236}">
              <a16:creationId xmlns:a16="http://schemas.microsoft.com/office/drawing/2014/main" id="{00000000-0008-0000-0700-0000E0010000}"/>
            </a:ext>
          </a:extLst>
        </xdr:cNvPr>
        <xdr:cNvCxnSpPr/>
      </xdr:nvCxnSpPr>
      <xdr:spPr>
        <a:xfrm flipH="1" flipV="1">
          <a:off x="3480435" y="26278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143</xdr:row>
      <xdr:rowOff>400050</xdr:rowOff>
    </xdr:from>
    <xdr:to>
      <xdr:col>5</xdr:col>
      <xdr:colOff>1666875</xdr:colOff>
      <xdr:row>143</xdr:row>
      <xdr:rowOff>400050</xdr:rowOff>
    </xdr:to>
    <xdr:cxnSp macro="">
      <xdr:nvCxnSpPr>
        <xdr:cNvPr id="481" name="Straight Connector 480">
          <a:extLst>
            <a:ext uri="{FF2B5EF4-FFF2-40B4-BE49-F238E27FC236}">
              <a16:creationId xmlns:a16="http://schemas.microsoft.com/office/drawing/2014/main" id="{00000000-0008-0000-0700-0000E1010000}"/>
            </a:ext>
          </a:extLst>
        </xdr:cNvPr>
        <xdr:cNvCxnSpPr/>
      </xdr:nvCxnSpPr>
      <xdr:spPr>
        <a:xfrm>
          <a:off x="3476625" y="26330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143</xdr:row>
      <xdr:rowOff>127000</xdr:rowOff>
    </xdr:from>
    <xdr:to>
      <xdr:col>5</xdr:col>
      <xdr:colOff>356810</xdr:colOff>
      <xdr:row>143</xdr:row>
      <xdr:rowOff>409912</xdr:rowOff>
    </xdr:to>
    <xdr:cxnSp macro="">
      <xdr:nvCxnSpPr>
        <xdr:cNvPr id="482" name="Straight Connector 481">
          <a:extLst>
            <a:ext uri="{FF2B5EF4-FFF2-40B4-BE49-F238E27FC236}">
              <a16:creationId xmlns:a16="http://schemas.microsoft.com/office/drawing/2014/main" id="{00000000-0008-0000-0700-0000E2010000}"/>
            </a:ext>
          </a:extLst>
        </xdr:cNvPr>
        <xdr:cNvCxnSpPr/>
      </xdr:nvCxnSpPr>
      <xdr:spPr>
        <a:xfrm flipH="1" flipV="1">
          <a:off x="3481009" y="26278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143</xdr:row>
      <xdr:rowOff>134252</xdr:rowOff>
    </xdr:from>
    <xdr:to>
      <xdr:col>5</xdr:col>
      <xdr:colOff>1652211</xdr:colOff>
      <xdr:row>143</xdr:row>
      <xdr:rowOff>417164</xdr:rowOff>
    </xdr:to>
    <xdr:cxnSp macro="">
      <xdr:nvCxnSpPr>
        <xdr:cNvPr id="483" name="Straight Connector 482">
          <a:extLst>
            <a:ext uri="{FF2B5EF4-FFF2-40B4-BE49-F238E27FC236}">
              <a16:creationId xmlns:a16="http://schemas.microsoft.com/office/drawing/2014/main" id="{00000000-0008-0000-0700-0000E3010000}"/>
            </a:ext>
          </a:extLst>
        </xdr:cNvPr>
        <xdr:cNvCxnSpPr/>
      </xdr:nvCxnSpPr>
      <xdr:spPr>
        <a:xfrm flipH="1" flipV="1">
          <a:off x="3747710" y="26286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144</xdr:row>
      <xdr:rowOff>127000</xdr:rowOff>
    </xdr:from>
    <xdr:to>
      <xdr:col>5</xdr:col>
      <xdr:colOff>356235</xdr:colOff>
      <xdr:row>144</xdr:row>
      <xdr:rowOff>309880</xdr:rowOff>
    </xdr:to>
    <xdr:cxnSp macro="">
      <xdr:nvCxnSpPr>
        <xdr:cNvPr id="484" name="Straight Connector 483">
          <a:extLst>
            <a:ext uri="{FF2B5EF4-FFF2-40B4-BE49-F238E27FC236}">
              <a16:creationId xmlns:a16="http://schemas.microsoft.com/office/drawing/2014/main" id="{00000000-0008-0000-0700-0000E4010000}"/>
            </a:ext>
          </a:extLst>
        </xdr:cNvPr>
        <xdr:cNvCxnSpPr/>
      </xdr:nvCxnSpPr>
      <xdr:spPr>
        <a:xfrm flipH="1" flipV="1">
          <a:off x="3480435" y="26461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144</xdr:row>
      <xdr:rowOff>152400</xdr:rowOff>
    </xdr:from>
    <xdr:to>
      <xdr:col>5</xdr:col>
      <xdr:colOff>1676400</xdr:colOff>
      <xdr:row>144</xdr:row>
      <xdr:rowOff>152400</xdr:rowOff>
    </xdr:to>
    <xdr:cxnSp macro="">
      <xdr:nvCxnSpPr>
        <xdr:cNvPr id="485" name="Straight Connector 484">
          <a:extLst>
            <a:ext uri="{FF2B5EF4-FFF2-40B4-BE49-F238E27FC236}">
              <a16:creationId xmlns:a16="http://schemas.microsoft.com/office/drawing/2014/main" id="{00000000-0008-0000-0700-0000E5010000}"/>
            </a:ext>
          </a:extLst>
        </xdr:cNvPr>
        <xdr:cNvCxnSpPr/>
      </xdr:nvCxnSpPr>
      <xdr:spPr>
        <a:xfrm>
          <a:off x="3486150" y="26487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144</xdr:row>
      <xdr:rowOff>127000</xdr:rowOff>
    </xdr:from>
    <xdr:to>
      <xdr:col>5</xdr:col>
      <xdr:colOff>356810</xdr:colOff>
      <xdr:row>144</xdr:row>
      <xdr:rowOff>409912</xdr:rowOff>
    </xdr:to>
    <xdr:cxnSp macro="">
      <xdr:nvCxnSpPr>
        <xdr:cNvPr id="486" name="Straight Connector 485">
          <a:extLst>
            <a:ext uri="{FF2B5EF4-FFF2-40B4-BE49-F238E27FC236}">
              <a16:creationId xmlns:a16="http://schemas.microsoft.com/office/drawing/2014/main" id="{00000000-0008-0000-0700-0000E6010000}"/>
            </a:ext>
          </a:extLst>
        </xdr:cNvPr>
        <xdr:cNvCxnSpPr/>
      </xdr:nvCxnSpPr>
      <xdr:spPr>
        <a:xfrm flipH="1" flipV="1">
          <a:off x="3481009" y="26461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144</xdr:row>
      <xdr:rowOff>134252</xdr:rowOff>
    </xdr:from>
    <xdr:to>
      <xdr:col>5</xdr:col>
      <xdr:colOff>1652211</xdr:colOff>
      <xdr:row>144</xdr:row>
      <xdr:rowOff>417164</xdr:rowOff>
    </xdr:to>
    <xdr:cxnSp macro="">
      <xdr:nvCxnSpPr>
        <xdr:cNvPr id="487" name="Straight Connector 486">
          <a:extLst>
            <a:ext uri="{FF2B5EF4-FFF2-40B4-BE49-F238E27FC236}">
              <a16:creationId xmlns:a16="http://schemas.microsoft.com/office/drawing/2014/main" id="{00000000-0008-0000-0700-0000E7010000}"/>
            </a:ext>
          </a:extLst>
        </xdr:cNvPr>
        <xdr:cNvCxnSpPr/>
      </xdr:nvCxnSpPr>
      <xdr:spPr>
        <a:xfrm flipH="1" flipV="1">
          <a:off x="3747710" y="26468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145</xdr:row>
      <xdr:rowOff>123824</xdr:rowOff>
    </xdr:from>
    <xdr:to>
      <xdr:col>5</xdr:col>
      <xdr:colOff>1428750</xdr:colOff>
      <xdr:row>145</xdr:row>
      <xdr:rowOff>1219199</xdr:rowOff>
    </xdr:to>
    <xdr:sp macro="" textlink="">
      <xdr:nvSpPr>
        <xdr:cNvPr id="488" name="Rounded Rectangle 487">
          <a:extLst>
            <a:ext uri="{FF2B5EF4-FFF2-40B4-BE49-F238E27FC236}">
              <a16:creationId xmlns:a16="http://schemas.microsoft.com/office/drawing/2014/main" id="{00000000-0008-0000-0700-0000E8010000}"/>
            </a:ext>
          </a:extLst>
        </xdr:cNvPr>
        <xdr:cNvSpPr/>
      </xdr:nvSpPr>
      <xdr:spPr>
        <a:xfrm>
          <a:off x="3745230" y="26641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145</xdr:row>
      <xdr:rowOff>238127</xdr:rowOff>
    </xdr:from>
    <xdr:to>
      <xdr:col>5</xdr:col>
      <xdr:colOff>790575</xdr:colOff>
      <xdr:row>145</xdr:row>
      <xdr:rowOff>361950</xdr:rowOff>
    </xdr:to>
    <xdr:cxnSp macro="">
      <xdr:nvCxnSpPr>
        <xdr:cNvPr id="489" name="Straight Connector 488">
          <a:extLst>
            <a:ext uri="{FF2B5EF4-FFF2-40B4-BE49-F238E27FC236}">
              <a16:creationId xmlns:a16="http://schemas.microsoft.com/office/drawing/2014/main" id="{00000000-0008-0000-0700-0000E9010000}"/>
            </a:ext>
          </a:extLst>
        </xdr:cNvPr>
        <xdr:cNvCxnSpPr/>
      </xdr:nvCxnSpPr>
      <xdr:spPr>
        <a:xfrm flipH="1" flipV="1">
          <a:off x="3749041" y="26702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145</xdr:row>
      <xdr:rowOff>133352</xdr:rowOff>
    </xdr:from>
    <xdr:to>
      <xdr:col>5</xdr:col>
      <xdr:colOff>885825</xdr:colOff>
      <xdr:row>145</xdr:row>
      <xdr:rowOff>257175</xdr:rowOff>
    </xdr:to>
    <xdr:cxnSp macro="">
      <xdr:nvCxnSpPr>
        <xdr:cNvPr id="490" name="Straight Connector 489">
          <a:extLst>
            <a:ext uri="{FF2B5EF4-FFF2-40B4-BE49-F238E27FC236}">
              <a16:creationId xmlns:a16="http://schemas.microsoft.com/office/drawing/2014/main" id="{00000000-0008-0000-0700-0000EA010000}"/>
            </a:ext>
          </a:extLst>
        </xdr:cNvPr>
        <xdr:cNvCxnSpPr/>
      </xdr:nvCxnSpPr>
      <xdr:spPr>
        <a:xfrm flipH="1" flipV="1">
          <a:off x="3745231" y="26650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143</xdr:row>
      <xdr:rowOff>127000</xdr:rowOff>
    </xdr:from>
    <xdr:to>
      <xdr:col>5</xdr:col>
      <xdr:colOff>356235</xdr:colOff>
      <xdr:row>143</xdr:row>
      <xdr:rowOff>309880</xdr:rowOff>
    </xdr:to>
    <xdr:cxnSp macro="">
      <xdr:nvCxnSpPr>
        <xdr:cNvPr id="491" name="Straight Connector 490">
          <a:extLst>
            <a:ext uri="{FF2B5EF4-FFF2-40B4-BE49-F238E27FC236}">
              <a16:creationId xmlns:a16="http://schemas.microsoft.com/office/drawing/2014/main" id="{00000000-0008-0000-0700-0000EB010000}"/>
            </a:ext>
          </a:extLst>
        </xdr:cNvPr>
        <xdr:cNvCxnSpPr/>
      </xdr:nvCxnSpPr>
      <xdr:spPr>
        <a:xfrm flipH="1" flipV="1">
          <a:off x="3480435" y="26278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143</xdr:row>
      <xdr:rowOff>400050</xdr:rowOff>
    </xdr:from>
    <xdr:to>
      <xdr:col>5</xdr:col>
      <xdr:colOff>1666875</xdr:colOff>
      <xdr:row>143</xdr:row>
      <xdr:rowOff>400050</xdr:rowOff>
    </xdr:to>
    <xdr:cxnSp macro="">
      <xdr:nvCxnSpPr>
        <xdr:cNvPr id="492" name="Straight Connector 491">
          <a:extLst>
            <a:ext uri="{FF2B5EF4-FFF2-40B4-BE49-F238E27FC236}">
              <a16:creationId xmlns:a16="http://schemas.microsoft.com/office/drawing/2014/main" id="{00000000-0008-0000-0700-0000EC010000}"/>
            </a:ext>
          </a:extLst>
        </xdr:cNvPr>
        <xdr:cNvCxnSpPr/>
      </xdr:nvCxnSpPr>
      <xdr:spPr>
        <a:xfrm>
          <a:off x="3476625" y="26330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143</xdr:row>
      <xdr:rowOff>127000</xdr:rowOff>
    </xdr:from>
    <xdr:to>
      <xdr:col>5</xdr:col>
      <xdr:colOff>356810</xdr:colOff>
      <xdr:row>143</xdr:row>
      <xdr:rowOff>409912</xdr:rowOff>
    </xdr:to>
    <xdr:cxnSp macro="">
      <xdr:nvCxnSpPr>
        <xdr:cNvPr id="493" name="Straight Connector 492">
          <a:extLst>
            <a:ext uri="{FF2B5EF4-FFF2-40B4-BE49-F238E27FC236}">
              <a16:creationId xmlns:a16="http://schemas.microsoft.com/office/drawing/2014/main" id="{00000000-0008-0000-0700-0000ED010000}"/>
            </a:ext>
          </a:extLst>
        </xdr:cNvPr>
        <xdr:cNvCxnSpPr/>
      </xdr:nvCxnSpPr>
      <xdr:spPr>
        <a:xfrm flipH="1" flipV="1">
          <a:off x="3481009" y="26278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143</xdr:row>
      <xdr:rowOff>134252</xdr:rowOff>
    </xdr:from>
    <xdr:to>
      <xdr:col>5</xdr:col>
      <xdr:colOff>1652211</xdr:colOff>
      <xdr:row>143</xdr:row>
      <xdr:rowOff>417164</xdr:rowOff>
    </xdr:to>
    <xdr:cxnSp macro="">
      <xdr:nvCxnSpPr>
        <xdr:cNvPr id="494" name="Straight Connector 493">
          <a:extLst>
            <a:ext uri="{FF2B5EF4-FFF2-40B4-BE49-F238E27FC236}">
              <a16:creationId xmlns:a16="http://schemas.microsoft.com/office/drawing/2014/main" id="{00000000-0008-0000-0700-0000EE010000}"/>
            </a:ext>
          </a:extLst>
        </xdr:cNvPr>
        <xdr:cNvCxnSpPr/>
      </xdr:nvCxnSpPr>
      <xdr:spPr>
        <a:xfrm flipH="1" flipV="1">
          <a:off x="3747710" y="26286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144</xdr:row>
      <xdr:rowOff>127000</xdr:rowOff>
    </xdr:from>
    <xdr:to>
      <xdr:col>5</xdr:col>
      <xdr:colOff>356235</xdr:colOff>
      <xdr:row>144</xdr:row>
      <xdr:rowOff>309880</xdr:rowOff>
    </xdr:to>
    <xdr:cxnSp macro="">
      <xdr:nvCxnSpPr>
        <xdr:cNvPr id="495" name="Straight Connector 494">
          <a:extLst>
            <a:ext uri="{FF2B5EF4-FFF2-40B4-BE49-F238E27FC236}">
              <a16:creationId xmlns:a16="http://schemas.microsoft.com/office/drawing/2014/main" id="{00000000-0008-0000-0700-0000EF010000}"/>
            </a:ext>
          </a:extLst>
        </xdr:cNvPr>
        <xdr:cNvCxnSpPr/>
      </xdr:nvCxnSpPr>
      <xdr:spPr>
        <a:xfrm flipH="1" flipV="1">
          <a:off x="3480435" y="26461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144</xdr:row>
      <xdr:rowOff>152400</xdr:rowOff>
    </xdr:from>
    <xdr:to>
      <xdr:col>5</xdr:col>
      <xdr:colOff>1676400</xdr:colOff>
      <xdr:row>144</xdr:row>
      <xdr:rowOff>152400</xdr:rowOff>
    </xdr:to>
    <xdr:cxnSp macro="">
      <xdr:nvCxnSpPr>
        <xdr:cNvPr id="496" name="Straight Connector 495">
          <a:extLst>
            <a:ext uri="{FF2B5EF4-FFF2-40B4-BE49-F238E27FC236}">
              <a16:creationId xmlns:a16="http://schemas.microsoft.com/office/drawing/2014/main" id="{00000000-0008-0000-0700-0000F0010000}"/>
            </a:ext>
          </a:extLst>
        </xdr:cNvPr>
        <xdr:cNvCxnSpPr/>
      </xdr:nvCxnSpPr>
      <xdr:spPr>
        <a:xfrm>
          <a:off x="3486150" y="26487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144</xdr:row>
      <xdr:rowOff>127000</xdr:rowOff>
    </xdr:from>
    <xdr:to>
      <xdr:col>5</xdr:col>
      <xdr:colOff>356810</xdr:colOff>
      <xdr:row>144</xdr:row>
      <xdr:rowOff>409912</xdr:rowOff>
    </xdr:to>
    <xdr:cxnSp macro="">
      <xdr:nvCxnSpPr>
        <xdr:cNvPr id="497" name="Straight Connector 496">
          <a:extLst>
            <a:ext uri="{FF2B5EF4-FFF2-40B4-BE49-F238E27FC236}">
              <a16:creationId xmlns:a16="http://schemas.microsoft.com/office/drawing/2014/main" id="{00000000-0008-0000-0700-0000F1010000}"/>
            </a:ext>
          </a:extLst>
        </xdr:cNvPr>
        <xdr:cNvCxnSpPr/>
      </xdr:nvCxnSpPr>
      <xdr:spPr>
        <a:xfrm flipH="1" flipV="1">
          <a:off x="3481009" y="26461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144</xdr:row>
      <xdr:rowOff>134252</xdr:rowOff>
    </xdr:from>
    <xdr:to>
      <xdr:col>5</xdr:col>
      <xdr:colOff>1652211</xdr:colOff>
      <xdr:row>144</xdr:row>
      <xdr:rowOff>417164</xdr:rowOff>
    </xdr:to>
    <xdr:cxnSp macro="">
      <xdr:nvCxnSpPr>
        <xdr:cNvPr id="498" name="Straight Connector 497">
          <a:extLst>
            <a:ext uri="{FF2B5EF4-FFF2-40B4-BE49-F238E27FC236}">
              <a16:creationId xmlns:a16="http://schemas.microsoft.com/office/drawing/2014/main" id="{00000000-0008-0000-0700-0000F2010000}"/>
            </a:ext>
          </a:extLst>
        </xdr:cNvPr>
        <xdr:cNvCxnSpPr/>
      </xdr:nvCxnSpPr>
      <xdr:spPr>
        <a:xfrm flipH="1" flipV="1">
          <a:off x="3747710" y="26468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145</xdr:row>
      <xdr:rowOff>123824</xdr:rowOff>
    </xdr:from>
    <xdr:to>
      <xdr:col>5</xdr:col>
      <xdr:colOff>1428750</xdr:colOff>
      <xdr:row>145</xdr:row>
      <xdr:rowOff>1219199</xdr:rowOff>
    </xdr:to>
    <xdr:sp macro="" textlink="">
      <xdr:nvSpPr>
        <xdr:cNvPr id="499" name="Rounded Rectangle 498">
          <a:extLst>
            <a:ext uri="{FF2B5EF4-FFF2-40B4-BE49-F238E27FC236}">
              <a16:creationId xmlns:a16="http://schemas.microsoft.com/office/drawing/2014/main" id="{00000000-0008-0000-0700-0000F3010000}"/>
            </a:ext>
          </a:extLst>
        </xdr:cNvPr>
        <xdr:cNvSpPr/>
      </xdr:nvSpPr>
      <xdr:spPr>
        <a:xfrm>
          <a:off x="3745230" y="26641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145</xdr:row>
      <xdr:rowOff>238127</xdr:rowOff>
    </xdr:from>
    <xdr:to>
      <xdr:col>5</xdr:col>
      <xdr:colOff>790575</xdr:colOff>
      <xdr:row>145</xdr:row>
      <xdr:rowOff>361950</xdr:rowOff>
    </xdr:to>
    <xdr:cxnSp macro="">
      <xdr:nvCxnSpPr>
        <xdr:cNvPr id="500" name="Straight Connector 499">
          <a:extLst>
            <a:ext uri="{FF2B5EF4-FFF2-40B4-BE49-F238E27FC236}">
              <a16:creationId xmlns:a16="http://schemas.microsoft.com/office/drawing/2014/main" id="{00000000-0008-0000-0700-0000F4010000}"/>
            </a:ext>
          </a:extLst>
        </xdr:cNvPr>
        <xdr:cNvCxnSpPr/>
      </xdr:nvCxnSpPr>
      <xdr:spPr>
        <a:xfrm flipH="1" flipV="1">
          <a:off x="3749041" y="26702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145</xdr:row>
      <xdr:rowOff>133352</xdr:rowOff>
    </xdr:from>
    <xdr:to>
      <xdr:col>5</xdr:col>
      <xdr:colOff>885825</xdr:colOff>
      <xdr:row>145</xdr:row>
      <xdr:rowOff>257175</xdr:rowOff>
    </xdr:to>
    <xdr:cxnSp macro="">
      <xdr:nvCxnSpPr>
        <xdr:cNvPr id="501" name="Straight Connector 500">
          <a:extLst>
            <a:ext uri="{FF2B5EF4-FFF2-40B4-BE49-F238E27FC236}">
              <a16:creationId xmlns:a16="http://schemas.microsoft.com/office/drawing/2014/main" id="{00000000-0008-0000-0700-0000F5010000}"/>
            </a:ext>
          </a:extLst>
        </xdr:cNvPr>
        <xdr:cNvCxnSpPr/>
      </xdr:nvCxnSpPr>
      <xdr:spPr>
        <a:xfrm flipH="1" flipV="1">
          <a:off x="3745231" y="26650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143</xdr:row>
      <xdr:rowOff>127000</xdr:rowOff>
    </xdr:from>
    <xdr:to>
      <xdr:col>5</xdr:col>
      <xdr:colOff>356235</xdr:colOff>
      <xdr:row>143</xdr:row>
      <xdr:rowOff>309880</xdr:rowOff>
    </xdr:to>
    <xdr:cxnSp macro="">
      <xdr:nvCxnSpPr>
        <xdr:cNvPr id="502" name="Straight Connector 501">
          <a:extLst>
            <a:ext uri="{FF2B5EF4-FFF2-40B4-BE49-F238E27FC236}">
              <a16:creationId xmlns:a16="http://schemas.microsoft.com/office/drawing/2014/main" id="{00000000-0008-0000-0700-0000F6010000}"/>
            </a:ext>
          </a:extLst>
        </xdr:cNvPr>
        <xdr:cNvCxnSpPr/>
      </xdr:nvCxnSpPr>
      <xdr:spPr>
        <a:xfrm flipH="1" flipV="1">
          <a:off x="3480435" y="26278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143</xdr:row>
      <xdr:rowOff>400050</xdr:rowOff>
    </xdr:from>
    <xdr:to>
      <xdr:col>5</xdr:col>
      <xdr:colOff>1666875</xdr:colOff>
      <xdr:row>143</xdr:row>
      <xdr:rowOff>400050</xdr:rowOff>
    </xdr:to>
    <xdr:cxnSp macro="">
      <xdr:nvCxnSpPr>
        <xdr:cNvPr id="503" name="Straight Connector 502">
          <a:extLst>
            <a:ext uri="{FF2B5EF4-FFF2-40B4-BE49-F238E27FC236}">
              <a16:creationId xmlns:a16="http://schemas.microsoft.com/office/drawing/2014/main" id="{00000000-0008-0000-0700-0000F7010000}"/>
            </a:ext>
          </a:extLst>
        </xdr:cNvPr>
        <xdr:cNvCxnSpPr/>
      </xdr:nvCxnSpPr>
      <xdr:spPr>
        <a:xfrm>
          <a:off x="3476625" y="26330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143</xdr:row>
      <xdr:rowOff>127000</xdr:rowOff>
    </xdr:from>
    <xdr:to>
      <xdr:col>5</xdr:col>
      <xdr:colOff>356810</xdr:colOff>
      <xdr:row>143</xdr:row>
      <xdr:rowOff>409912</xdr:rowOff>
    </xdr:to>
    <xdr:cxnSp macro="">
      <xdr:nvCxnSpPr>
        <xdr:cNvPr id="504" name="Straight Connector 503">
          <a:extLst>
            <a:ext uri="{FF2B5EF4-FFF2-40B4-BE49-F238E27FC236}">
              <a16:creationId xmlns:a16="http://schemas.microsoft.com/office/drawing/2014/main" id="{00000000-0008-0000-0700-0000F8010000}"/>
            </a:ext>
          </a:extLst>
        </xdr:cNvPr>
        <xdr:cNvCxnSpPr/>
      </xdr:nvCxnSpPr>
      <xdr:spPr>
        <a:xfrm flipH="1" flipV="1">
          <a:off x="3481009" y="26278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143</xdr:row>
      <xdr:rowOff>134252</xdr:rowOff>
    </xdr:from>
    <xdr:to>
      <xdr:col>5</xdr:col>
      <xdr:colOff>1652211</xdr:colOff>
      <xdr:row>143</xdr:row>
      <xdr:rowOff>417164</xdr:rowOff>
    </xdr:to>
    <xdr:cxnSp macro="">
      <xdr:nvCxnSpPr>
        <xdr:cNvPr id="505" name="Straight Connector 504">
          <a:extLst>
            <a:ext uri="{FF2B5EF4-FFF2-40B4-BE49-F238E27FC236}">
              <a16:creationId xmlns:a16="http://schemas.microsoft.com/office/drawing/2014/main" id="{00000000-0008-0000-0700-0000F9010000}"/>
            </a:ext>
          </a:extLst>
        </xdr:cNvPr>
        <xdr:cNvCxnSpPr/>
      </xdr:nvCxnSpPr>
      <xdr:spPr>
        <a:xfrm flipH="1" flipV="1">
          <a:off x="3747710" y="26286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144</xdr:row>
      <xdr:rowOff>127000</xdr:rowOff>
    </xdr:from>
    <xdr:to>
      <xdr:col>5</xdr:col>
      <xdr:colOff>356235</xdr:colOff>
      <xdr:row>144</xdr:row>
      <xdr:rowOff>309880</xdr:rowOff>
    </xdr:to>
    <xdr:cxnSp macro="">
      <xdr:nvCxnSpPr>
        <xdr:cNvPr id="506" name="Straight Connector 505">
          <a:extLst>
            <a:ext uri="{FF2B5EF4-FFF2-40B4-BE49-F238E27FC236}">
              <a16:creationId xmlns:a16="http://schemas.microsoft.com/office/drawing/2014/main" id="{00000000-0008-0000-0700-0000FA010000}"/>
            </a:ext>
          </a:extLst>
        </xdr:cNvPr>
        <xdr:cNvCxnSpPr/>
      </xdr:nvCxnSpPr>
      <xdr:spPr>
        <a:xfrm flipH="1" flipV="1">
          <a:off x="3480435" y="26461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144</xdr:row>
      <xdr:rowOff>152400</xdr:rowOff>
    </xdr:from>
    <xdr:to>
      <xdr:col>5</xdr:col>
      <xdr:colOff>1676400</xdr:colOff>
      <xdr:row>144</xdr:row>
      <xdr:rowOff>152400</xdr:rowOff>
    </xdr:to>
    <xdr:cxnSp macro="">
      <xdr:nvCxnSpPr>
        <xdr:cNvPr id="507" name="Straight Connector 506">
          <a:extLst>
            <a:ext uri="{FF2B5EF4-FFF2-40B4-BE49-F238E27FC236}">
              <a16:creationId xmlns:a16="http://schemas.microsoft.com/office/drawing/2014/main" id="{00000000-0008-0000-0700-0000FB010000}"/>
            </a:ext>
          </a:extLst>
        </xdr:cNvPr>
        <xdr:cNvCxnSpPr/>
      </xdr:nvCxnSpPr>
      <xdr:spPr>
        <a:xfrm>
          <a:off x="3486150" y="26487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144</xdr:row>
      <xdr:rowOff>127000</xdr:rowOff>
    </xdr:from>
    <xdr:to>
      <xdr:col>5</xdr:col>
      <xdr:colOff>356810</xdr:colOff>
      <xdr:row>144</xdr:row>
      <xdr:rowOff>409912</xdr:rowOff>
    </xdr:to>
    <xdr:cxnSp macro="">
      <xdr:nvCxnSpPr>
        <xdr:cNvPr id="508" name="Straight Connector 507">
          <a:extLst>
            <a:ext uri="{FF2B5EF4-FFF2-40B4-BE49-F238E27FC236}">
              <a16:creationId xmlns:a16="http://schemas.microsoft.com/office/drawing/2014/main" id="{00000000-0008-0000-0700-0000FC010000}"/>
            </a:ext>
          </a:extLst>
        </xdr:cNvPr>
        <xdr:cNvCxnSpPr/>
      </xdr:nvCxnSpPr>
      <xdr:spPr>
        <a:xfrm flipH="1" flipV="1">
          <a:off x="3481009" y="26461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145</xdr:row>
      <xdr:rowOff>123824</xdr:rowOff>
    </xdr:from>
    <xdr:to>
      <xdr:col>5</xdr:col>
      <xdr:colOff>1428750</xdr:colOff>
      <xdr:row>145</xdr:row>
      <xdr:rowOff>1219199</xdr:rowOff>
    </xdr:to>
    <xdr:sp macro="" textlink="">
      <xdr:nvSpPr>
        <xdr:cNvPr id="509" name="Rounded Rectangle 508">
          <a:extLst>
            <a:ext uri="{FF2B5EF4-FFF2-40B4-BE49-F238E27FC236}">
              <a16:creationId xmlns:a16="http://schemas.microsoft.com/office/drawing/2014/main" id="{00000000-0008-0000-0700-0000FD010000}"/>
            </a:ext>
          </a:extLst>
        </xdr:cNvPr>
        <xdr:cNvSpPr/>
      </xdr:nvSpPr>
      <xdr:spPr>
        <a:xfrm>
          <a:off x="3745230" y="26641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145</xdr:row>
      <xdr:rowOff>238127</xdr:rowOff>
    </xdr:from>
    <xdr:to>
      <xdr:col>5</xdr:col>
      <xdr:colOff>790575</xdr:colOff>
      <xdr:row>145</xdr:row>
      <xdr:rowOff>361950</xdr:rowOff>
    </xdr:to>
    <xdr:cxnSp macro="">
      <xdr:nvCxnSpPr>
        <xdr:cNvPr id="510" name="Straight Connector 509">
          <a:extLst>
            <a:ext uri="{FF2B5EF4-FFF2-40B4-BE49-F238E27FC236}">
              <a16:creationId xmlns:a16="http://schemas.microsoft.com/office/drawing/2014/main" id="{00000000-0008-0000-0700-0000FE010000}"/>
            </a:ext>
          </a:extLst>
        </xdr:cNvPr>
        <xdr:cNvCxnSpPr/>
      </xdr:nvCxnSpPr>
      <xdr:spPr>
        <a:xfrm flipH="1" flipV="1">
          <a:off x="3749041" y="26702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145</xdr:row>
      <xdr:rowOff>133352</xdr:rowOff>
    </xdr:from>
    <xdr:to>
      <xdr:col>5</xdr:col>
      <xdr:colOff>885825</xdr:colOff>
      <xdr:row>145</xdr:row>
      <xdr:rowOff>257175</xdr:rowOff>
    </xdr:to>
    <xdr:cxnSp macro="">
      <xdr:nvCxnSpPr>
        <xdr:cNvPr id="511" name="Straight Connector 510">
          <a:extLst>
            <a:ext uri="{FF2B5EF4-FFF2-40B4-BE49-F238E27FC236}">
              <a16:creationId xmlns:a16="http://schemas.microsoft.com/office/drawing/2014/main" id="{00000000-0008-0000-0700-0000FF010000}"/>
            </a:ext>
          </a:extLst>
        </xdr:cNvPr>
        <xdr:cNvCxnSpPr/>
      </xdr:nvCxnSpPr>
      <xdr:spPr>
        <a:xfrm flipH="1" flipV="1">
          <a:off x="3745231" y="26650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150</xdr:row>
      <xdr:rowOff>127000</xdr:rowOff>
    </xdr:from>
    <xdr:to>
      <xdr:col>5</xdr:col>
      <xdr:colOff>356235</xdr:colOff>
      <xdr:row>150</xdr:row>
      <xdr:rowOff>309880</xdr:rowOff>
    </xdr:to>
    <xdr:cxnSp macro="">
      <xdr:nvCxnSpPr>
        <xdr:cNvPr id="512" name="Straight Connector 511">
          <a:extLst>
            <a:ext uri="{FF2B5EF4-FFF2-40B4-BE49-F238E27FC236}">
              <a16:creationId xmlns:a16="http://schemas.microsoft.com/office/drawing/2014/main" id="{00000000-0008-0000-0700-000000020000}"/>
            </a:ext>
          </a:extLst>
        </xdr:cNvPr>
        <xdr:cNvCxnSpPr/>
      </xdr:nvCxnSpPr>
      <xdr:spPr>
        <a:xfrm flipH="1" flipV="1">
          <a:off x="3480435" y="27559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150</xdr:row>
      <xdr:rowOff>400050</xdr:rowOff>
    </xdr:from>
    <xdr:to>
      <xdr:col>5</xdr:col>
      <xdr:colOff>1666875</xdr:colOff>
      <xdr:row>150</xdr:row>
      <xdr:rowOff>400050</xdr:rowOff>
    </xdr:to>
    <xdr:cxnSp macro="">
      <xdr:nvCxnSpPr>
        <xdr:cNvPr id="513" name="Straight Connector 512">
          <a:extLst>
            <a:ext uri="{FF2B5EF4-FFF2-40B4-BE49-F238E27FC236}">
              <a16:creationId xmlns:a16="http://schemas.microsoft.com/office/drawing/2014/main" id="{00000000-0008-0000-0700-000001020000}"/>
            </a:ext>
          </a:extLst>
        </xdr:cNvPr>
        <xdr:cNvCxnSpPr/>
      </xdr:nvCxnSpPr>
      <xdr:spPr>
        <a:xfrm>
          <a:off x="3476625" y="27611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150</xdr:row>
      <xdr:rowOff>127000</xdr:rowOff>
    </xdr:from>
    <xdr:to>
      <xdr:col>5</xdr:col>
      <xdr:colOff>356810</xdr:colOff>
      <xdr:row>150</xdr:row>
      <xdr:rowOff>409912</xdr:rowOff>
    </xdr:to>
    <xdr:cxnSp macro="">
      <xdr:nvCxnSpPr>
        <xdr:cNvPr id="514" name="Straight Connector 513">
          <a:extLst>
            <a:ext uri="{FF2B5EF4-FFF2-40B4-BE49-F238E27FC236}">
              <a16:creationId xmlns:a16="http://schemas.microsoft.com/office/drawing/2014/main" id="{00000000-0008-0000-0700-000002020000}"/>
            </a:ext>
          </a:extLst>
        </xdr:cNvPr>
        <xdr:cNvCxnSpPr/>
      </xdr:nvCxnSpPr>
      <xdr:spPr>
        <a:xfrm flipH="1" flipV="1">
          <a:off x="3481009" y="27559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150</xdr:row>
      <xdr:rowOff>134252</xdr:rowOff>
    </xdr:from>
    <xdr:to>
      <xdr:col>5</xdr:col>
      <xdr:colOff>1652211</xdr:colOff>
      <xdr:row>150</xdr:row>
      <xdr:rowOff>417164</xdr:rowOff>
    </xdr:to>
    <xdr:cxnSp macro="">
      <xdr:nvCxnSpPr>
        <xdr:cNvPr id="515" name="Straight Connector 514">
          <a:extLst>
            <a:ext uri="{FF2B5EF4-FFF2-40B4-BE49-F238E27FC236}">
              <a16:creationId xmlns:a16="http://schemas.microsoft.com/office/drawing/2014/main" id="{00000000-0008-0000-0700-000003020000}"/>
            </a:ext>
          </a:extLst>
        </xdr:cNvPr>
        <xdr:cNvCxnSpPr/>
      </xdr:nvCxnSpPr>
      <xdr:spPr>
        <a:xfrm flipH="1" flipV="1">
          <a:off x="3747710" y="27566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152</xdr:row>
      <xdr:rowOff>127000</xdr:rowOff>
    </xdr:from>
    <xdr:to>
      <xdr:col>5</xdr:col>
      <xdr:colOff>356235</xdr:colOff>
      <xdr:row>152</xdr:row>
      <xdr:rowOff>309880</xdr:rowOff>
    </xdr:to>
    <xdr:cxnSp macro="">
      <xdr:nvCxnSpPr>
        <xdr:cNvPr id="516" name="Straight Connector 515">
          <a:extLst>
            <a:ext uri="{FF2B5EF4-FFF2-40B4-BE49-F238E27FC236}">
              <a16:creationId xmlns:a16="http://schemas.microsoft.com/office/drawing/2014/main" id="{00000000-0008-0000-0700-000004020000}"/>
            </a:ext>
          </a:extLst>
        </xdr:cNvPr>
        <xdr:cNvCxnSpPr/>
      </xdr:nvCxnSpPr>
      <xdr:spPr>
        <a:xfrm flipH="1" flipV="1">
          <a:off x="3480435" y="279247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152</xdr:row>
      <xdr:rowOff>152400</xdr:rowOff>
    </xdr:from>
    <xdr:to>
      <xdr:col>5</xdr:col>
      <xdr:colOff>1676400</xdr:colOff>
      <xdr:row>152</xdr:row>
      <xdr:rowOff>152400</xdr:rowOff>
    </xdr:to>
    <xdr:cxnSp macro="">
      <xdr:nvCxnSpPr>
        <xdr:cNvPr id="517" name="Straight Connector 516">
          <a:extLst>
            <a:ext uri="{FF2B5EF4-FFF2-40B4-BE49-F238E27FC236}">
              <a16:creationId xmlns:a16="http://schemas.microsoft.com/office/drawing/2014/main" id="{00000000-0008-0000-0700-000005020000}"/>
            </a:ext>
          </a:extLst>
        </xdr:cNvPr>
        <xdr:cNvCxnSpPr/>
      </xdr:nvCxnSpPr>
      <xdr:spPr>
        <a:xfrm>
          <a:off x="3486150" y="279501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152</xdr:row>
      <xdr:rowOff>127000</xdr:rowOff>
    </xdr:from>
    <xdr:to>
      <xdr:col>5</xdr:col>
      <xdr:colOff>356810</xdr:colOff>
      <xdr:row>152</xdr:row>
      <xdr:rowOff>409912</xdr:rowOff>
    </xdr:to>
    <xdr:cxnSp macro="">
      <xdr:nvCxnSpPr>
        <xdr:cNvPr id="518" name="Straight Connector 517">
          <a:extLst>
            <a:ext uri="{FF2B5EF4-FFF2-40B4-BE49-F238E27FC236}">
              <a16:creationId xmlns:a16="http://schemas.microsoft.com/office/drawing/2014/main" id="{00000000-0008-0000-0700-000006020000}"/>
            </a:ext>
          </a:extLst>
        </xdr:cNvPr>
        <xdr:cNvCxnSpPr/>
      </xdr:nvCxnSpPr>
      <xdr:spPr>
        <a:xfrm flipH="1" flipV="1">
          <a:off x="3481009" y="279247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152</xdr:row>
      <xdr:rowOff>134252</xdr:rowOff>
    </xdr:from>
    <xdr:to>
      <xdr:col>5</xdr:col>
      <xdr:colOff>1652211</xdr:colOff>
      <xdr:row>152</xdr:row>
      <xdr:rowOff>417164</xdr:rowOff>
    </xdr:to>
    <xdr:cxnSp macro="">
      <xdr:nvCxnSpPr>
        <xdr:cNvPr id="519" name="Straight Connector 518">
          <a:extLst>
            <a:ext uri="{FF2B5EF4-FFF2-40B4-BE49-F238E27FC236}">
              <a16:creationId xmlns:a16="http://schemas.microsoft.com/office/drawing/2014/main" id="{00000000-0008-0000-0700-000007020000}"/>
            </a:ext>
          </a:extLst>
        </xdr:cNvPr>
        <xdr:cNvCxnSpPr/>
      </xdr:nvCxnSpPr>
      <xdr:spPr>
        <a:xfrm flipH="1" flipV="1">
          <a:off x="3747710" y="279320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153</xdr:row>
      <xdr:rowOff>123824</xdr:rowOff>
    </xdr:from>
    <xdr:to>
      <xdr:col>5</xdr:col>
      <xdr:colOff>1428750</xdr:colOff>
      <xdr:row>153</xdr:row>
      <xdr:rowOff>1219199</xdr:rowOff>
    </xdr:to>
    <xdr:sp macro="" textlink="">
      <xdr:nvSpPr>
        <xdr:cNvPr id="520" name="Rounded Rectangle 519">
          <a:extLst>
            <a:ext uri="{FF2B5EF4-FFF2-40B4-BE49-F238E27FC236}">
              <a16:creationId xmlns:a16="http://schemas.microsoft.com/office/drawing/2014/main" id="{00000000-0008-0000-0700-000008020000}"/>
            </a:ext>
          </a:extLst>
        </xdr:cNvPr>
        <xdr:cNvSpPr/>
      </xdr:nvSpPr>
      <xdr:spPr>
        <a:xfrm>
          <a:off x="3745230" y="281044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153</xdr:row>
      <xdr:rowOff>238127</xdr:rowOff>
    </xdr:from>
    <xdr:to>
      <xdr:col>5</xdr:col>
      <xdr:colOff>790575</xdr:colOff>
      <xdr:row>153</xdr:row>
      <xdr:rowOff>361950</xdr:rowOff>
    </xdr:to>
    <xdr:cxnSp macro="">
      <xdr:nvCxnSpPr>
        <xdr:cNvPr id="521" name="Straight Connector 520">
          <a:extLst>
            <a:ext uri="{FF2B5EF4-FFF2-40B4-BE49-F238E27FC236}">
              <a16:creationId xmlns:a16="http://schemas.microsoft.com/office/drawing/2014/main" id="{00000000-0008-0000-0700-000009020000}"/>
            </a:ext>
          </a:extLst>
        </xdr:cNvPr>
        <xdr:cNvCxnSpPr/>
      </xdr:nvCxnSpPr>
      <xdr:spPr>
        <a:xfrm flipH="1" flipV="1">
          <a:off x="3749041" y="281654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153</xdr:row>
      <xdr:rowOff>133352</xdr:rowOff>
    </xdr:from>
    <xdr:to>
      <xdr:col>5</xdr:col>
      <xdr:colOff>885825</xdr:colOff>
      <xdr:row>153</xdr:row>
      <xdr:rowOff>257175</xdr:rowOff>
    </xdr:to>
    <xdr:cxnSp macro="">
      <xdr:nvCxnSpPr>
        <xdr:cNvPr id="522" name="Straight Connector 521">
          <a:extLst>
            <a:ext uri="{FF2B5EF4-FFF2-40B4-BE49-F238E27FC236}">
              <a16:creationId xmlns:a16="http://schemas.microsoft.com/office/drawing/2014/main" id="{00000000-0008-0000-0700-00000A020000}"/>
            </a:ext>
          </a:extLst>
        </xdr:cNvPr>
        <xdr:cNvCxnSpPr/>
      </xdr:nvCxnSpPr>
      <xdr:spPr>
        <a:xfrm flipH="1" flipV="1">
          <a:off x="3745231" y="281139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150</xdr:row>
      <xdr:rowOff>127000</xdr:rowOff>
    </xdr:from>
    <xdr:to>
      <xdr:col>5</xdr:col>
      <xdr:colOff>356235</xdr:colOff>
      <xdr:row>150</xdr:row>
      <xdr:rowOff>309880</xdr:rowOff>
    </xdr:to>
    <xdr:cxnSp macro="">
      <xdr:nvCxnSpPr>
        <xdr:cNvPr id="523" name="Straight Connector 522">
          <a:extLst>
            <a:ext uri="{FF2B5EF4-FFF2-40B4-BE49-F238E27FC236}">
              <a16:creationId xmlns:a16="http://schemas.microsoft.com/office/drawing/2014/main" id="{00000000-0008-0000-0700-00000B020000}"/>
            </a:ext>
          </a:extLst>
        </xdr:cNvPr>
        <xdr:cNvCxnSpPr/>
      </xdr:nvCxnSpPr>
      <xdr:spPr>
        <a:xfrm flipH="1" flipV="1">
          <a:off x="3480435" y="27559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150</xdr:row>
      <xdr:rowOff>400050</xdr:rowOff>
    </xdr:from>
    <xdr:to>
      <xdr:col>5</xdr:col>
      <xdr:colOff>1666875</xdr:colOff>
      <xdr:row>150</xdr:row>
      <xdr:rowOff>400050</xdr:rowOff>
    </xdr:to>
    <xdr:cxnSp macro="">
      <xdr:nvCxnSpPr>
        <xdr:cNvPr id="524" name="Straight Connector 523">
          <a:extLst>
            <a:ext uri="{FF2B5EF4-FFF2-40B4-BE49-F238E27FC236}">
              <a16:creationId xmlns:a16="http://schemas.microsoft.com/office/drawing/2014/main" id="{00000000-0008-0000-0700-00000C020000}"/>
            </a:ext>
          </a:extLst>
        </xdr:cNvPr>
        <xdr:cNvCxnSpPr/>
      </xdr:nvCxnSpPr>
      <xdr:spPr>
        <a:xfrm>
          <a:off x="3476625" y="27611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150</xdr:row>
      <xdr:rowOff>127000</xdr:rowOff>
    </xdr:from>
    <xdr:to>
      <xdr:col>5</xdr:col>
      <xdr:colOff>356810</xdr:colOff>
      <xdr:row>150</xdr:row>
      <xdr:rowOff>409912</xdr:rowOff>
    </xdr:to>
    <xdr:cxnSp macro="">
      <xdr:nvCxnSpPr>
        <xdr:cNvPr id="525" name="Straight Connector 524">
          <a:extLst>
            <a:ext uri="{FF2B5EF4-FFF2-40B4-BE49-F238E27FC236}">
              <a16:creationId xmlns:a16="http://schemas.microsoft.com/office/drawing/2014/main" id="{00000000-0008-0000-0700-00000D020000}"/>
            </a:ext>
          </a:extLst>
        </xdr:cNvPr>
        <xdr:cNvCxnSpPr/>
      </xdr:nvCxnSpPr>
      <xdr:spPr>
        <a:xfrm flipH="1" flipV="1">
          <a:off x="3481009" y="27559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150</xdr:row>
      <xdr:rowOff>134252</xdr:rowOff>
    </xdr:from>
    <xdr:to>
      <xdr:col>5</xdr:col>
      <xdr:colOff>1652211</xdr:colOff>
      <xdr:row>150</xdr:row>
      <xdr:rowOff>417164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id="{00000000-0008-0000-0700-00000E020000}"/>
            </a:ext>
          </a:extLst>
        </xdr:cNvPr>
        <xdr:cNvCxnSpPr/>
      </xdr:nvCxnSpPr>
      <xdr:spPr>
        <a:xfrm flipH="1" flipV="1">
          <a:off x="3747710" y="27566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152</xdr:row>
      <xdr:rowOff>127000</xdr:rowOff>
    </xdr:from>
    <xdr:to>
      <xdr:col>5</xdr:col>
      <xdr:colOff>356235</xdr:colOff>
      <xdr:row>152</xdr:row>
      <xdr:rowOff>309880</xdr:rowOff>
    </xdr:to>
    <xdr:cxnSp macro="">
      <xdr:nvCxnSpPr>
        <xdr:cNvPr id="527" name="Straight Connector 526">
          <a:extLst>
            <a:ext uri="{FF2B5EF4-FFF2-40B4-BE49-F238E27FC236}">
              <a16:creationId xmlns:a16="http://schemas.microsoft.com/office/drawing/2014/main" id="{00000000-0008-0000-0700-00000F020000}"/>
            </a:ext>
          </a:extLst>
        </xdr:cNvPr>
        <xdr:cNvCxnSpPr/>
      </xdr:nvCxnSpPr>
      <xdr:spPr>
        <a:xfrm flipH="1" flipV="1">
          <a:off x="3480435" y="279247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152</xdr:row>
      <xdr:rowOff>152400</xdr:rowOff>
    </xdr:from>
    <xdr:to>
      <xdr:col>5</xdr:col>
      <xdr:colOff>1676400</xdr:colOff>
      <xdr:row>152</xdr:row>
      <xdr:rowOff>152400</xdr:rowOff>
    </xdr:to>
    <xdr:cxnSp macro="">
      <xdr:nvCxnSpPr>
        <xdr:cNvPr id="528" name="Straight Connector 527">
          <a:extLst>
            <a:ext uri="{FF2B5EF4-FFF2-40B4-BE49-F238E27FC236}">
              <a16:creationId xmlns:a16="http://schemas.microsoft.com/office/drawing/2014/main" id="{00000000-0008-0000-0700-000010020000}"/>
            </a:ext>
          </a:extLst>
        </xdr:cNvPr>
        <xdr:cNvCxnSpPr/>
      </xdr:nvCxnSpPr>
      <xdr:spPr>
        <a:xfrm>
          <a:off x="3486150" y="279501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152</xdr:row>
      <xdr:rowOff>127000</xdr:rowOff>
    </xdr:from>
    <xdr:to>
      <xdr:col>5</xdr:col>
      <xdr:colOff>356810</xdr:colOff>
      <xdr:row>152</xdr:row>
      <xdr:rowOff>409912</xdr:rowOff>
    </xdr:to>
    <xdr:cxnSp macro="">
      <xdr:nvCxnSpPr>
        <xdr:cNvPr id="529" name="Straight Connector 528">
          <a:extLst>
            <a:ext uri="{FF2B5EF4-FFF2-40B4-BE49-F238E27FC236}">
              <a16:creationId xmlns:a16="http://schemas.microsoft.com/office/drawing/2014/main" id="{00000000-0008-0000-0700-000011020000}"/>
            </a:ext>
          </a:extLst>
        </xdr:cNvPr>
        <xdr:cNvCxnSpPr/>
      </xdr:nvCxnSpPr>
      <xdr:spPr>
        <a:xfrm flipH="1" flipV="1">
          <a:off x="3481009" y="279247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152</xdr:row>
      <xdr:rowOff>134252</xdr:rowOff>
    </xdr:from>
    <xdr:to>
      <xdr:col>5</xdr:col>
      <xdr:colOff>1652211</xdr:colOff>
      <xdr:row>152</xdr:row>
      <xdr:rowOff>417164</xdr:rowOff>
    </xdr:to>
    <xdr:cxnSp macro="">
      <xdr:nvCxnSpPr>
        <xdr:cNvPr id="530" name="Straight Connector 529">
          <a:extLst>
            <a:ext uri="{FF2B5EF4-FFF2-40B4-BE49-F238E27FC236}">
              <a16:creationId xmlns:a16="http://schemas.microsoft.com/office/drawing/2014/main" id="{00000000-0008-0000-0700-000012020000}"/>
            </a:ext>
          </a:extLst>
        </xdr:cNvPr>
        <xdr:cNvCxnSpPr/>
      </xdr:nvCxnSpPr>
      <xdr:spPr>
        <a:xfrm flipH="1" flipV="1">
          <a:off x="3747710" y="279320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153</xdr:row>
      <xdr:rowOff>123824</xdr:rowOff>
    </xdr:from>
    <xdr:to>
      <xdr:col>5</xdr:col>
      <xdr:colOff>1428750</xdr:colOff>
      <xdr:row>153</xdr:row>
      <xdr:rowOff>1219199</xdr:rowOff>
    </xdr:to>
    <xdr:sp macro="" textlink="">
      <xdr:nvSpPr>
        <xdr:cNvPr id="531" name="Rounded Rectangle 530">
          <a:extLst>
            <a:ext uri="{FF2B5EF4-FFF2-40B4-BE49-F238E27FC236}">
              <a16:creationId xmlns:a16="http://schemas.microsoft.com/office/drawing/2014/main" id="{00000000-0008-0000-0700-000013020000}"/>
            </a:ext>
          </a:extLst>
        </xdr:cNvPr>
        <xdr:cNvSpPr/>
      </xdr:nvSpPr>
      <xdr:spPr>
        <a:xfrm>
          <a:off x="3745230" y="281044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153</xdr:row>
      <xdr:rowOff>238127</xdr:rowOff>
    </xdr:from>
    <xdr:to>
      <xdr:col>5</xdr:col>
      <xdr:colOff>790575</xdr:colOff>
      <xdr:row>153</xdr:row>
      <xdr:rowOff>361950</xdr:rowOff>
    </xdr:to>
    <xdr:cxnSp macro="">
      <xdr:nvCxnSpPr>
        <xdr:cNvPr id="532" name="Straight Connector 531">
          <a:extLst>
            <a:ext uri="{FF2B5EF4-FFF2-40B4-BE49-F238E27FC236}">
              <a16:creationId xmlns:a16="http://schemas.microsoft.com/office/drawing/2014/main" id="{00000000-0008-0000-0700-000014020000}"/>
            </a:ext>
          </a:extLst>
        </xdr:cNvPr>
        <xdr:cNvCxnSpPr/>
      </xdr:nvCxnSpPr>
      <xdr:spPr>
        <a:xfrm flipH="1" flipV="1">
          <a:off x="3749041" y="281654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153</xdr:row>
      <xdr:rowOff>133352</xdr:rowOff>
    </xdr:from>
    <xdr:to>
      <xdr:col>5</xdr:col>
      <xdr:colOff>885825</xdr:colOff>
      <xdr:row>153</xdr:row>
      <xdr:rowOff>257175</xdr:rowOff>
    </xdr:to>
    <xdr:cxnSp macro="">
      <xdr:nvCxnSpPr>
        <xdr:cNvPr id="533" name="Straight Connector 532">
          <a:extLst>
            <a:ext uri="{FF2B5EF4-FFF2-40B4-BE49-F238E27FC236}">
              <a16:creationId xmlns:a16="http://schemas.microsoft.com/office/drawing/2014/main" id="{00000000-0008-0000-0700-000015020000}"/>
            </a:ext>
          </a:extLst>
        </xdr:cNvPr>
        <xdr:cNvCxnSpPr/>
      </xdr:nvCxnSpPr>
      <xdr:spPr>
        <a:xfrm flipH="1" flipV="1">
          <a:off x="3745231" y="281139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150</xdr:row>
      <xdr:rowOff>127000</xdr:rowOff>
    </xdr:from>
    <xdr:to>
      <xdr:col>5</xdr:col>
      <xdr:colOff>356235</xdr:colOff>
      <xdr:row>150</xdr:row>
      <xdr:rowOff>309880</xdr:rowOff>
    </xdr:to>
    <xdr:cxnSp macro="">
      <xdr:nvCxnSpPr>
        <xdr:cNvPr id="534" name="Straight Connector 533">
          <a:extLst>
            <a:ext uri="{FF2B5EF4-FFF2-40B4-BE49-F238E27FC236}">
              <a16:creationId xmlns:a16="http://schemas.microsoft.com/office/drawing/2014/main" id="{00000000-0008-0000-0700-000016020000}"/>
            </a:ext>
          </a:extLst>
        </xdr:cNvPr>
        <xdr:cNvCxnSpPr/>
      </xdr:nvCxnSpPr>
      <xdr:spPr>
        <a:xfrm flipH="1" flipV="1">
          <a:off x="3480435" y="27559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150</xdr:row>
      <xdr:rowOff>400050</xdr:rowOff>
    </xdr:from>
    <xdr:to>
      <xdr:col>5</xdr:col>
      <xdr:colOff>1666875</xdr:colOff>
      <xdr:row>150</xdr:row>
      <xdr:rowOff>400050</xdr:rowOff>
    </xdr:to>
    <xdr:cxnSp macro="">
      <xdr:nvCxnSpPr>
        <xdr:cNvPr id="535" name="Straight Connector 534">
          <a:extLst>
            <a:ext uri="{FF2B5EF4-FFF2-40B4-BE49-F238E27FC236}">
              <a16:creationId xmlns:a16="http://schemas.microsoft.com/office/drawing/2014/main" id="{00000000-0008-0000-0700-000017020000}"/>
            </a:ext>
          </a:extLst>
        </xdr:cNvPr>
        <xdr:cNvCxnSpPr/>
      </xdr:nvCxnSpPr>
      <xdr:spPr>
        <a:xfrm>
          <a:off x="3476625" y="27611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150</xdr:row>
      <xdr:rowOff>127000</xdr:rowOff>
    </xdr:from>
    <xdr:to>
      <xdr:col>5</xdr:col>
      <xdr:colOff>356810</xdr:colOff>
      <xdr:row>150</xdr:row>
      <xdr:rowOff>409912</xdr:rowOff>
    </xdr:to>
    <xdr:cxnSp macro="">
      <xdr:nvCxnSpPr>
        <xdr:cNvPr id="536" name="Straight Connector 535">
          <a:extLst>
            <a:ext uri="{FF2B5EF4-FFF2-40B4-BE49-F238E27FC236}">
              <a16:creationId xmlns:a16="http://schemas.microsoft.com/office/drawing/2014/main" id="{00000000-0008-0000-0700-000018020000}"/>
            </a:ext>
          </a:extLst>
        </xdr:cNvPr>
        <xdr:cNvCxnSpPr/>
      </xdr:nvCxnSpPr>
      <xdr:spPr>
        <a:xfrm flipH="1" flipV="1">
          <a:off x="3481009" y="27559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150</xdr:row>
      <xdr:rowOff>134252</xdr:rowOff>
    </xdr:from>
    <xdr:to>
      <xdr:col>5</xdr:col>
      <xdr:colOff>1652211</xdr:colOff>
      <xdr:row>150</xdr:row>
      <xdr:rowOff>417164</xdr:rowOff>
    </xdr:to>
    <xdr:cxnSp macro="">
      <xdr:nvCxnSpPr>
        <xdr:cNvPr id="537" name="Straight Connector 536">
          <a:extLst>
            <a:ext uri="{FF2B5EF4-FFF2-40B4-BE49-F238E27FC236}">
              <a16:creationId xmlns:a16="http://schemas.microsoft.com/office/drawing/2014/main" id="{00000000-0008-0000-0700-000019020000}"/>
            </a:ext>
          </a:extLst>
        </xdr:cNvPr>
        <xdr:cNvCxnSpPr/>
      </xdr:nvCxnSpPr>
      <xdr:spPr>
        <a:xfrm flipH="1" flipV="1">
          <a:off x="3747710" y="27566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152</xdr:row>
      <xdr:rowOff>127000</xdr:rowOff>
    </xdr:from>
    <xdr:to>
      <xdr:col>5</xdr:col>
      <xdr:colOff>356235</xdr:colOff>
      <xdr:row>152</xdr:row>
      <xdr:rowOff>309880</xdr:rowOff>
    </xdr:to>
    <xdr:cxnSp macro="">
      <xdr:nvCxnSpPr>
        <xdr:cNvPr id="538" name="Straight Connector 537">
          <a:extLst>
            <a:ext uri="{FF2B5EF4-FFF2-40B4-BE49-F238E27FC236}">
              <a16:creationId xmlns:a16="http://schemas.microsoft.com/office/drawing/2014/main" id="{00000000-0008-0000-0700-00001A020000}"/>
            </a:ext>
          </a:extLst>
        </xdr:cNvPr>
        <xdr:cNvCxnSpPr/>
      </xdr:nvCxnSpPr>
      <xdr:spPr>
        <a:xfrm flipH="1" flipV="1">
          <a:off x="3480435" y="279247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152</xdr:row>
      <xdr:rowOff>152400</xdr:rowOff>
    </xdr:from>
    <xdr:to>
      <xdr:col>5</xdr:col>
      <xdr:colOff>1676400</xdr:colOff>
      <xdr:row>152</xdr:row>
      <xdr:rowOff>152400</xdr:rowOff>
    </xdr:to>
    <xdr:cxnSp macro="">
      <xdr:nvCxnSpPr>
        <xdr:cNvPr id="539" name="Straight Connector 538">
          <a:extLst>
            <a:ext uri="{FF2B5EF4-FFF2-40B4-BE49-F238E27FC236}">
              <a16:creationId xmlns:a16="http://schemas.microsoft.com/office/drawing/2014/main" id="{00000000-0008-0000-0700-00001B020000}"/>
            </a:ext>
          </a:extLst>
        </xdr:cNvPr>
        <xdr:cNvCxnSpPr/>
      </xdr:nvCxnSpPr>
      <xdr:spPr>
        <a:xfrm>
          <a:off x="3486150" y="279501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152</xdr:row>
      <xdr:rowOff>127000</xdr:rowOff>
    </xdr:from>
    <xdr:to>
      <xdr:col>5</xdr:col>
      <xdr:colOff>356810</xdr:colOff>
      <xdr:row>152</xdr:row>
      <xdr:rowOff>409912</xdr:rowOff>
    </xdr:to>
    <xdr:cxnSp macro="">
      <xdr:nvCxnSpPr>
        <xdr:cNvPr id="540" name="Straight Connector 539">
          <a:extLst>
            <a:ext uri="{FF2B5EF4-FFF2-40B4-BE49-F238E27FC236}">
              <a16:creationId xmlns:a16="http://schemas.microsoft.com/office/drawing/2014/main" id="{00000000-0008-0000-0700-00001C020000}"/>
            </a:ext>
          </a:extLst>
        </xdr:cNvPr>
        <xdr:cNvCxnSpPr/>
      </xdr:nvCxnSpPr>
      <xdr:spPr>
        <a:xfrm flipH="1" flipV="1">
          <a:off x="3481009" y="279247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152</xdr:row>
      <xdr:rowOff>134252</xdr:rowOff>
    </xdr:from>
    <xdr:to>
      <xdr:col>5</xdr:col>
      <xdr:colOff>1652211</xdr:colOff>
      <xdr:row>152</xdr:row>
      <xdr:rowOff>417164</xdr:rowOff>
    </xdr:to>
    <xdr:cxnSp macro="">
      <xdr:nvCxnSpPr>
        <xdr:cNvPr id="541" name="Straight Connector 540">
          <a:extLst>
            <a:ext uri="{FF2B5EF4-FFF2-40B4-BE49-F238E27FC236}">
              <a16:creationId xmlns:a16="http://schemas.microsoft.com/office/drawing/2014/main" id="{00000000-0008-0000-0700-00001D020000}"/>
            </a:ext>
          </a:extLst>
        </xdr:cNvPr>
        <xdr:cNvCxnSpPr/>
      </xdr:nvCxnSpPr>
      <xdr:spPr>
        <a:xfrm flipH="1" flipV="1">
          <a:off x="3747710" y="279320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153</xdr:row>
      <xdr:rowOff>123824</xdr:rowOff>
    </xdr:from>
    <xdr:to>
      <xdr:col>5</xdr:col>
      <xdr:colOff>1428750</xdr:colOff>
      <xdr:row>153</xdr:row>
      <xdr:rowOff>1219199</xdr:rowOff>
    </xdr:to>
    <xdr:sp macro="" textlink="">
      <xdr:nvSpPr>
        <xdr:cNvPr id="542" name="Rounded Rectangle 541">
          <a:extLst>
            <a:ext uri="{FF2B5EF4-FFF2-40B4-BE49-F238E27FC236}">
              <a16:creationId xmlns:a16="http://schemas.microsoft.com/office/drawing/2014/main" id="{00000000-0008-0000-0700-00001E020000}"/>
            </a:ext>
          </a:extLst>
        </xdr:cNvPr>
        <xdr:cNvSpPr/>
      </xdr:nvSpPr>
      <xdr:spPr>
        <a:xfrm>
          <a:off x="3745230" y="281044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153</xdr:row>
      <xdr:rowOff>238127</xdr:rowOff>
    </xdr:from>
    <xdr:to>
      <xdr:col>5</xdr:col>
      <xdr:colOff>790575</xdr:colOff>
      <xdr:row>153</xdr:row>
      <xdr:rowOff>361950</xdr:rowOff>
    </xdr:to>
    <xdr:cxnSp macro="">
      <xdr:nvCxnSpPr>
        <xdr:cNvPr id="543" name="Straight Connector 542">
          <a:extLst>
            <a:ext uri="{FF2B5EF4-FFF2-40B4-BE49-F238E27FC236}">
              <a16:creationId xmlns:a16="http://schemas.microsoft.com/office/drawing/2014/main" id="{00000000-0008-0000-0700-00001F020000}"/>
            </a:ext>
          </a:extLst>
        </xdr:cNvPr>
        <xdr:cNvCxnSpPr/>
      </xdr:nvCxnSpPr>
      <xdr:spPr>
        <a:xfrm flipH="1" flipV="1">
          <a:off x="3749041" y="281654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153</xdr:row>
      <xdr:rowOff>133352</xdr:rowOff>
    </xdr:from>
    <xdr:to>
      <xdr:col>5</xdr:col>
      <xdr:colOff>885825</xdr:colOff>
      <xdr:row>153</xdr:row>
      <xdr:rowOff>257175</xdr:rowOff>
    </xdr:to>
    <xdr:cxnSp macro="">
      <xdr:nvCxnSpPr>
        <xdr:cNvPr id="544" name="Straight Connector 543">
          <a:extLst>
            <a:ext uri="{FF2B5EF4-FFF2-40B4-BE49-F238E27FC236}">
              <a16:creationId xmlns:a16="http://schemas.microsoft.com/office/drawing/2014/main" id="{00000000-0008-0000-0700-000020020000}"/>
            </a:ext>
          </a:extLst>
        </xdr:cNvPr>
        <xdr:cNvCxnSpPr/>
      </xdr:nvCxnSpPr>
      <xdr:spPr>
        <a:xfrm flipH="1" flipV="1">
          <a:off x="3745231" y="281139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150</xdr:row>
      <xdr:rowOff>127000</xdr:rowOff>
    </xdr:from>
    <xdr:to>
      <xdr:col>5</xdr:col>
      <xdr:colOff>356235</xdr:colOff>
      <xdr:row>150</xdr:row>
      <xdr:rowOff>309880</xdr:rowOff>
    </xdr:to>
    <xdr:cxnSp macro="">
      <xdr:nvCxnSpPr>
        <xdr:cNvPr id="545" name="Straight Connector 544">
          <a:extLst>
            <a:ext uri="{FF2B5EF4-FFF2-40B4-BE49-F238E27FC236}">
              <a16:creationId xmlns:a16="http://schemas.microsoft.com/office/drawing/2014/main" id="{00000000-0008-0000-0700-000021020000}"/>
            </a:ext>
          </a:extLst>
        </xdr:cNvPr>
        <xdr:cNvCxnSpPr/>
      </xdr:nvCxnSpPr>
      <xdr:spPr>
        <a:xfrm flipH="1" flipV="1">
          <a:off x="3480435" y="27559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150</xdr:row>
      <xdr:rowOff>400050</xdr:rowOff>
    </xdr:from>
    <xdr:to>
      <xdr:col>5</xdr:col>
      <xdr:colOff>1666875</xdr:colOff>
      <xdr:row>150</xdr:row>
      <xdr:rowOff>400050</xdr:rowOff>
    </xdr:to>
    <xdr:cxnSp macro="">
      <xdr:nvCxnSpPr>
        <xdr:cNvPr id="546" name="Straight Connector 545">
          <a:extLst>
            <a:ext uri="{FF2B5EF4-FFF2-40B4-BE49-F238E27FC236}">
              <a16:creationId xmlns:a16="http://schemas.microsoft.com/office/drawing/2014/main" id="{00000000-0008-0000-0700-000022020000}"/>
            </a:ext>
          </a:extLst>
        </xdr:cNvPr>
        <xdr:cNvCxnSpPr/>
      </xdr:nvCxnSpPr>
      <xdr:spPr>
        <a:xfrm>
          <a:off x="3476625" y="27611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150</xdr:row>
      <xdr:rowOff>127000</xdr:rowOff>
    </xdr:from>
    <xdr:to>
      <xdr:col>5</xdr:col>
      <xdr:colOff>356810</xdr:colOff>
      <xdr:row>150</xdr:row>
      <xdr:rowOff>409912</xdr:rowOff>
    </xdr:to>
    <xdr:cxnSp macro="">
      <xdr:nvCxnSpPr>
        <xdr:cNvPr id="547" name="Straight Connector 546">
          <a:extLst>
            <a:ext uri="{FF2B5EF4-FFF2-40B4-BE49-F238E27FC236}">
              <a16:creationId xmlns:a16="http://schemas.microsoft.com/office/drawing/2014/main" id="{00000000-0008-0000-0700-000023020000}"/>
            </a:ext>
          </a:extLst>
        </xdr:cNvPr>
        <xdr:cNvCxnSpPr/>
      </xdr:nvCxnSpPr>
      <xdr:spPr>
        <a:xfrm flipH="1" flipV="1">
          <a:off x="3481009" y="27559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150</xdr:row>
      <xdr:rowOff>134252</xdr:rowOff>
    </xdr:from>
    <xdr:to>
      <xdr:col>5</xdr:col>
      <xdr:colOff>1652211</xdr:colOff>
      <xdr:row>150</xdr:row>
      <xdr:rowOff>417164</xdr:rowOff>
    </xdr:to>
    <xdr:cxnSp macro="">
      <xdr:nvCxnSpPr>
        <xdr:cNvPr id="548" name="Straight Connector 547">
          <a:extLst>
            <a:ext uri="{FF2B5EF4-FFF2-40B4-BE49-F238E27FC236}">
              <a16:creationId xmlns:a16="http://schemas.microsoft.com/office/drawing/2014/main" id="{00000000-0008-0000-0700-000024020000}"/>
            </a:ext>
          </a:extLst>
        </xdr:cNvPr>
        <xdr:cNvCxnSpPr/>
      </xdr:nvCxnSpPr>
      <xdr:spPr>
        <a:xfrm flipH="1" flipV="1">
          <a:off x="3747710" y="27566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152</xdr:row>
      <xdr:rowOff>127000</xdr:rowOff>
    </xdr:from>
    <xdr:to>
      <xdr:col>5</xdr:col>
      <xdr:colOff>356235</xdr:colOff>
      <xdr:row>152</xdr:row>
      <xdr:rowOff>309880</xdr:rowOff>
    </xdr:to>
    <xdr:cxnSp macro="">
      <xdr:nvCxnSpPr>
        <xdr:cNvPr id="549" name="Straight Connector 548">
          <a:extLst>
            <a:ext uri="{FF2B5EF4-FFF2-40B4-BE49-F238E27FC236}">
              <a16:creationId xmlns:a16="http://schemas.microsoft.com/office/drawing/2014/main" id="{00000000-0008-0000-0700-000025020000}"/>
            </a:ext>
          </a:extLst>
        </xdr:cNvPr>
        <xdr:cNvCxnSpPr/>
      </xdr:nvCxnSpPr>
      <xdr:spPr>
        <a:xfrm flipH="1" flipV="1">
          <a:off x="3480435" y="279247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152</xdr:row>
      <xdr:rowOff>152400</xdr:rowOff>
    </xdr:from>
    <xdr:to>
      <xdr:col>5</xdr:col>
      <xdr:colOff>1676400</xdr:colOff>
      <xdr:row>152</xdr:row>
      <xdr:rowOff>152400</xdr:rowOff>
    </xdr:to>
    <xdr:cxnSp macro="">
      <xdr:nvCxnSpPr>
        <xdr:cNvPr id="550" name="Straight Connector 549">
          <a:extLst>
            <a:ext uri="{FF2B5EF4-FFF2-40B4-BE49-F238E27FC236}">
              <a16:creationId xmlns:a16="http://schemas.microsoft.com/office/drawing/2014/main" id="{00000000-0008-0000-0700-000026020000}"/>
            </a:ext>
          </a:extLst>
        </xdr:cNvPr>
        <xdr:cNvCxnSpPr/>
      </xdr:nvCxnSpPr>
      <xdr:spPr>
        <a:xfrm>
          <a:off x="3486150" y="279501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152</xdr:row>
      <xdr:rowOff>127000</xdr:rowOff>
    </xdr:from>
    <xdr:to>
      <xdr:col>5</xdr:col>
      <xdr:colOff>356810</xdr:colOff>
      <xdr:row>152</xdr:row>
      <xdr:rowOff>409912</xdr:rowOff>
    </xdr:to>
    <xdr:cxnSp macro="">
      <xdr:nvCxnSpPr>
        <xdr:cNvPr id="551" name="Straight Connector 550">
          <a:extLst>
            <a:ext uri="{FF2B5EF4-FFF2-40B4-BE49-F238E27FC236}">
              <a16:creationId xmlns:a16="http://schemas.microsoft.com/office/drawing/2014/main" id="{00000000-0008-0000-0700-000027020000}"/>
            </a:ext>
          </a:extLst>
        </xdr:cNvPr>
        <xdr:cNvCxnSpPr/>
      </xdr:nvCxnSpPr>
      <xdr:spPr>
        <a:xfrm flipH="1" flipV="1">
          <a:off x="3481009" y="279247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153</xdr:row>
      <xdr:rowOff>123824</xdr:rowOff>
    </xdr:from>
    <xdr:to>
      <xdr:col>5</xdr:col>
      <xdr:colOff>1428750</xdr:colOff>
      <xdr:row>153</xdr:row>
      <xdr:rowOff>1219199</xdr:rowOff>
    </xdr:to>
    <xdr:sp macro="" textlink="">
      <xdr:nvSpPr>
        <xdr:cNvPr id="552" name="Rounded Rectangle 551">
          <a:extLst>
            <a:ext uri="{FF2B5EF4-FFF2-40B4-BE49-F238E27FC236}">
              <a16:creationId xmlns:a16="http://schemas.microsoft.com/office/drawing/2014/main" id="{00000000-0008-0000-0700-000028020000}"/>
            </a:ext>
          </a:extLst>
        </xdr:cNvPr>
        <xdr:cNvSpPr/>
      </xdr:nvSpPr>
      <xdr:spPr>
        <a:xfrm>
          <a:off x="3745230" y="281044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153</xdr:row>
      <xdr:rowOff>238127</xdr:rowOff>
    </xdr:from>
    <xdr:to>
      <xdr:col>5</xdr:col>
      <xdr:colOff>790575</xdr:colOff>
      <xdr:row>153</xdr:row>
      <xdr:rowOff>361950</xdr:rowOff>
    </xdr:to>
    <xdr:cxnSp macro="">
      <xdr:nvCxnSpPr>
        <xdr:cNvPr id="553" name="Straight Connector 552">
          <a:extLst>
            <a:ext uri="{FF2B5EF4-FFF2-40B4-BE49-F238E27FC236}">
              <a16:creationId xmlns:a16="http://schemas.microsoft.com/office/drawing/2014/main" id="{00000000-0008-0000-0700-000029020000}"/>
            </a:ext>
          </a:extLst>
        </xdr:cNvPr>
        <xdr:cNvCxnSpPr/>
      </xdr:nvCxnSpPr>
      <xdr:spPr>
        <a:xfrm flipH="1" flipV="1">
          <a:off x="3749041" y="281654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153</xdr:row>
      <xdr:rowOff>133352</xdr:rowOff>
    </xdr:from>
    <xdr:to>
      <xdr:col>5</xdr:col>
      <xdr:colOff>885825</xdr:colOff>
      <xdr:row>153</xdr:row>
      <xdr:rowOff>257175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id="{00000000-0008-0000-0700-00002A020000}"/>
            </a:ext>
          </a:extLst>
        </xdr:cNvPr>
        <xdr:cNvCxnSpPr/>
      </xdr:nvCxnSpPr>
      <xdr:spPr>
        <a:xfrm flipH="1" flipV="1">
          <a:off x="3745231" y="281139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151</xdr:row>
      <xdr:rowOff>174625</xdr:rowOff>
    </xdr:from>
    <xdr:to>
      <xdr:col>5</xdr:col>
      <xdr:colOff>327661</xdr:colOff>
      <xdr:row>151</xdr:row>
      <xdr:rowOff>457537</xdr:rowOff>
    </xdr:to>
    <xdr:cxnSp macro="">
      <xdr:nvCxnSpPr>
        <xdr:cNvPr id="555" name="Straight Connector 554">
          <a:extLst>
            <a:ext uri="{FF2B5EF4-FFF2-40B4-BE49-F238E27FC236}">
              <a16:creationId xmlns:a16="http://schemas.microsoft.com/office/drawing/2014/main" id="{00000000-0008-0000-0700-00002B020000}"/>
            </a:ext>
          </a:extLst>
        </xdr:cNvPr>
        <xdr:cNvCxnSpPr/>
      </xdr:nvCxnSpPr>
      <xdr:spPr>
        <a:xfrm flipH="1" flipV="1">
          <a:off x="3451860" y="2778950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151</xdr:row>
      <xdr:rowOff>200025</xdr:rowOff>
    </xdr:from>
    <xdr:to>
      <xdr:col>5</xdr:col>
      <xdr:colOff>1638300</xdr:colOff>
      <xdr:row>151</xdr:row>
      <xdr:rowOff>200025</xdr:rowOff>
    </xdr:to>
    <xdr:cxnSp macro="">
      <xdr:nvCxnSpPr>
        <xdr:cNvPr id="556" name="Straight Connector 555">
          <a:extLst>
            <a:ext uri="{FF2B5EF4-FFF2-40B4-BE49-F238E27FC236}">
              <a16:creationId xmlns:a16="http://schemas.microsoft.com/office/drawing/2014/main" id="{00000000-0008-0000-0700-00002C020000}"/>
            </a:ext>
          </a:extLst>
        </xdr:cNvPr>
        <xdr:cNvCxnSpPr/>
      </xdr:nvCxnSpPr>
      <xdr:spPr>
        <a:xfrm>
          <a:off x="3448050" y="2779966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157</xdr:row>
      <xdr:rowOff>127000</xdr:rowOff>
    </xdr:from>
    <xdr:to>
      <xdr:col>5</xdr:col>
      <xdr:colOff>356235</xdr:colOff>
      <xdr:row>157</xdr:row>
      <xdr:rowOff>309880</xdr:rowOff>
    </xdr:to>
    <xdr:cxnSp macro="">
      <xdr:nvCxnSpPr>
        <xdr:cNvPr id="557" name="Straight Connector 556">
          <a:extLst>
            <a:ext uri="{FF2B5EF4-FFF2-40B4-BE49-F238E27FC236}">
              <a16:creationId xmlns:a16="http://schemas.microsoft.com/office/drawing/2014/main" id="{00000000-0008-0000-0700-00002D020000}"/>
            </a:ext>
          </a:extLst>
        </xdr:cNvPr>
        <xdr:cNvCxnSpPr/>
      </xdr:nvCxnSpPr>
      <xdr:spPr>
        <a:xfrm flipH="1" flipV="1">
          <a:off x="3480435" y="28839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157</xdr:row>
      <xdr:rowOff>400050</xdr:rowOff>
    </xdr:from>
    <xdr:to>
      <xdr:col>5</xdr:col>
      <xdr:colOff>1666875</xdr:colOff>
      <xdr:row>157</xdr:row>
      <xdr:rowOff>400050</xdr:rowOff>
    </xdr:to>
    <xdr:cxnSp macro="">
      <xdr:nvCxnSpPr>
        <xdr:cNvPr id="558" name="Straight Connector 557">
          <a:extLst>
            <a:ext uri="{FF2B5EF4-FFF2-40B4-BE49-F238E27FC236}">
              <a16:creationId xmlns:a16="http://schemas.microsoft.com/office/drawing/2014/main" id="{00000000-0008-0000-0700-00002E020000}"/>
            </a:ext>
          </a:extLst>
        </xdr:cNvPr>
        <xdr:cNvCxnSpPr/>
      </xdr:nvCxnSpPr>
      <xdr:spPr>
        <a:xfrm>
          <a:off x="3476625" y="288912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157</xdr:row>
      <xdr:rowOff>127000</xdr:rowOff>
    </xdr:from>
    <xdr:to>
      <xdr:col>5</xdr:col>
      <xdr:colOff>356810</xdr:colOff>
      <xdr:row>157</xdr:row>
      <xdr:rowOff>409912</xdr:rowOff>
    </xdr:to>
    <xdr:cxnSp macro="">
      <xdr:nvCxnSpPr>
        <xdr:cNvPr id="559" name="Straight Connector 558">
          <a:extLst>
            <a:ext uri="{FF2B5EF4-FFF2-40B4-BE49-F238E27FC236}">
              <a16:creationId xmlns:a16="http://schemas.microsoft.com/office/drawing/2014/main" id="{00000000-0008-0000-0700-00002F020000}"/>
            </a:ext>
          </a:extLst>
        </xdr:cNvPr>
        <xdr:cNvCxnSpPr/>
      </xdr:nvCxnSpPr>
      <xdr:spPr>
        <a:xfrm flipH="1" flipV="1">
          <a:off x="3481009" y="28839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157</xdr:row>
      <xdr:rowOff>134252</xdr:rowOff>
    </xdr:from>
    <xdr:to>
      <xdr:col>5</xdr:col>
      <xdr:colOff>1652211</xdr:colOff>
      <xdr:row>157</xdr:row>
      <xdr:rowOff>417164</xdr:rowOff>
    </xdr:to>
    <xdr:cxnSp macro="">
      <xdr:nvCxnSpPr>
        <xdr:cNvPr id="560" name="Straight Connector 559">
          <a:extLst>
            <a:ext uri="{FF2B5EF4-FFF2-40B4-BE49-F238E27FC236}">
              <a16:creationId xmlns:a16="http://schemas.microsoft.com/office/drawing/2014/main" id="{00000000-0008-0000-0700-000030020000}"/>
            </a:ext>
          </a:extLst>
        </xdr:cNvPr>
        <xdr:cNvCxnSpPr/>
      </xdr:nvCxnSpPr>
      <xdr:spPr>
        <a:xfrm flipH="1" flipV="1">
          <a:off x="3747710" y="28846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158</xdr:row>
      <xdr:rowOff>127000</xdr:rowOff>
    </xdr:from>
    <xdr:to>
      <xdr:col>5</xdr:col>
      <xdr:colOff>356235</xdr:colOff>
      <xdr:row>158</xdr:row>
      <xdr:rowOff>309880</xdr:rowOff>
    </xdr:to>
    <xdr:cxnSp macro="">
      <xdr:nvCxnSpPr>
        <xdr:cNvPr id="561" name="Straight Connector 560">
          <a:extLst>
            <a:ext uri="{FF2B5EF4-FFF2-40B4-BE49-F238E27FC236}">
              <a16:creationId xmlns:a16="http://schemas.microsoft.com/office/drawing/2014/main" id="{00000000-0008-0000-0700-000031020000}"/>
            </a:ext>
          </a:extLst>
        </xdr:cNvPr>
        <xdr:cNvCxnSpPr/>
      </xdr:nvCxnSpPr>
      <xdr:spPr>
        <a:xfrm flipH="1" flipV="1">
          <a:off x="3480435" y="290220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158</xdr:row>
      <xdr:rowOff>152400</xdr:rowOff>
    </xdr:from>
    <xdr:to>
      <xdr:col>5</xdr:col>
      <xdr:colOff>1676400</xdr:colOff>
      <xdr:row>158</xdr:row>
      <xdr:rowOff>152400</xdr:rowOff>
    </xdr:to>
    <xdr:cxnSp macro="">
      <xdr:nvCxnSpPr>
        <xdr:cNvPr id="562" name="Straight Connector 561">
          <a:extLst>
            <a:ext uri="{FF2B5EF4-FFF2-40B4-BE49-F238E27FC236}">
              <a16:creationId xmlns:a16="http://schemas.microsoft.com/office/drawing/2014/main" id="{00000000-0008-0000-0700-000032020000}"/>
            </a:ext>
          </a:extLst>
        </xdr:cNvPr>
        <xdr:cNvCxnSpPr/>
      </xdr:nvCxnSpPr>
      <xdr:spPr>
        <a:xfrm>
          <a:off x="3486150" y="290474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158</xdr:row>
      <xdr:rowOff>127000</xdr:rowOff>
    </xdr:from>
    <xdr:to>
      <xdr:col>5</xdr:col>
      <xdr:colOff>356810</xdr:colOff>
      <xdr:row>158</xdr:row>
      <xdr:rowOff>409912</xdr:rowOff>
    </xdr:to>
    <xdr:cxnSp macro="">
      <xdr:nvCxnSpPr>
        <xdr:cNvPr id="563" name="Straight Connector 562">
          <a:extLst>
            <a:ext uri="{FF2B5EF4-FFF2-40B4-BE49-F238E27FC236}">
              <a16:creationId xmlns:a16="http://schemas.microsoft.com/office/drawing/2014/main" id="{00000000-0008-0000-0700-000033020000}"/>
            </a:ext>
          </a:extLst>
        </xdr:cNvPr>
        <xdr:cNvCxnSpPr/>
      </xdr:nvCxnSpPr>
      <xdr:spPr>
        <a:xfrm flipH="1" flipV="1">
          <a:off x="3481009" y="290220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158</xdr:row>
      <xdr:rowOff>134252</xdr:rowOff>
    </xdr:from>
    <xdr:to>
      <xdr:col>5</xdr:col>
      <xdr:colOff>1652211</xdr:colOff>
      <xdr:row>158</xdr:row>
      <xdr:rowOff>417164</xdr:rowOff>
    </xdr:to>
    <xdr:cxnSp macro="">
      <xdr:nvCxnSpPr>
        <xdr:cNvPr id="564" name="Straight Connector 563">
          <a:extLst>
            <a:ext uri="{FF2B5EF4-FFF2-40B4-BE49-F238E27FC236}">
              <a16:creationId xmlns:a16="http://schemas.microsoft.com/office/drawing/2014/main" id="{00000000-0008-0000-0700-000034020000}"/>
            </a:ext>
          </a:extLst>
        </xdr:cNvPr>
        <xdr:cNvCxnSpPr/>
      </xdr:nvCxnSpPr>
      <xdr:spPr>
        <a:xfrm flipH="1" flipV="1">
          <a:off x="3747710" y="290292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159</xdr:row>
      <xdr:rowOff>123824</xdr:rowOff>
    </xdr:from>
    <xdr:to>
      <xdr:col>5</xdr:col>
      <xdr:colOff>1428750</xdr:colOff>
      <xdr:row>159</xdr:row>
      <xdr:rowOff>1219199</xdr:rowOff>
    </xdr:to>
    <xdr:sp macro="" textlink="">
      <xdr:nvSpPr>
        <xdr:cNvPr id="565" name="Rounded Rectangle 564">
          <a:extLst>
            <a:ext uri="{FF2B5EF4-FFF2-40B4-BE49-F238E27FC236}">
              <a16:creationId xmlns:a16="http://schemas.microsoft.com/office/drawing/2014/main" id="{00000000-0008-0000-0700-000035020000}"/>
            </a:ext>
          </a:extLst>
        </xdr:cNvPr>
        <xdr:cNvSpPr/>
      </xdr:nvSpPr>
      <xdr:spPr>
        <a:xfrm>
          <a:off x="3745230" y="292017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159</xdr:row>
      <xdr:rowOff>238127</xdr:rowOff>
    </xdr:from>
    <xdr:to>
      <xdr:col>5</xdr:col>
      <xdr:colOff>790575</xdr:colOff>
      <xdr:row>159</xdr:row>
      <xdr:rowOff>361950</xdr:rowOff>
    </xdr:to>
    <xdr:cxnSp macro="">
      <xdr:nvCxnSpPr>
        <xdr:cNvPr id="566" name="Straight Connector 565">
          <a:extLst>
            <a:ext uri="{FF2B5EF4-FFF2-40B4-BE49-F238E27FC236}">
              <a16:creationId xmlns:a16="http://schemas.microsoft.com/office/drawing/2014/main" id="{00000000-0008-0000-0700-000036020000}"/>
            </a:ext>
          </a:extLst>
        </xdr:cNvPr>
        <xdr:cNvCxnSpPr/>
      </xdr:nvCxnSpPr>
      <xdr:spPr>
        <a:xfrm flipH="1" flipV="1">
          <a:off x="3749041" y="292627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159</xdr:row>
      <xdr:rowOff>133352</xdr:rowOff>
    </xdr:from>
    <xdr:to>
      <xdr:col>5</xdr:col>
      <xdr:colOff>885825</xdr:colOff>
      <xdr:row>159</xdr:row>
      <xdr:rowOff>257175</xdr:rowOff>
    </xdr:to>
    <xdr:cxnSp macro="">
      <xdr:nvCxnSpPr>
        <xdr:cNvPr id="567" name="Straight Connector 566">
          <a:extLst>
            <a:ext uri="{FF2B5EF4-FFF2-40B4-BE49-F238E27FC236}">
              <a16:creationId xmlns:a16="http://schemas.microsoft.com/office/drawing/2014/main" id="{00000000-0008-0000-0700-000037020000}"/>
            </a:ext>
          </a:extLst>
        </xdr:cNvPr>
        <xdr:cNvCxnSpPr/>
      </xdr:nvCxnSpPr>
      <xdr:spPr>
        <a:xfrm flipH="1" flipV="1">
          <a:off x="3745231" y="292112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157</xdr:row>
      <xdr:rowOff>127000</xdr:rowOff>
    </xdr:from>
    <xdr:to>
      <xdr:col>5</xdr:col>
      <xdr:colOff>356235</xdr:colOff>
      <xdr:row>157</xdr:row>
      <xdr:rowOff>309880</xdr:rowOff>
    </xdr:to>
    <xdr:cxnSp macro="">
      <xdr:nvCxnSpPr>
        <xdr:cNvPr id="568" name="Straight Connector 567">
          <a:extLst>
            <a:ext uri="{FF2B5EF4-FFF2-40B4-BE49-F238E27FC236}">
              <a16:creationId xmlns:a16="http://schemas.microsoft.com/office/drawing/2014/main" id="{00000000-0008-0000-0700-000038020000}"/>
            </a:ext>
          </a:extLst>
        </xdr:cNvPr>
        <xdr:cNvCxnSpPr/>
      </xdr:nvCxnSpPr>
      <xdr:spPr>
        <a:xfrm flipH="1" flipV="1">
          <a:off x="3480435" y="28839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157</xdr:row>
      <xdr:rowOff>400050</xdr:rowOff>
    </xdr:from>
    <xdr:to>
      <xdr:col>5</xdr:col>
      <xdr:colOff>1666875</xdr:colOff>
      <xdr:row>157</xdr:row>
      <xdr:rowOff>400050</xdr:rowOff>
    </xdr:to>
    <xdr:cxnSp macro="">
      <xdr:nvCxnSpPr>
        <xdr:cNvPr id="569" name="Straight Connector 568">
          <a:extLst>
            <a:ext uri="{FF2B5EF4-FFF2-40B4-BE49-F238E27FC236}">
              <a16:creationId xmlns:a16="http://schemas.microsoft.com/office/drawing/2014/main" id="{00000000-0008-0000-0700-000039020000}"/>
            </a:ext>
          </a:extLst>
        </xdr:cNvPr>
        <xdr:cNvCxnSpPr/>
      </xdr:nvCxnSpPr>
      <xdr:spPr>
        <a:xfrm>
          <a:off x="3476625" y="288912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157</xdr:row>
      <xdr:rowOff>127000</xdr:rowOff>
    </xdr:from>
    <xdr:to>
      <xdr:col>5</xdr:col>
      <xdr:colOff>356810</xdr:colOff>
      <xdr:row>157</xdr:row>
      <xdr:rowOff>409912</xdr:rowOff>
    </xdr:to>
    <xdr:cxnSp macro="">
      <xdr:nvCxnSpPr>
        <xdr:cNvPr id="570" name="Straight Connector 569">
          <a:extLst>
            <a:ext uri="{FF2B5EF4-FFF2-40B4-BE49-F238E27FC236}">
              <a16:creationId xmlns:a16="http://schemas.microsoft.com/office/drawing/2014/main" id="{00000000-0008-0000-0700-00003A020000}"/>
            </a:ext>
          </a:extLst>
        </xdr:cNvPr>
        <xdr:cNvCxnSpPr/>
      </xdr:nvCxnSpPr>
      <xdr:spPr>
        <a:xfrm flipH="1" flipV="1">
          <a:off x="3481009" y="28839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157</xdr:row>
      <xdr:rowOff>134252</xdr:rowOff>
    </xdr:from>
    <xdr:to>
      <xdr:col>5</xdr:col>
      <xdr:colOff>1652211</xdr:colOff>
      <xdr:row>157</xdr:row>
      <xdr:rowOff>417164</xdr:rowOff>
    </xdr:to>
    <xdr:cxnSp macro="">
      <xdr:nvCxnSpPr>
        <xdr:cNvPr id="571" name="Straight Connector 570">
          <a:extLst>
            <a:ext uri="{FF2B5EF4-FFF2-40B4-BE49-F238E27FC236}">
              <a16:creationId xmlns:a16="http://schemas.microsoft.com/office/drawing/2014/main" id="{00000000-0008-0000-0700-00003B020000}"/>
            </a:ext>
          </a:extLst>
        </xdr:cNvPr>
        <xdr:cNvCxnSpPr/>
      </xdr:nvCxnSpPr>
      <xdr:spPr>
        <a:xfrm flipH="1" flipV="1">
          <a:off x="3747710" y="28846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158</xdr:row>
      <xdr:rowOff>127000</xdr:rowOff>
    </xdr:from>
    <xdr:to>
      <xdr:col>5</xdr:col>
      <xdr:colOff>356235</xdr:colOff>
      <xdr:row>158</xdr:row>
      <xdr:rowOff>309880</xdr:rowOff>
    </xdr:to>
    <xdr:cxnSp macro="">
      <xdr:nvCxnSpPr>
        <xdr:cNvPr id="572" name="Straight Connector 571">
          <a:extLst>
            <a:ext uri="{FF2B5EF4-FFF2-40B4-BE49-F238E27FC236}">
              <a16:creationId xmlns:a16="http://schemas.microsoft.com/office/drawing/2014/main" id="{00000000-0008-0000-0700-00003C020000}"/>
            </a:ext>
          </a:extLst>
        </xdr:cNvPr>
        <xdr:cNvCxnSpPr/>
      </xdr:nvCxnSpPr>
      <xdr:spPr>
        <a:xfrm flipH="1" flipV="1">
          <a:off x="3480435" y="290220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158</xdr:row>
      <xdr:rowOff>152400</xdr:rowOff>
    </xdr:from>
    <xdr:to>
      <xdr:col>5</xdr:col>
      <xdr:colOff>1676400</xdr:colOff>
      <xdr:row>158</xdr:row>
      <xdr:rowOff>152400</xdr:rowOff>
    </xdr:to>
    <xdr:cxnSp macro="">
      <xdr:nvCxnSpPr>
        <xdr:cNvPr id="573" name="Straight Connector 572">
          <a:extLst>
            <a:ext uri="{FF2B5EF4-FFF2-40B4-BE49-F238E27FC236}">
              <a16:creationId xmlns:a16="http://schemas.microsoft.com/office/drawing/2014/main" id="{00000000-0008-0000-0700-00003D020000}"/>
            </a:ext>
          </a:extLst>
        </xdr:cNvPr>
        <xdr:cNvCxnSpPr/>
      </xdr:nvCxnSpPr>
      <xdr:spPr>
        <a:xfrm>
          <a:off x="3486150" y="290474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158</xdr:row>
      <xdr:rowOff>127000</xdr:rowOff>
    </xdr:from>
    <xdr:to>
      <xdr:col>5</xdr:col>
      <xdr:colOff>356810</xdr:colOff>
      <xdr:row>158</xdr:row>
      <xdr:rowOff>409912</xdr:rowOff>
    </xdr:to>
    <xdr:cxnSp macro="">
      <xdr:nvCxnSpPr>
        <xdr:cNvPr id="574" name="Straight Connector 573">
          <a:extLst>
            <a:ext uri="{FF2B5EF4-FFF2-40B4-BE49-F238E27FC236}">
              <a16:creationId xmlns:a16="http://schemas.microsoft.com/office/drawing/2014/main" id="{00000000-0008-0000-0700-00003E020000}"/>
            </a:ext>
          </a:extLst>
        </xdr:cNvPr>
        <xdr:cNvCxnSpPr/>
      </xdr:nvCxnSpPr>
      <xdr:spPr>
        <a:xfrm flipH="1" flipV="1">
          <a:off x="3481009" y="290220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158</xdr:row>
      <xdr:rowOff>134252</xdr:rowOff>
    </xdr:from>
    <xdr:to>
      <xdr:col>5</xdr:col>
      <xdr:colOff>1652211</xdr:colOff>
      <xdr:row>158</xdr:row>
      <xdr:rowOff>417164</xdr:rowOff>
    </xdr:to>
    <xdr:cxnSp macro="">
      <xdr:nvCxnSpPr>
        <xdr:cNvPr id="575" name="Straight Connector 574">
          <a:extLst>
            <a:ext uri="{FF2B5EF4-FFF2-40B4-BE49-F238E27FC236}">
              <a16:creationId xmlns:a16="http://schemas.microsoft.com/office/drawing/2014/main" id="{00000000-0008-0000-0700-00003F020000}"/>
            </a:ext>
          </a:extLst>
        </xdr:cNvPr>
        <xdr:cNvCxnSpPr/>
      </xdr:nvCxnSpPr>
      <xdr:spPr>
        <a:xfrm flipH="1" flipV="1">
          <a:off x="3747710" y="290292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159</xdr:row>
      <xdr:rowOff>123824</xdr:rowOff>
    </xdr:from>
    <xdr:to>
      <xdr:col>5</xdr:col>
      <xdr:colOff>1428750</xdr:colOff>
      <xdr:row>159</xdr:row>
      <xdr:rowOff>1219199</xdr:rowOff>
    </xdr:to>
    <xdr:sp macro="" textlink="">
      <xdr:nvSpPr>
        <xdr:cNvPr id="576" name="Rounded Rectangle 575">
          <a:extLst>
            <a:ext uri="{FF2B5EF4-FFF2-40B4-BE49-F238E27FC236}">
              <a16:creationId xmlns:a16="http://schemas.microsoft.com/office/drawing/2014/main" id="{00000000-0008-0000-0700-000040020000}"/>
            </a:ext>
          </a:extLst>
        </xdr:cNvPr>
        <xdr:cNvSpPr/>
      </xdr:nvSpPr>
      <xdr:spPr>
        <a:xfrm>
          <a:off x="3745230" y="292017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159</xdr:row>
      <xdr:rowOff>238127</xdr:rowOff>
    </xdr:from>
    <xdr:to>
      <xdr:col>5</xdr:col>
      <xdr:colOff>790575</xdr:colOff>
      <xdr:row>159</xdr:row>
      <xdr:rowOff>361950</xdr:rowOff>
    </xdr:to>
    <xdr:cxnSp macro="">
      <xdr:nvCxnSpPr>
        <xdr:cNvPr id="577" name="Straight Connector 576">
          <a:extLst>
            <a:ext uri="{FF2B5EF4-FFF2-40B4-BE49-F238E27FC236}">
              <a16:creationId xmlns:a16="http://schemas.microsoft.com/office/drawing/2014/main" id="{00000000-0008-0000-0700-000041020000}"/>
            </a:ext>
          </a:extLst>
        </xdr:cNvPr>
        <xdr:cNvCxnSpPr/>
      </xdr:nvCxnSpPr>
      <xdr:spPr>
        <a:xfrm flipH="1" flipV="1">
          <a:off x="3749041" y="292627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159</xdr:row>
      <xdr:rowOff>133352</xdr:rowOff>
    </xdr:from>
    <xdr:to>
      <xdr:col>5</xdr:col>
      <xdr:colOff>885825</xdr:colOff>
      <xdr:row>159</xdr:row>
      <xdr:rowOff>257175</xdr:rowOff>
    </xdr:to>
    <xdr:cxnSp macro="">
      <xdr:nvCxnSpPr>
        <xdr:cNvPr id="578" name="Straight Connector 577">
          <a:extLst>
            <a:ext uri="{FF2B5EF4-FFF2-40B4-BE49-F238E27FC236}">
              <a16:creationId xmlns:a16="http://schemas.microsoft.com/office/drawing/2014/main" id="{00000000-0008-0000-0700-000042020000}"/>
            </a:ext>
          </a:extLst>
        </xdr:cNvPr>
        <xdr:cNvCxnSpPr/>
      </xdr:nvCxnSpPr>
      <xdr:spPr>
        <a:xfrm flipH="1" flipV="1">
          <a:off x="3745231" y="292112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157</xdr:row>
      <xdr:rowOff>127000</xdr:rowOff>
    </xdr:from>
    <xdr:to>
      <xdr:col>5</xdr:col>
      <xdr:colOff>356235</xdr:colOff>
      <xdr:row>157</xdr:row>
      <xdr:rowOff>309880</xdr:rowOff>
    </xdr:to>
    <xdr:cxnSp macro="">
      <xdr:nvCxnSpPr>
        <xdr:cNvPr id="579" name="Straight Connector 578">
          <a:extLst>
            <a:ext uri="{FF2B5EF4-FFF2-40B4-BE49-F238E27FC236}">
              <a16:creationId xmlns:a16="http://schemas.microsoft.com/office/drawing/2014/main" id="{00000000-0008-0000-0700-000043020000}"/>
            </a:ext>
          </a:extLst>
        </xdr:cNvPr>
        <xdr:cNvCxnSpPr/>
      </xdr:nvCxnSpPr>
      <xdr:spPr>
        <a:xfrm flipH="1" flipV="1">
          <a:off x="3480435" y="28839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157</xdr:row>
      <xdr:rowOff>400050</xdr:rowOff>
    </xdr:from>
    <xdr:to>
      <xdr:col>5</xdr:col>
      <xdr:colOff>1666875</xdr:colOff>
      <xdr:row>157</xdr:row>
      <xdr:rowOff>400050</xdr:rowOff>
    </xdr:to>
    <xdr:cxnSp macro="">
      <xdr:nvCxnSpPr>
        <xdr:cNvPr id="580" name="Straight Connector 579">
          <a:extLst>
            <a:ext uri="{FF2B5EF4-FFF2-40B4-BE49-F238E27FC236}">
              <a16:creationId xmlns:a16="http://schemas.microsoft.com/office/drawing/2014/main" id="{00000000-0008-0000-0700-000044020000}"/>
            </a:ext>
          </a:extLst>
        </xdr:cNvPr>
        <xdr:cNvCxnSpPr/>
      </xdr:nvCxnSpPr>
      <xdr:spPr>
        <a:xfrm>
          <a:off x="3476625" y="288912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157</xdr:row>
      <xdr:rowOff>127000</xdr:rowOff>
    </xdr:from>
    <xdr:to>
      <xdr:col>5</xdr:col>
      <xdr:colOff>356810</xdr:colOff>
      <xdr:row>157</xdr:row>
      <xdr:rowOff>409912</xdr:rowOff>
    </xdr:to>
    <xdr:cxnSp macro="">
      <xdr:nvCxnSpPr>
        <xdr:cNvPr id="581" name="Straight Connector 580">
          <a:extLst>
            <a:ext uri="{FF2B5EF4-FFF2-40B4-BE49-F238E27FC236}">
              <a16:creationId xmlns:a16="http://schemas.microsoft.com/office/drawing/2014/main" id="{00000000-0008-0000-0700-000045020000}"/>
            </a:ext>
          </a:extLst>
        </xdr:cNvPr>
        <xdr:cNvCxnSpPr/>
      </xdr:nvCxnSpPr>
      <xdr:spPr>
        <a:xfrm flipH="1" flipV="1">
          <a:off x="3481009" y="28839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157</xdr:row>
      <xdr:rowOff>134252</xdr:rowOff>
    </xdr:from>
    <xdr:to>
      <xdr:col>5</xdr:col>
      <xdr:colOff>1652211</xdr:colOff>
      <xdr:row>157</xdr:row>
      <xdr:rowOff>417164</xdr:rowOff>
    </xdr:to>
    <xdr:cxnSp macro="">
      <xdr:nvCxnSpPr>
        <xdr:cNvPr id="582" name="Straight Connector 581">
          <a:extLst>
            <a:ext uri="{FF2B5EF4-FFF2-40B4-BE49-F238E27FC236}">
              <a16:creationId xmlns:a16="http://schemas.microsoft.com/office/drawing/2014/main" id="{00000000-0008-0000-0700-000046020000}"/>
            </a:ext>
          </a:extLst>
        </xdr:cNvPr>
        <xdr:cNvCxnSpPr/>
      </xdr:nvCxnSpPr>
      <xdr:spPr>
        <a:xfrm flipH="1" flipV="1">
          <a:off x="3747710" y="28846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158</xdr:row>
      <xdr:rowOff>127000</xdr:rowOff>
    </xdr:from>
    <xdr:to>
      <xdr:col>5</xdr:col>
      <xdr:colOff>356235</xdr:colOff>
      <xdr:row>158</xdr:row>
      <xdr:rowOff>309880</xdr:rowOff>
    </xdr:to>
    <xdr:cxnSp macro="">
      <xdr:nvCxnSpPr>
        <xdr:cNvPr id="583" name="Straight Connector 582">
          <a:extLst>
            <a:ext uri="{FF2B5EF4-FFF2-40B4-BE49-F238E27FC236}">
              <a16:creationId xmlns:a16="http://schemas.microsoft.com/office/drawing/2014/main" id="{00000000-0008-0000-0700-000047020000}"/>
            </a:ext>
          </a:extLst>
        </xdr:cNvPr>
        <xdr:cNvCxnSpPr/>
      </xdr:nvCxnSpPr>
      <xdr:spPr>
        <a:xfrm flipH="1" flipV="1">
          <a:off x="3480435" y="290220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158</xdr:row>
      <xdr:rowOff>152400</xdr:rowOff>
    </xdr:from>
    <xdr:to>
      <xdr:col>5</xdr:col>
      <xdr:colOff>1676400</xdr:colOff>
      <xdr:row>158</xdr:row>
      <xdr:rowOff>152400</xdr:rowOff>
    </xdr:to>
    <xdr:cxnSp macro="">
      <xdr:nvCxnSpPr>
        <xdr:cNvPr id="584" name="Straight Connector 583">
          <a:extLst>
            <a:ext uri="{FF2B5EF4-FFF2-40B4-BE49-F238E27FC236}">
              <a16:creationId xmlns:a16="http://schemas.microsoft.com/office/drawing/2014/main" id="{00000000-0008-0000-0700-000048020000}"/>
            </a:ext>
          </a:extLst>
        </xdr:cNvPr>
        <xdr:cNvCxnSpPr/>
      </xdr:nvCxnSpPr>
      <xdr:spPr>
        <a:xfrm>
          <a:off x="3486150" y="290474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158</xdr:row>
      <xdr:rowOff>127000</xdr:rowOff>
    </xdr:from>
    <xdr:to>
      <xdr:col>5</xdr:col>
      <xdr:colOff>356810</xdr:colOff>
      <xdr:row>158</xdr:row>
      <xdr:rowOff>409912</xdr:rowOff>
    </xdr:to>
    <xdr:cxnSp macro="">
      <xdr:nvCxnSpPr>
        <xdr:cNvPr id="585" name="Straight Connector 584">
          <a:extLst>
            <a:ext uri="{FF2B5EF4-FFF2-40B4-BE49-F238E27FC236}">
              <a16:creationId xmlns:a16="http://schemas.microsoft.com/office/drawing/2014/main" id="{00000000-0008-0000-0700-000049020000}"/>
            </a:ext>
          </a:extLst>
        </xdr:cNvPr>
        <xdr:cNvCxnSpPr/>
      </xdr:nvCxnSpPr>
      <xdr:spPr>
        <a:xfrm flipH="1" flipV="1">
          <a:off x="3481009" y="290220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158</xdr:row>
      <xdr:rowOff>134252</xdr:rowOff>
    </xdr:from>
    <xdr:to>
      <xdr:col>5</xdr:col>
      <xdr:colOff>1652211</xdr:colOff>
      <xdr:row>158</xdr:row>
      <xdr:rowOff>417164</xdr:rowOff>
    </xdr:to>
    <xdr:cxnSp macro="">
      <xdr:nvCxnSpPr>
        <xdr:cNvPr id="586" name="Straight Connector 585">
          <a:extLst>
            <a:ext uri="{FF2B5EF4-FFF2-40B4-BE49-F238E27FC236}">
              <a16:creationId xmlns:a16="http://schemas.microsoft.com/office/drawing/2014/main" id="{00000000-0008-0000-0700-00004A020000}"/>
            </a:ext>
          </a:extLst>
        </xdr:cNvPr>
        <xdr:cNvCxnSpPr/>
      </xdr:nvCxnSpPr>
      <xdr:spPr>
        <a:xfrm flipH="1" flipV="1">
          <a:off x="3747710" y="290292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159</xdr:row>
      <xdr:rowOff>123824</xdr:rowOff>
    </xdr:from>
    <xdr:to>
      <xdr:col>5</xdr:col>
      <xdr:colOff>1428750</xdr:colOff>
      <xdr:row>159</xdr:row>
      <xdr:rowOff>1219199</xdr:rowOff>
    </xdr:to>
    <xdr:sp macro="" textlink="">
      <xdr:nvSpPr>
        <xdr:cNvPr id="587" name="Rounded Rectangle 586">
          <a:extLst>
            <a:ext uri="{FF2B5EF4-FFF2-40B4-BE49-F238E27FC236}">
              <a16:creationId xmlns:a16="http://schemas.microsoft.com/office/drawing/2014/main" id="{00000000-0008-0000-0700-00004B020000}"/>
            </a:ext>
          </a:extLst>
        </xdr:cNvPr>
        <xdr:cNvSpPr/>
      </xdr:nvSpPr>
      <xdr:spPr>
        <a:xfrm>
          <a:off x="3745230" y="292017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159</xdr:row>
      <xdr:rowOff>238127</xdr:rowOff>
    </xdr:from>
    <xdr:to>
      <xdr:col>5</xdr:col>
      <xdr:colOff>790575</xdr:colOff>
      <xdr:row>159</xdr:row>
      <xdr:rowOff>361950</xdr:rowOff>
    </xdr:to>
    <xdr:cxnSp macro="">
      <xdr:nvCxnSpPr>
        <xdr:cNvPr id="588" name="Straight Connector 587">
          <a:extLst>
            <a:ext uri="{FF2B5EF4-FFF2-40B4-BE49-F238E27FC236}">
              <a16:creationId xmlns:a16="http://schemas.microsoft.com/office/drawing/2014/main" id="{00000000-0008-0000-0700-00004C020000}"/>
            </a:ext>
          </a:extLst>
        </xdr:cNvPr>
        <xdr:cNvCxnSpPr/>
      </xdr:nvCxnSpPr>
      <xdr:spPr>
        <a:xfrm flipH="1" flipV="1">
          <a:off x="3749041" y="292627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159</xdr:row>
      <xdr:rowOff>133352</xdr:rowOff>
    </xdr:from>
    <xdr:to>
      <xdr:col>5</xdr:col>
      <xdr:colOff>885825</xdr:colOff>
      <xdr:row>159</xdr:row>
      <xdr:rowOff>257175</xdr:rowOff>
    </xdr:to>
    <xdr:cxnSp macro="">
      <xdr:nvCxnSpPr>
        <xdr:cNvPr id="589" name="Straight Connector 588">
          <a:extLst>
            <a:ext uri="{FF2B5EF4-FFF2-40B4-BE49-F238E27FC236}">
              <a16:creationId xmlns:a16="http://schemas.microsoft.com/office/drawing/2014/main" id="{00000000-0008-0000-0700-00004D020000}"/>
            </a:ext>
          </a:extLst>
        </xdr:cNvPr>
        <xdr:cNvCxnSpPr/>
      </xdr:nvCxnSpPr>
      <xdr:spPr>
        <a:xfrm flipH="1" flipV="1">
          <a:off x="3745231" y="292112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157</xdr:row>
      <xdr:rowOff>127000</xdr:rowOff>
    </xdr:from>
    <xdr:to>
      <xdr:col>5</xdr:col>
      <xdr:colOff>356235</xdr:colOff>
      <xdr:row>157</xdr:row>
      <xdr:rowOff>309880</xdr:rowOff>
    </xdr:to>
    <xdr:cxnSp macro="">
      <xdr:nvCxnSpPr>
        <xdr:cNvPr id="590" name="Straight Connector 589">
          <a:extLst>
            <a:ext uri="{FF2B5EF4-FFF2-40B4-BE49-F238E27FC236}">
              <a16:creationId xmlns:a16="http://schemas.microsoft.com/office/drawing/2014/main" id="{00000000-0008-0000-0700-00004E020000}"/>
            </a:ext>
          </a:extLst>
        </xdr:cNvPr>
        <xdr:cNvCxnSpPr/>
      </xdr:nvCxnSpPr>
      <xdr:spPr>
        <a:xfrm flipH="1" flipV="1">
          <a:off x="3480435" y="28839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157</xdr:row>
      <xdr:rowOff>400050</xdr:rowOff>
    </xdr:from>
    <xdr:to>
      <xdr:col>5</xdr:col>
      <xdr:colOff>1666875</xdr:colOff>
      <xdr:row>157</xdr:row>
      <xdr:rowOff>400050</xdr:rowOff>
    </xdr:to>
    <xdr:cxnSp macro="">
      <xdr:nvCxnSpPr>
        <xdr:cNvPr id="591" name="Straight Connector 590">
          <a:extLst>
            <a:ext uri="{FF2B5EF4-FFF2-40B4-BE49-F238E27FC236}">
              <a16:creationId xmlns:a16="http://schemas.microsoft.com/office/drawing/2014/main" id="{00000000-0008-0000-0700-00004F020000}"/>
            </a:ext>
          </a:extLst>
        </xdr:cNvPr>
        <xdr:cNvCxnSpPr/>
      </xdr:nvCxnSpPr>
      <xdr:spPr>
        <a:xfrm>
          <a:off x="3476625" y="288912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157</xdr:row>
      <xdr:rowOff>127000</xdr:rowOff>
    </xdr:from>
    <xdr:to>
      <xdr:col>5</xdr:col>
      <xdr:colOff>356810</xdr:colOff>
      <xdr:row>157</xdr:row>
      <xdr:rowOff>409912</xdr:rowOff>
    </xdr:to>
    <xdr:cxnSp macro="">
      <xdr:nvCxnSpPr>
        <xdr:cNvPr id="592" name="Straight Connector 591">
          <a:extLst>
            <a:ext uri="{FF2B5EF4-FFF2-40B4-BE49-F238E27FC236}">
              <a16:creationId xmlns:a16="http://schemas.microsoft.com/office/drawing/2014/main" id="{00000000-0008-0000-0700-000050020000}"/>
            </a:ext>
          </a:extLst>
        </xdr:cNvPr>
        <xdr:cNvCxnSpPr/>
      </xdr:nvCxnSpPr>
      <xdr:spPr>
        <a:xfrm flipH="1" flipV="1">
          <a:off x="3481009" y="28839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157</xdr:row>
      <xdr:rowOff>134252</xdr:rowOff>
    </xdr:from>
    <xdr:to>
      <xdr:col>5</xdr:col>
      <xdr:colOff>1652211</xdr:colOff>
      <xdr:row>157</xdr:row>
      <xdr:rowOff>417164</xdr:rowOff>
    </xdr:to>
    <xdr:cxnSp macro="">
      <xdr:nvCxnSpPr>
        <xdr:cNvPr id="593" name="Straight Connector 592">
          <a:extLst>
            <a:ext uri="{FF2B5EF4-FFF2-40B4-BE49-F238E27FC236}">
              <a16:creationId xmlns:a16="http://schemas.microsoft.com/office/drawing/2014/main" id="{00000000-0008-0000-0700-000051020000}"/>
            </a:ext>
          </a:extLst>
        </xdr:cNvPr>
        <xdr:cNvCxnSpPr/>
      </xdr:nvCxnSpPr>
      <xdr:spPr>
        <a:xfrm flipH="1" flipV="1">
          <a:off x="3747710" y="28846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158</xdr:row>
      <xdr:rowOff>127000</xdr:rowOff>
    </xdr:from>
    <xdr:to>
      <xdr:col>5</xdr:col>
      <xdr:colOff>356235</xdr:colOff>
      <xdr:row>158</xdr:row>
      <xdr:rowOff>309880</xdr:rowOff>
    </xdr:to>
    <xdr:cxnSp macro="">
      <xdr:nvCxnSpPr>
        <xdr:cNvPr id="594" name="Straight Connector 593">
          <a:extLst>
            <a:ext uri="{FF2B5EF4-FFF2-40B4-BE49-F238E27FC236}">
              <a16:creationId xmlns:a16="http://schemas.microsoft.com/office/drawing/2014/main" id="{00000000-0008-0000-0700-000052020000}"/>
            </a:ext>
          </a:extLst>
        </xdr:cNvPr>
        <xdr:cNvCxnSpPr/>
      </xdr:nvCxnSpPr>
      <xdr:spPr>
        <a:xfrm flipH="1" flipV="1">
          <a:off x="3480435" y="290220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158</xdr:row>
      <xdr:rowOff>152400</xdr:rowOff>
    </xdr:from>
    <xdr:to>
      <xdr:col>5</xdr:col>
      <xdr:colOff>1676400</xdr:colOff>
      <xdr:row>158</xdr:row>
      <xdr:rowOff>152400</xdr:rowOff>
    </xdr:to>
    <xdr:cxnSp macro="">
      <xdr:nvCxnSpPr>
        <xdr:cNvPr id="595" name="Straight Connector 594">
          <a:extLst>
            <a:ext uri="{FF2B5EF4-FFF2-40B4-BE49-F238E27FC236}">
              <a16:creationId xmlns:a16="http://schemas.microsoft.com/office/drawing/2014/main" id="{00000000-0008-0000-0700-000053020000}"/>
            </a:ext>
          </a:extLst>
        </xdr:cNvPr>
        <xdr:cNvCxnSpPr/>
      </xdr:nvCxnSpPr>
      <xdr:spPr>
        <a:xfrm>
          <a:off x="3486150" y="290474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158</xdr:row>
      <xdr:rowOff>127000</xdr:rowOff>
    </xdr:from>
    <xdr:to>
      <xdr:col>5</xdr:col>
      <xdr:colOff>356810</xdr:colOff>
      <xdr:row>158</xdr:row>
      <xdr:rowOff>409912</xdr:rowOff>
    </xdr:to>
    <xdr:cxnSp macro="">
      <xdr:nvCxnSpPr>
        <xdr:cNvPr id="596" name="Straight Connector 595">
          <a:extLst>
            <a:ext uri="{FF2B5EF4-FFF2-40B4-BE49-F238E27FC236}">
              <a16:creationId xmlns:a16="http://schemas.microsoft.com/office/drawing/2014/main" id="{00000000-0008-0000-0700-000054020000}"/>
            </a:ext>
          </a:extLst>
        </xdr:cNvPr>
        <xdr:cNvCxnSpPr/>
      </xdr:nvCxnSpPr>
      <xdr:spPr>
        <a:xfrm flipH="1" flipV="1">
          <a:off x="3481009" y="290220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159</xdr:row>
      <xdr:rowOff>123824</xdr:rowOff>
    </xdr:from>
    <xdr:to>
      <xdr:col>5</xdr:col>
      <xdr:colOff>1428750</xdr:colOff>
      <xdr:row>159</xdr:row>
      <xdr:rowOff>1219199</xdr:rowOff>
    </xdr:to>
    <xdr:sp macro="" textlink="">
      <xdr:nvSpPr>
        <xdr:cNvPr id="597" name="Rounded Rectangle 596">
          <a:extLst>
            <a:ext uri="{FF2B5EF4-FFF2-40B4-BE49-F238E27FC236}">
              <a16:creationId xmlns:a16="http://schemas.microsoft.com/office/drawing/2014/main" id="{00000000-0008-0000-0700-000055020000}"/>
            </a:ext>
          </a:extLst>
        </xdr:cNvPr>
        <xdr:cNvSpPr/>
      </xdr:nvSpPr>
      <xdr:spPr>
        <a:xfrm>
          <a:off x="3745230" y="292017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159</xdr:row>
      <xdr:rowOff>238127</xdr:rowOff>
    </xdr:from>
    <xdr:to>
      <xdr:col>5</xdr:col>
      <xdr:colOff>790575</xdr:colOff>
      <xdr:row>159</xdr:row>
      <xdr:rowOff>361950</xdr:rowOff>
    </xdr:to>
    <xdr:cxnSp macro="">
      <xdr:nvCxnSpPr>
        <xdr:cNvPr id="598" name="Straight Connector 597">
          <a:extLst>
            <a:ext uri="{FF2B5EF4-FFF2-40B4-BE49-F238E27FC236}">
              <a16:creationId xmlns:a16="http://schemas.microsoft.com/office/drawing/2014/main" id="{00000000-0008-0000-0700-000056020000}"/>
            </a:ext>
          </a:extLst>
        </xdr:cNvPr>
        <xdr:cNvCxnSpPr/>
      </xdr:nvCxnSpPr>
      <xdr:spPr>
        <a:xfrm flipH="1" flipV="1">
          <a:off x="3749041" y="292627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159</xdr:row>
      <xdr:rowOff>133352</xdr:rowOff>
    </xdr:from>
    <xdr:to>
      <xdr:col>5</xdr:col>
      <xdr:colOff>885825</xdr:colOff>
      <xdr:row>159</xdr:row>
      <xdr:rowOff>257175</xdr:rowOff>
    </xdr:to>
    <xdr:cxnSp macro="">
      <xdr:nvCxnSpPr>
        <xdr:cNvPr id="599" name="Straight Connector 598">
          <a:extLst>
            <a:ext uri="{FF2B5EF4-FFF2-40B4-BE49-F238E27FC236}">
              <a16:creationId xmlns:a16="http://schemas.microsoft.com/office/drawing/2014/main" id="{00000000-0008-0000-0700-000057020000}"/>
            </a:ext>
          </a:extLst>
        </xdr:cNvPr>
        <xdr:cNvCxnSpPr/>
      </xdr:nvCxnSpPr>
      <xdr:spPr>
        <a:xfrm flipH="1" flipV="1">
          <a:off x="3745231" y="292112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163</xdr:row>
      <xdr:rowOff>127000</xdr:rowOff>
    </xdr:from>
    <xdr:to>
      <xdr:col>5</xdr:col>
      <xdr:colOff>356235</xdr:colOff>
      <xdr:row>163</xdr:row>
      <xdr:rowOff>309880</xdr:rowOff>
    </xdr:to>
    <xdr:cxnSp macro="">
      <xdr:nvCxnSpPr>
        <xdr:cNvPr id="600" name="Straight Connector 599">
          <a:extLst>
            <a:ext uri="{FF2B5EF4-FFF2-40B4-BE49-F238E27FC236}">
              <a16:creationId xmlns:a16="http://schemas.microsoft.com/office/drawing/2014/main" id="{00000000-0008-0000-0700-000058020000}"/>
            </a:ext>
          </a:extLst>
        </xdr:cNvPr>
        <xdr:cNvCxnSpPr/>
      </xdr:nvCxnSpPr>
      <xdr:spPr>
        <a:xfrm flipH="1" flipV="1">
          <a:off x="3480435" y="29936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163</xdr:row>
      <xdr:rowOff>400050</xdr:rowOff>
    </xdr:from>
    <xdr:to>
      <xdr:col>5</xdr:col>
      <xdr:colOff>1666875</xdr:colOff>
      <xdr:row>163</xdr:row>
      <xdr:rowOff>400050</xdr:rowOff>
    </xdr:to>
    <xdr:cxnSp macro="">
      <xdr:nvCxnSpPr>
        <xdr:cNvPr id="601" name="Straight Connector 600">
          <a:extLst>
            <a:ext uri="{FF2B5EF4-FFF2-40B4-BE49-F238E27FC236}">
              <a16:creationId xmlns:a16="http://schemas.microsoft.com/office/drawing/2014/main" id="{00000000-0008-0000-0700-000059020000}"/>
            </a:ext>
          </a:extLst>
        </xdr:cNvPr>
        <xdr:cNvCxnSpPr/>
      </xdr:nvCxnSpPr>
      <xdr:spPr>
        <a:xfrm>
          <a:off x="3476625" y="299885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163</xdr:row>
      <xdr:rowOff>127000</xdr:rowOff>
    </xdr:from>
    <xdr:to>
      <xdr:col>5</xdr:col>
      <xdr:colOff>356810</xdr:colOff>
      <xdr:row>163</xdr:row>
      <xdr:rowOff>409912</xdr:rowOff>
    </xdr:to>
    <xdr:cxnSp macro="">
      <xdr:nvCxnSpPr>
        <xdr:cNvPr id="602" name="Straight Connector 601">
          <a:extLst>
            <a:ext uri="{FF2B5EF4-FFF2-40B4-BE49-F238E27FC236}">
              <a16:creationId xmlns:a16="http://schemas.microsoft.com/office/drawing/2014/main" id="{00000000-0008-0000-0700-00005A020000}"/>
            </a:ext>
          </a:extLst>
        </xdr:cNvPr>
        <xdr:cNvCxnSpPr/>
      </xdr:nvCxnSpPr>
      <xdr:spPr>
        <a:xfrm flipH="1" flipV="1">
          <a:off x="3481009" y="29936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163</xdr:row>
      <xdr:rowOff>134252</xdr:rowOff>
    </xdr:from>
    <xdr:to>
      <xdr:col>5</xdr:col>
      <xdr:colOff>1652211</xdr:colOff>
      <xdr:row>163</xdr:row>
      <xdr:rowOff>417164</xdr:rowOff>
    </xdr:to>
    <xdr:cxnSp macro="">
      <xdr:nvCxnSpPr>
        <xdr:cNvPr id="603" name="Straight Connector 602">
          <a:extLst>
            <a:ext uri="{FF2B5EF4-FFF2-40B4-BE49-F238E27FC236}">
              <a16:creationId xmlns:a16="http://schemas.microsoft.com/office/drawing/2014/main" id="{00000000-0008-0000-0700-00005B020000}"/>
            </a:ext>
          </a:extLst>
        </xdr:cNvPr>
        <xdr:cNvCxnSpPr/>
      </xdr:nvCxnSpPr>
      <xdr:spPr>
        <a:xfrm flipH="1" flipV="1">
          <a:off x="3747710" y="29943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164</xdr:row>
      <xdr:rowOff>127000</xdr:rowOff>
    </xdr:from>
    <xdr:to>
      <xdr:col>5</xdr:col>
      <xdr:colOff>356235</xdr:colOff>
      <xdr:row>164</xdr:row>
      <xdr:rowOff>309880</xdr:rowOff>
    </xdr:to>
    <xdr:cxnSp macro="">
      <xdr:nvCxnSpPr>
        <xdr:cNvPr id="604" name="Straight Connector 603">
          <a:extLst>
            <a:ext uri="{FF2B5EF4-FFF2-40B4-BE49-F238E27FC236}">
              <a16:creationId xmlns:a16="http://schemas.microsoft.com/office/drawing/2014/main" id="{00000000-0008-0000-0700-00005C020000}"/>
            </a:ext>
          </a:extLst>
        </xdr:cNvPr>
        <xdr:cNvCxnSpPr/>
      </xdr:nvCxnSpPr>
      <xdr:spPr>
        <a:xfrm flipH="1" flipV="1">
          <a:off x="3480435" y="301193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164</xdr:row>
      <xdr:rowOff>152400</xdr:rowOff>
    </xdr:from>
    <xdr:to>
      <xdr:col>5</xdr:col>
      <xdr:colOff>1676400</xdr:colOff>
      <xdr:row>164</xdr:row>
      <xdr:rowOff>152400</xdr:rowOff>
    </xdr:to>
    <xdr:cxnSp macro="">
      <xdr:nvCxnSpPr>
        <xdr:cNvPr id="605" name="Straight Connector 604">
          <a:extLst>
            <a:ext uri="{FF2B5EF4-FFF2-40B4-BE49-F238E27FC236}">
              <a16:creationId xmlns:a16="http://schemas.microsoft.com/office/drawing/2014/main" id="{00000000-0008-0000-0700-00005D020000}"/>
            </a:ext>
          </a:extLst>
        </xdr:cNvPr>
        <xdr:cNvCxnSpPr/>
      </xdr:nvCxnSpPr>
      <xdr:spPr>
        <a:xfrm>
          <a:off x="3486150" y="301447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164</xdr:row>
      <xdr:rowOff>127000</xdr:rowOff>
    </xdr:from>
    <xdr:to>
      <xdr:col>5</xdr:col>
      <xdr:colOff>356810</xdr:colOff>
      <xdr:row>164</xdr:row>
      <xdr:rowOff>409912</xdr:rowOff>
    </xdr:to>
    <xdr:cxnSp macro="">
      <xdr:nvCxnSpPr>
        <xdr:cNvPr id="606" name="Straight Connector 605">
          <a:extLst>
            <a:ext uri="{FF2B5EF4-FFF2-40B4-BE49-F238E27FC236}">
              <a16:creationId xmlns:a16="http://schemas.microsoft.com/office/drawing/2014/main" id="{00000000-0008-0000-0700-00005E020000}"/>
            </a:ext>
          </a:extLst>
        </xdr:cNvPr>
        <xdr:cNvCxnSpPr/>
      </xdr:nvCxnSpPr>
      <xdr:spPr>
        <a:xfrm flipH="1" flipV="1">
          <a:off x="3481009" y="301193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164</xdr:row>
      <xdr:rowOff>134252</xdr:rowOff>
    </xdr:from>
    <xdr:to>
      <xdr:col>5</xdr:col>
      <xdr:colOff>1652211</xdr:colOff>
      <xdr:row>164</xdr:row>
      <xdr:rowOff>417164</xdr:rowOff>
    </xdr:to>
    <xdr:cxnSp macro="">
      <xdr:nvCxnSpPr>
        <xdr:cNvPr id="607" name="Straight Connector 606">
          <a:extLst>
            <a:ext uri="{FF2B5EF4-FFF2-40B4-BE49-F238E27FC236}">
              <a16:creationId xmlns:a16="http://schemas.microsoft.com/office/drawing/2014/main" id="{00000000-0008-0000-0700-00005F020000}"/>
            </a:ext>
          </a:extLst>
        </xdr:cNvPr>
        <xdr:cNvCxnSpPr/>
      </xdr:nvCxnSpPr>
      <xdr:spPr>
        <a:xfrm flipH="1" flipV="1">
          <a:off x="3747710" y="301265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165</xdr:row>
      <xdr:rowOff>123824</xdr:rowOff>
    </xdr:from>
    <xdr:to>
      <xdr:col>5</xdr:col>
      <xdr:colOff>1428750</xdr:colOff>
      <xdr:row>165</xdr:row>
      <xdr:rowOff>1219199</xdr:rowOff>
    </xdr:to>
    <xdr:sp macro="" textlink="">
      <xdr:nvSpPr>
        <xdr:cNvPr id="608" name="Rounded Rectangle 607">
          <a:extLst>
            <a:ext uri="{FF2B5EF4-FFF2-40B4-BE49-F238E27FC236}">
              <a16:creationId xmlns:a16="http://schemas.microsoft.com/office/drawing/2014/main" id="{00000000-0008-0000-0700-000060020000}"/>
            </a:ext>
          </a:extLst>
        </xdr:cNvPr>
        <xdr:cNvSpPr/>
      </xdr:nvSpPr>
      <xdr:spPr>
        <a:xfrm>
          <a:off x="3745230" y="302990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165</xdr:row>
      <xdr:rowOff>238127</xdr:rowOff>
    </xdr:from>
    <xdr:to>
      <xdr:col>5</xdr:col>
      <xdr:colOff>790575</xdr:colOff>
      <xdr:row>165</xdr:row>
      <xdr:rowOff>361950</xdr:rowOff>
    </xdr:to>
    <xdr:cxnSp macro="">
      <xdr:nvCxnSpPr>
        <xdr:cNvPr id="609" name="Straight Connector 608">
          <a:extLst>
            <a:ext uri="{FF2B5EF4-FFF2-40B4-BE49-F238E27FC236}">
              <a16:creationId xmlns:a16="http://schemas.microsoft.com/office/drawing/2014/main" id="{00000000-0008-0000-0700-000061020000}"/>
            </a:ext>
          </a:extLst>
        </xdr:cNvPr>
        <xdr:cNvCxnSpPr/>
      </xdr:nvCxnSpPr>
      <xdr:spPr>
        <a:xfrm flipH="1" flipV="1">
          <a:off x="3749041" y="303599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165</xdr:row>
      <xdr:rowOff>133352</xdr:rowOff>
    </xdr:from>
    <xdr:to>
      <xdr:col>5</xdr:col>
      <xdr:colOff>885825</xdr:colOff>
      <xdr:row>165</xdr:row>
      <xdr:rowOff>257175</xdr:rowOff>
    </xdr:to>
    <xdr:cxnSp macro="">
      <xdr:nvCxnSpPr>
        <xdr:cNvPr id="610" name="Straight Connector 609">
          <a:extLst>
            <a:ext uri="{FF2B5EF4-FFF2-40B4-BE49-F238E27FC236}">
              <a16:creationId xmlns:a16="http://schemas.microsoft.com/office/drawing/2014/main" id="{00000000-0008-0000-0700-000062020000}"/>
            </a:ext>
          </a:extLst>
        </xdr:cNvPr>
        <xdr:cNvCxnSpPr/>
      </xdr:nvCxnSpPr>
      <xdr:spPr>
        <a:xfrm flipH="1" flipV="1">
          <a:off x="3745231" y="303085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163</xdr:row>
      <xdr:rowOff>127000</xdr:rowOff>
    </xdr:from>
    <xdr:to>
      <xdr:col>5</xdr:col>
      <xdr:colOff>356235</xdr:colOff>
      <xdr:row>163</xdr:row>
      <xdr:rowOff>309880</xdr:rowOff>
    </xdr:to>
    <xdr:cxnSp macro="">
      <xdr:nvCxnSpPr>
        <xdr:cNvPr id="611" name="Straight Connector 610">
          <a:extLst>
            <a:ext uri="{FF2B5EF4-FFF2-40B4-BE49-F238E27FC236}">
              <a16:creationId xmlns:a16="http://schemas.microsoft.com/office/drawing/2014/main" id="{00000000-0008-0000-0700-000063020000}"/>
            </a:ext>
          </a:extLst>
        </xdr:cNvPr>
        <xdr:cNvCxnSpPr/>
      </xdr:nvCxnSpPr>
      <xdr:spPr>
        <a:xfrm flipH="1" flipV="1">
          <a:off x="3480435" y="29936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163</xdr:row>
      <xdr:rowOff>400050</xdr:rowOff>
    </xdr:from>
    <xdr:to>
      <xdr:col>5</xdr:col>
      <xdr:colOff>1666875</xdr:colOff>
      <xdr:row>163</xdr:row>
      <xdr:rowOff>400050</xdr:rowOff>
    </xdr:to>
    <xdr:cxnSp macro="">
      <xdr:nvCxnSpPr>
        <xdr:cNvPr id="612" name="Straight Connector 611">
          <a:extLst>
            <a:ext uri="{FF2B5EF4-FFF2-40B4-BE49-F238E27FC236}">
              <a16:creationId xmlns:a16="http://schemas.microsoft.com/office/drawing/2014/main" id="{00000000-0008-0000-0700-000064020000}"/>
            </a:ext>
          </a:extLst>
        </xdr:cNvPr>
        <xdr:cNvCxnSpPr/>
      </xdr:nvCxnSpPr>
      <xdr:spPr>
        <a:xfrm>
          <a:off x="3476625" y="299885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163</xdr:row>
      <xdr:rowOff>127000</xdr:rowOff>
    </xdr:from>
    <xdr:to>
      <xdr:col>5</xdr:col>
      <xdr:colOff>356810</xdr:colOff>
      <xdr:row>163</xdr:row>
      <xdr:rowOff>409912</xdr:rowOff>
    </xdr:to>
    <xdr:cxnSp macro="">
      <xdr:nvCxnSpPr>
        <xdr:cNvPr id="613" name="Straight Connector 612">
          <a:extLst>
            <a:ext uri="{FF2B5EF4-FFF2-40B4-BE49-F238E27FC236}">
              <a16:creationId xmlns:a16="http://schemas.microsoft.com/office/drawing/2014/main" id="{00000000-0008-0000-0700-000065020000}"/>
            </a:ext>
          </a:extLst>
        </xdr:cNvPr>
        <xdr:cNvCxnSpPr/>
      </xdr:nvCxnSpPr>
      <xdr:spPr>
        <a:xfrm flipH="1" flipV="1">
          <a:off x="3481009" y="29936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163</xdr:row>
      <xdr:rowOff>134252</xdr:rowOff>
    </xdr:from>
    <xdr:to>
      <xdr:col>5</xdr:col>
      <xdr:colOff>1652211</xdr:colOff>
      <xdr:row>163</xdr:row>
      <xdr:rowOff>417164</xdr:rowOff>
    </xdr:to>
    <xdr:cxnSp macro="">
      <xdr:nvCxnSpPr>
        <xdr:cNvPr id="614" name="Straight Connector 613">
          <a:extLst>
            <a:ext uri="{FF2B5EF4-FFF2-40B4-BE49-F238E27FC236}">
              <a16:creationId xmlns:a16="http://schemas.microsoft.com/office/drawing/2014/main" id="{00000000-0008-0000-0700-000066020000}"/>
            </a:ext>
          </a:extLst>
        </xdr:cNvPr>
        <xdr:cNvCxnSpPr/>
      </xdr:nvCxnSpPr>
      <xdr:spPr>
        <a:xfrm flipH="1" flipV="1">
          <a:off x="3747710" y="29943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164</xdr:row>
      <xdr:rowOff>127000</xdr:rowOff>
    </xdr:from>
    <xdr:to>
      <xdr:col>5</xdr:col>
      <xdr:colOff>356235</xdr:colOff>
      <xdr:row>164</xdr:row>
      <xdr:rowOff>309880</xdr:rowOff>
    </xdr:to>
    <xdr:cxnSp macro="">
      <xdr:nvCxnSpPr>
        <xdr:cNvPr id="615" name="Straight Connector 614">
          <a:extLst>
            <a:ext uri="{FF2B5EF4-FFF2-40B4-BE49-F238E27FC236}">
              <a16:creationId xmlns:a16="http://schemas.microsoft.com/office/drawing/2014/main" id="{00000000-0008-0000-0700-000067020000}"/>
            </a:ext>
          </a:extLst>
        </xdr:cNvPr>
        <xdr:cNvCxnSpPr/>
      </xdr:nvCxnSpPr>
      <xdr:spPr>
        <a:xfrm flipH="1" flipV="1">
          <a:off x="3480435" y="301193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164</xdr:row>
      <xdr:rowOff>152400</xdr:rowOff>
    </xdr:from>
    <xdr:to>
      <xdr:col>5</xdr:col>
      <xdr:colOff>1676400</xdr:colOff>
      <xdr:row>164</xdr:row>
      <xdr:rowOff>152400</xdr:rowOff>
    </xdr:to>
    <xdr:cxnSp macro="">
      <xdr:nvCxnSpPr>
        <xdr:cNvPr id="616" name="Straight Connector 615">
          <a:extLst>
            <a:ext uri="{FF2B5EF4-FFF2-40B4-BE49-F238E27FC236}">
              <a16:creationId xmlns:a16="http://schemas.microsoft.com/office/drawing/2014/main" id="{00000000-0008-0000-0700-000068020000}"/>
            </a:ext>
          </a:extLst>
        </xdr:cNvPr>
        <xdr:cNvCxnSpPr/>
      </xdr:nvCxnSpPr>
      <xdr:spPr>
        <a:xfrm>
          <a:off x="3486150" y="301447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164</xdr:row>
      <xdr:rowOff>127000</xdr:rowOff>
    </xdr:from>
    <xdr:to>
      <xdr:col>5</xdr:col>
      <xdr:colOff>356810</xdr:colOff>
      <xdr:row>164</xdr:row>
      <xdr:rowOff>409912</xdr:rowOff>
    </xdr:to>
    <xdr:cxnSp macro="">
      <xdr:nvCxnSpPr>
        <xdr:cNvPr id="617" name="Straight Connector 616">
          <a:extLst>
            <a:ext uri="{FF2B5EF4-FFF2-40B4-BE49-F238E27FC236}">
              <a16:creationId xmlns:a16="http://schemas.microsoft.com/office/drawing/2014/main" id="{00000000-0008-0000-0700-000069020000}"/>
            </a:ext>
          </a:extLst>
        </xdr:cNvPr>
        <xdr:cNvCxnSpPr/>
      </xdr:nvCxnSpPr>
      <xdr:spPr>
        <a:xfrm flipH="1" flipV="1">
          <a:off x="3481009" y="301193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164</xdr:row>
      <xdr:rowOff>134252</xdr:rowOff>
    </xdr:from>
    <xdr:to>
      <xdr:col>5</xdr:col>
      <xdr:colOff>1652211</xdr:colOff>
      <xdr:row>164</xdr:row>
      <xdr:rowOff>417164</xdr:rowOff>
    </xdr:to>
    <xdr:cxnSp macro="">
      <xdr:nvCxnSpPr>
        <xdr:cNvPr id="618" name="Straight Connector 617">
          <a:extLst>
            <a:ext uri="{FF2B5EF4-FFF2-40B4-BE49-F238E27FC236}">
              <a16:creationId xmlns:a16="http://schemas.microsoft.com/office/drawing/2014/main" id="{00000000-0008-0000-0700-00006A020000}"/>
            </a:ext>
          </a:extLst>
        </xdr:cNvPr>
        <xdr:cNvCxnSpPr/>
      </xdr:nvCxnSpPr>
      <xdr:spPr>
        <a:xfrm flipH="1" flipV="1">
          <a:off x="3747710" y="301265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165</xdr:row>
      <xdr:rowOff>123824</xdr:rowOff>
    </xdr:from>
    <xdr:to>
      <xdr:col>5</xdr:col>
      <xdr:colOff>1428750</xdr:colOff>
      <xdr:row>165</xdr:row>
      <xdr:rowOff>1219199</xdr:rowOff>
    </xdr:to>
    <xdr:sp macro="" textlink="">
      <xdr:nvSpPr>
        <xdr:cNvPr id="619" name="Rounded Rectangle 618">
          <a:extLst>
            <a:ext uri="{FF2B5EF4-FFF2-40B4-BE49-F238E27FC236}">
              <a16:creationId xmlns:a16="http://schemas.microsoft.com/office/drawing/2014/main" id="{00000000-0008-0000-0700-00006B020000}"/>
            </a:ext>
          </a:extLst>
        </xdr:cNvPr>
        <xdr:cNvSpPr/>
      </xdr:nvSpPr>
      <xdr:spPr>
        <a:xfrm>
          <a:off x="3745230" y="302990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165</xdr:row>
      <xdr:rowOff>238127</xdr:rowOff>
    </xdr:from>
    <xdr:to>
      <xdr:col>5</xdr:col>
      <xdr:colOff>790575</xdr:colOff>
      <xdr:row>165</xdr:row>
      <xdr:rowOff>361950</xdr:rowOff>
    </xdr:to>
    <xdr:cxnSp macro="">
      <xdr:nvCxnSpPr>
        <xdr:cNvPr id="620" name="Straight Connector 619">
          <a:extLst>
            <a:ext uri="{FF2B5EF4-FFF2-40B4-BE49-F238E27FC236}">
              <a16:creationId xmlns:a16="http://schemas.microsoft.com/office/drawing/2014/main" id="{00000000-0008-0000-0700-00006C020000}"/>
            </a:ext>
          </a:extLst>
        </xdr:cNvPr>
        <xdr:cNvCxnSpPr/>
      </xdr:nvCxnSpPr>
      <xdr:spPr>
        <a:xfrm flipH="1" flipV="1">
          <a:off x="3749041" y="303599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165</xdr:row>
      <xdr:rowOff>133352</xdr:rowOff>
    </xdr:from>
    <xdr:to>
      <xdr:col>5</xdr:col>
      <xdr:colOff>885825</xdr:colOff>
      <xdr:row>165</xdr:row>
      <xdr:rowOff>257175</xdr:rowOff>
    </xdr:to>
    <xdr:cxnSp macro="">
      <xdr:nvCxnSpPr>
        <xdr:cNvPr id="621" name="Straight Connector 620">
          <a:extLst>
            <a:ext uri="{FF2B5EF4-FFF2-40B4-BE49-F238E27FC236}">
              <a16:creationId xmlns:a16="http://schemas.microsoft.com/office/drawing/2014/main" id="{00000000-0008-0000-0700-00006D020000}"/>
            </a:ext>
          </a:extLst>
        </xdr:cNvPr>
        <xdr:cNvCxnSpPr/>
      </xdr:nvCxnSpPr>
      <xdr:spPr>
        <a:xfrm flipH="1" flipV="1">
          <a:off x="3745231" y="303085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163</xdr:row>
      <xdr:rowOff>127000</xdr:rowOff>
    </xdr:from>
    <xdr:to>
      <xdr:col>5</xdr:col>
      <xdr:colOff>356235</xdr:colOff>
      <xdr:row>163</xdr:row>
      <xdr:rowOff>309880</xdr:rowOff>
    </xdr:to>
    <xdr:cxnSp macro="">
      <xdr:nvCxnSpPr>
        <xdr:cNvPr id="622" name="Straight Connector 621">
          <a:extLst>
            <a:ext uri="{FF2B5EF4-FFF2-40B4-BE49-F238E27FC236}">
              <a16:creationId xmlns:a16="http://schemas.microsoft.com/office/drawing/2014/main" id="{00000000-0008-0000-0700-00006E020000}"/>
            </a:ext>
          </a:extLst>
        </xdr:cNvPr>
        <xdr:cNvCxnSpPr/>
      </xdr:nvCxnSpPr>
      <xdr:spPr>
        <a:xfrm flipH="1" flipV="1">
          <a:off x="3480435" y="29936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163</xdr:row>
      <xdr:rowOff>400050</xdr:rowOff>
    </xdr:from>
    <xdr:to>
      <xdr:col>5</xdr:col>
      <xdr:colOff>1666875</xdr:colOff>
      <xdr:row>163</xdr:row>
      <xdr:rowOff>400050</xdr:rowOff>
    </xdr:to>
    <xdr:cxnSp macro="">
      <xdr:nvCxnSpPr>
        <xdr:cNvPr id="623" name="Straight Connector 622">
          <a:extLst>
            <a:ext uri="{FF2B5EF4-FFF2-40B4-BE49-F238E27FC236}">
              <a16:creationId xmlns:a16="http://schemas.microsoft.com/office/drawing/2014/main" id="{00000000-0008-0000-0700-00006F020000}"/>
            </a:ext>
          </a:extLst>
        </xdr:cNvPr>
        <xdr:cNvCxnSpPr/>
      </xdr:nvCxnSpPr>
      <xdr:spPr>
        <a:xfrm>
          <a:off x="3476625" y="299885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163</xdr:row>
      <xdr:rowOff>127000</xdr:rowOff>
    </xdr:from>
    <xdr:to>
      <xdr:col>5</xdr:col>
      <xdr:colOff>356810</xdr:colOff>
      <xdr:row>163</xdr:row>
      <xdr:rowOff>409912</xdr:rowOff>
    </xdr:to>
    <xdr:cxnSp macro="">
      <xdr:nvCxnSpPr>
        <xdr:cNvPr id="624" name="Straight Connector 623">
          <a:extLst>
            <a:ext uri="{FF2B5EF4-FFF2-40B4-BE49-F238E27FC236}">
              <a16:creationId xmlns:a16="http://schemas.microsoft.com/office/drawing/2014/main" id="{00000000-0008-0000-0700-000070020000}"/>
            </a:ext>
          </a:extLst>
        </xdr:cNvPr>
        <xdr:cNvCxnSpPr/>
      </xdr:nvCxnSpPr>
      <xdr:spPr>
        <a:xfrm flipH="1" flipV="1">
          <a:off x="3481009" y="29936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163</xdr:row>
      <xdr:rowOff>134252</xdr:rowOff>
    </xdr:from>
    <xdr:to>
      <xdr:col>5</xdr:col>
      <xdr:colOff>1652211</xdr:colOff>
      <xdr:row>163</xdr:row>
      <xdr:rowOff>417164</xdr:rowOff>
    </xdr:to>
    <xdr:cxnSp macro="">
      <xdr:nvCxnSpPr>
        <xdr:cNvPr id="625" name="Straight Connector 624">
          <a:extLst>
            <a:ext uri="{FF2B5EF4-FFF2-40B4-BE49-F238E27FC236}">
              <a16:creationId xmlns:a16="http://schemas.microsoft.com/office/drawing/2014/main" id="{00000000-0008-0000-0700-000071020000}"/>
            </a:ext>
          </a:extLst>
        </xdr:cNvPr>
        <xdr:cNvCxnSpPr/>
      </xdr:nvCxnSpPr>
      <xdr:spPr>
        <a:xfrm flipH="1" flipV="1">
          <a:off x="3747710" y="29943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164</xdr:row>
      <xdr:rowOff>127000</xdr:rowOff>
    </xdr:from>
    <xdr:to>
      <xdr:col>5</xdr:col>
      <xdr:colOff>356235</xdr:colOff>
      <xdr:row>164</xdr:row>
      <xdr:rowOff>309880</xdr:rowOff>
    </xdr:to>
    <xdr:cxnSp macro="">
      <xdr:nvCxnSpPr>
        <xdr:cNvPr id="626" name="Straight Connector 625">
          <a:extLst>
            <a:ext uri="{FF2B5EF4-FFF2-40B4-BE49-F238E27FC236}">
              <a16:creationId xmlns:a16="http://schemas.microsoft.com/office/drawing/2014/main" id="{00000000-0008-0000-0700-000072020000}"/>
            </a:ext>
          </a:extLst>
        </xdr:cNvPr>
        <xdr:cNvCxnSpPr/>
      </xdr:nvCxnSpPr>
      <xdr:spPr>
        <a:xfrm flipH="1" flipV="1">
          <a:off x="3480435" y="301193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164</xdr:row>
      <xdr:rowOff>152400</xdr:rowOff>
    </xdr:from>
    <xdr:to>
      <xdr:col>5</xdr:col>
      <xdr:colOff>1676400</xdr:colOff>
      <xdr:row>164</xdr:row>
      <xdr:rowOff>152400</xdr:rowOff>
    </xdr:to>
    <xdr:cxnSp macro="">
      <xdr:nvCxnSpPr>
        <xdr:cNvPr id="627" name="Straight Connector 626">
          <a:extLst>
            <a:ext uri="{FF2B5EF4-FFF2-40B4-BE49-F238E27FC236}">
              <a16:creationId xmlns:a16="http://schemas.microsoft.com/office/drawing/2014/main" id="{00000000-0008-0000-0700-000073020000}"/>
            </a:ext>
          </a:extLst>
        </xdr:cNvPr>
        <xdr:cNvCxnSpPr/>
      </xdr:nvCxnSpPr>
      <xdr:spPr>
        <a:xfrm>
          <a:off x="3486150" y="301447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164</xdr:row>
      <xdr:rowOff>127000</xdr:rowOff>
    </xdr:from>
    <xdr:to>
      <xdr:col>5</xdr:col>
      <xdr:colOff>356810</xdr:colOff>
      <xdr:row>164</xdr:row>
      <xdr:rowOff>409912</xdr:rowOff>
    </xdr:to>
    <xdr:cxnSp macro="">
      <xdr:nvCxnSpPr>
        <xdr:cNvPr id="628" name="Straight Connector 627">
          <a:extLst>
            <a:ext uri="{FF2B5EF4-FFF2-40B4-BE49-F238E27FC236}">
              <a16:creationId xmlns:a16="http://schemas.microsoft.com/office/drawing/2014/main" id="{00000000-0008-0000-0700-000074020000}"/>
            </a:ext>
          </a:extLst>
        </xdr:cNvPr>
        <xdr:cNvCxnSpPr/>
      </xdr:nvCxnSpPr>
      <xdr:spPr>
        <a:xfrm flipH="1" flipV="1">
          <a:off x="3481009" y="301193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164</xdr:row>
      <xdr:rowOff>134252</xdr:rowOff>
    </xdr:from>
    <xdr:to>
      <xdr:col>5</xdr:col>
      <xdr:colOff>1652211</xdr:colOff>
      <xdr:row>164</xdr:row>
      <xdr:rowOff>417164</xdr:rowOff>
    </xdr:to>
    <xdr:cxnSp macro="">
      <xdr:nvCxnSpPr>
        <xdr:cNvPr id="629" name="Straight Connector 628">
          <a:extLst>
            <a:ext uri="{FF2B5EF4-FFF2-40B4-BE49-F238E27FC236}">
              <a16:creationId xmlns:a16="http://schemas.microsoft.com/office/drawing/2014/main" id="{00000000-0008-0000-0700-000075020000}"/>
            </a:ext>
          </a:extLst>
        </xdr:cNvPr>
        <xdr:cNvCxnSpPr/>
      </xdr:nvCxnSpPr>
      <xdr:spPr>
        <a:xfrm flipH="1" flipV="1">
          <a:off x="3747710" y="301265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165</xdr:row>
      <xdr:rowOff>123824</xdr:rowOff>
    </xdr:from>
    <xdr:to>
      <xdr:col>5</xdr:col>
      <xdr:colOff>1428750</xdr:colOff>
      <xdr:row>165</xdr:row>
      <xdr:rowOff>1219199</xdr:rowOff>
    </xdr:to>
    <xdr:sp macro="" textlink="">
      <xdr:nvSpPr>
        <xdr:cNvPr id="630" name="Rounded Rectangle 629">
          <a:extLst>
            <a:ext uri="{FF2B5EF4-FFF2-40B4-BE49-F238E27FC236}">
              <a16:creationId xmlns:a16="http://schemas.microsoft.com/office/drawing/2014/main" id="{00000000-0008-0000-0700-000076020000}"/>
            </a:ext>
          </a:extLst>
        </xdr:cNvPr>
        <xdr:cNvSpPr/>
      </xdr:nvSpPr>
      <xdr:spPr>
        <a:xfrm>
          <a:off x="3745230" y="302990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165</xdr:row>
      <xdr:rowOff>238127</xdr:rowOff>
    </xdr:from>
    <xdr:to>
      <xdr:col>5</xdr:col>
      <xdr:colOff>790575</xdr:colOff>
      <xdr:row>165</xdr:row>
      <xdr:rowOff>361950</xdr:rowOff>
    </xdr:to>
    <xdr:cxnSp macro="">
      <xdr:nvCxnSpPr>
        <xdr:cNvPr id="631" name="Straight Connector 630">
          <a:extLst>
            <a:ext uri="{FF2B5EF4-FFF2-40B4-BE49-F238E27FC236}">
              <a16:creationId xmlns:a16="http://schemas.microsoft.com/office/drawing/2014/main" id="{00000000-0008-0000-0700-000077020000}"/>
            </a:ext>
          </a:extLst>
        </xdr:cNvPr>
        <xdr:cNvCxnSpPr/>
      </xdr:nvCxnSpPr>
      <xdr:spPr>
        <a:xfrm flipH="1" flipV="1">
          <a:off x="3749041" y="303599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165</xdr:row>
      <xdr:rowOff>133352</xdr:rowOff>
    </xdr:from>
    <xdr:to>
      <xdr:col>5</xdr:col>
      <xdr:colOff>885825</xdr:colOff>
      <xdr:row>165</xdr:row>
      <xdr:rowOff>257175</xdr:rowOff>
    </xdr:to>
    <xdr:cxnSp macro="">
      <xdr:nvCxnSpPr>
        <xdr:cNvPr id="632" name="Straight Connector 631">
          <a:extLst>
            <a:ext uri="{FF2B5EF4-FFF2-40B4-BE49-F238E27FC236}">
              <a16:creationId xmlns:a16="http://schemas.microsoft.com/office/drawing/2014/main" id="{00000000-0008-0000-0700-000078020000}"/>
            </a:ext>
          </a:extLst>
        </xdr:cNvPr>
        <xdr:cNvCxnSpPr/>
      </xdr:nvCxnSpPr>
      <xdr:spPr>
        <a:xfrm flipH="1" flipV="1">
          <a:off x="3745231" y="303085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163</xdr:row>
      <xdr:rowOff>127000</xdr:rowOff>
    </xdr:from>
    <xdr:to>
      <xdr:col>5</xdr:col>
      <xdr:colOff>356235</xdr:colOff>
      <xdr:row>163</xdr:row>
      <xdr:rowOff>309880</xdr:rowOff>
    </xdr:to>
    <xdr:cxnSp macro="">
      <xdr:nvCxnSpPr>
        <xdr:cNvPr id="633" name="Straight Connector 632">
          <a:extLst>
            <a:ext uri="{FF2B5EF4-FFF2-40B4-BE49-F238E27FC236}">
              <a16:creationId xmlns:a16="http://schemas.microsoft.com/office/drawing/2014/main" id="{00000000-0008-0000-0700-000079020000}"/>
            </a:ext>
          </a:extLst>
        </xdr:cNvPr>
        <xdr:cNvCxnSpPr/>
      </xdr:nvCxnSpPr>
      <xdr:spPr>
        <a:xfrm flipH="1" flipV="1">
          <a:off x="3480435" y="29936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163</xdr:row>
      <xdr:rowOff>400050</xdr:rowOff>
    </xdr:from>
    <xdr:to>
      <xdr:col>5</xdr:col>
      <xdr:colOff>1666875</xdr:colOff>
      <xdr:row>163</xdr:row>
      <xdr:rowOff>400050</xdr:rowOff>
    </xdr:to>
    <xdr:cxnSp macro="">
      <xdr:nvCxnSpPr>
        <xdr:cNvPr id="634" name="Straight Connector 633">
          <a:extLst>
            <a:ext uri="{FF2B5EF4-FFF2-40B4-BE49-F238E27FC236}">
              <a16:creationId xmlns:a16="http://schemas.microsoft.com/office/drawing/2014/main" id="{00000000-0008-0000-0700-00007A020000}"/>
            </a:ext>
          </a:extLst>
        </xdr:cNvPr>
        <xdr:cNvCxnSpPr/>
      </xdr:nvCxnSpPr>
      <xdr:spPr>
        <a:xfrm>
          <a:off x="3476625" y="299885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163</xdr:row>
      <xdr:rowOff>127000</xdr:rowOff>
    </xdr:from>
    <xdr:to>
      <xdr:col>5</xdr:col>
      <xdr:colOff>356810</xdr:colOff>
      <xdr:row>163</xdr:row>
      <xdr:rowOff>409912</xdr:rowOff>
    </xdr:to>
    <xdr:cxnSp macro="">
      <xdr:nvCxnSpPr>
        <xdr:cNvPr id="635" name="Straight Connector 634">
          <a:extLst>
            <a:ext uri="{FF2B5EF4-FFF2-40B4-BE49-F238E27FC236}">
              <a16:creationId xmlns:a16="http://schemas.microsoft.com/office/drawing/2014/main" id="{00000000-0008-0000-0700-00007B020000}"/>
            </a:ext>
          </a:extLst>
        </xdr:cNvPr>
        <xdr:cNvCxnSpPr/>
      </xdr:nvCxnSpPr>
      <xdr:spPr>
        <a:xfrm flipH="1" flipV="1">
          <a:off x="3481009" y="29936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163</xdr:row>
      <xdr:rowOff>134252</xdr:rowOff>
    </xdr:from>
    <xdr:to>
      <xdr:col>5</xdr:col>
      <xdr:colOff>1652211</xdr:colOff>
      <xdr:row>163</xdr:row>
      <xdr:rowOff>417164</xdr:rowOff>
    </xdr:to>
    <xdr:cxnSp macro="">
      <xdr:nvCxnSpPr>
        <xdr:cNvPr id="636" name="Straight Connector 635">
          <a:extLst>
            <a:ext uri="{FF2B5EF4-FFF2-40B4-BE49-F238E27FC236}">
              <a16:creationId xmlns:a16="http://schemas.microsoft.com/office/drawing/2014/main" id="{00000000-0008-0000-0700-00007C020000}"/>
            </a:ext>
          </a:extLst>
        </xdr:cNvPr>
        <xdr:cNvCxnSpPr/>
      </xdr:nvCxnSpPr>
      <xdr:spPr>
        <a:xfrm flipH="1" flipV="1">
          <a:off x="3747710" y="29943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164</xdr:row>
      <xdr:rowOff>127000</xdr:rowOff>
    </xdr:from>
    <xdr:to>
      <xdr:col>5</xdr:col>
      <xdr:colOff>356235</xdr:colOff>
      <xdr:row>164</xdr:row>
      <xdr:rowOff>309880</xdr:rowOff>
    </xdr:to>
    <xdr:cxnSp macro="">
      <xdr:nvCxnSpPr>
        <xdr:cNvPr id="637" name="Straight Connector 636">
          <a:extLst>
            <a:ext uri="{FF2B5EF4-FFF2-40B4-BE49-F238E27FC236}">
              <a16:creationId xmlns:a16="http://schemas.microsoft.com/office/drawing/2014/main" id="{00000000-0008-0000-0700-00007D020000}"/>
            </a:ext>
          </a:extLst>
        </xdr:cNvPr>
        <xdr:cNvCxnSpPr/>
      </xdr:nvCxnSpPr>
      <xdr:spPr>
        <a:xfrm flipH="1" flipV="1">
          <a:off x="3480435" y="301193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164</xdr:row>
      <xdr:rowOff>152400</xdr:rowOff>
    </xdr:from>
    <xdr:to>
      <xdr:col>5</xdr:col>
      <xdr:colOff>1676400</xdr:colOff>
      <xdr:row>164</xdr:row>
      <xdr:rowOff>152400</xdr:rowOff>
    </xdr:to>
    <xdr:cxnSp macro="">
      <xdr:nvCxnSpPr>
        <xdr:cNvPr id="638" name="Straight Connector 637">
          <a:extLst>
            <a:ext uri="{FF2B5EF4-FFF2-40B4-BE49-F238E27FC236}">
              <a16:creationId xmlns:a16="http://schemas.microsoft.com/office/drawing/2014/main" id="{00000000-0008-0000-0700-00007E020000}"/>
            </a:ext>
          </a:extLst>
        </xdr:cNvPr>
        <xdr:cNvCxnSpPr/>
      </xdr:nvCxnSpPr>
      <xdr:spPr>
        <a:xfrm>
          <a:off x="3486150" y="301447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164</xdr:row>
      <xdr:rowOff>127000</xdr:rowOff>
    </xdr:from>
    <xdr:to>
      <xdr:col>5</xdr:col>
      <xdr:colOff>356810</xdr:colOff>
      <xdr:row>164</xdr:row>
      <xdr:rowOff>409912</xdr:rowOff>
    </xdr:to>
    <xdr:cxnSp macro="">
      <xdr:nvCxnSpPr>
        <xdr:cNvPr id="639" name="Straight Connector 638">
          <a:extLst>
            <a:ext uri="{FF2B5EF4-FFF2-40B4-BE49-F238E27FC236}">
              <a16:creationId xmlns:a16="http://schemas.microsoft.com/office/drawing/2014/main" id="{00000000-0008-0000-0700-00007F020000}"/>
            </a:ext>
          </a:extLst>
        </xdr:cNvPr>
        <xdr:cNvCxnSpPr/>
      </xdr:nvCxnSpPr>
      <xdr:spPr>
        <a:xfrm flipH="1" flipV="1">
          <a:off x="3481009" y="301193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165</xdr:row>
      <xdr:rowOff>123824</xdr:rowOff>
    </xdr:from>
    <xdr:to>
      <xdr:col>5</xdr:col>
      <xdr:colOff>1428750</xdr:colOff>
      <xdr:row>165</xdr:row>
      <xdr:rowOff>1219199</xdr:rowOff>
    </xdr:to>
    <xdr:sp macro="" textlink="">
      <xdr:nvSpPr>
        <xdr:cNvPr id="640" name="Rounded Rectangle 639">
          <a:extLst>
            <a:ext uri="{FF2B5EF4-FFF2-40B4-BE49-F238E27FC236}">
              <a16:creationId xmlns:a16="http://schemas.microsoft.com/office/drawing/2014/main" id="{00000000-0008-0000-0700-000080020000}"/>
            </a:ext>
          </a:extLst>
        </xdr:cNvPr>
        <xdr:cNvSpPr/>
      </xdr:nvSpPr>
      <xdr:spPr>
        <a:xfrm>
          <a:off x="3745230" y="302990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165</xdr:row>
      <xdr:rowOff>238127</xdr:rowOff>
    </xdr:from>
    <xdr:to>
      <xdr:col>5</xdr:col>
      <xdr:colOff>790575</xdr:colOff>
      <xdr:row>165</xdr:row>
      <xdr:rowOff>361950</xdr:rowOff>
    </xdr:to>
    <xdr:cxnSp macro="">
      <xdr:nvCxnSpPr>
        <xdr:cNvPr id="641" name="Straight Connector 640">
          <a:extLst>
            <a:ext uri="{FF2B5EF4-FFF2-40B4-BE49-F238E27FC236}">
              <a16:creationId xmlns:a16="http://schemas.microsoft.com/office/drawing/2014/main" id="{00000000-0008-0000-0700-000081020000}"/>
            </a:ext>
          </a:extLst>
        </xdr:cNvPr>
        <xdr:cNvCxnSpPr/>
      </xdr:nvCxnSpPr>
      <xdr:spPr>
        <a:xfrm flipH="1" flipV="1">
          <a:off x="3749041" y="303599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165</xdr:row>
      <xdr:rowOff>133352</xdr:rowOff>
    </xdr:from>
    <xdr:to>
      <xdr:col>5</xdr:col>
      <xdr:colOff>885825</xdr:colOff>
      <xdr:row>165</xdr:row>
      <xdr:rowOff>257175</xdr:rowOff>
    </xdr:to>
    <xdr:cxnSp macro="">
      <xdr:nvCxnSpPr>
        <xdr:cNvPr id="642" name="Straight Connector 641">
          <a:extLst>
            <a:ext uri="{FF2B5EF4-FFF2-40B4-BE49-F238E27FC236}">
              <a16:creationId xmlns:a16="http://schemas.microsoft.com/office/drawing/2014/main" id="{00000000-0008-0000-0700-000082020000}"/>
            </a:ext>
          </a:extLst>
        </xdr:cNvPr>
        <xdr:cNvCxnSpPr/>
      </xdr:nvCxnSpPr>
      <xdr:spPr>
        <a:xfrm flipH="1" flipV="1">
          <a:off x="3745231" y="303085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169</xdr:row>
      <xdr:rowOff>127000</xdr:rowOff>
    </xdr:from>
    <xdr:to>
      <xdr:col>5</xdr:col>
      <xdr:colOff>356235</xdr:colOff>
      <xdr:row>169</xdr:row>
      <xdr:rowOff>309880</xdr:rowOff>
    </xdr:to>
    <xdr:cxnSp macro="">
      <xdr:nvCxnSpPr>
        <xdr:cNvPr id="643" name="Straight Connector 642">
          <a:extLst>
            <a:ext uri="{FF2B5EF4-FFF2-40B4-BE49-F238E27FC236}">
              <a16:creationId xmlns:a16="http://schemas.microsoft.com/office/drawing/2014/main" id="{00000000-0008-0000-0700-000083020000}"/>
            </a:ext>
          </a:extLst>
        </xdr:cNvPr>
        <xdr:cNvCxnSpPr/>
      </xdr:nvCxnSpPr>
      <xdr:spPr>
        <a:xfrm flipH="1" flipV="1">
          <a:off x="3480435" y="31033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169</xdr:row>
      <xdr:rowOff>400050</xdr:rowOff>
    </xdr:from>
    <xdr:to>
      <xdr:col>5</xdr:col>
      <xdr:colOff>1666875</xdr:colOff>
      <xdr:row>169</xdr:row>
      <xdr:rowOff>400050</xdr:rowOff>
    </xdr:to>
    <xdr:cxnSp macro="">
      <xdr:nvCxnSpPr>
        <xdr:cNvPr id="644" name="Straight Connector 643">
          <a:extLst>
            <a:ext uri="{FF2B5EF4-FFF2-40B4-BE49-F238E27FC236}">
              <a16:creationId xmlns:a16="http://schemas.microsoft.com/office/drawing/2014/main" id="{00000000-0008-0000-0700-000084020000}"/>
            </a:ext>
          </a:extLst>
        </xdr:cNvPr>
        <xdr:cNvCxnSpPr/>
      </xdr:nvCxnSpPr>
      <xdr:spPr>
        <a:xfrm>
          <a:off x="3476625" y="310857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169</xdr:row>
      <xdr:rowOff>127000</xdr:rowOff>
    </xdr:from>
    <xdr:to>
      <xdr:col>5</xdr:col>
      <xdr:colOff>356810</xdr:colOff>
      <xdr:row>169</xdr:row>
      <xdr:rowOff>409912</xdr:rowOff>
    </xdr:to>
    <xdr:cxnSp macro="">
      <xdr:nvCxnSpPr>
        <xdr:cNvPr id="645" name="Straight Connector 644">
          <a:extLst>
            <a:ext uri="{FF2B5EF4-FFF2-40B4-BE49-F238E27FC236}">
              <a16:creationId xmlns:a16="http://schemas.microsoft.com/office/drawing/2014/main" id="{00000000-0008-0000-0700-000085020000}"/>
            </a:ext>
          </a:extLst>
        </xdr:cNvPr>
        <xdr:cNvCxnSpPr/>
      </xdr:nvCxnSpPr>
      <xdr:spPr>
        <a:xfrm flipH="1" flipV="1">
          <a:off x="3481009" y="31033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169</xdr:row>
      <xdr:rowOff>134252</xdr:rowOff>
    </xdr:from>
    <xdr:to>
      <xdr:col>5</xdr:col>
      <xdr:colOff>1652211</xdr:colOff>
      <xdr:row>169</xdr:row>
      <xdr:rowOff>417164</xdr:rowOff>
    </xdr:to>
    <xdr:cxnSp macro="">
      <xdr:nvCxnSpPr>
        <xdr:cNvPr id="646" name="Straight Connector 645">
          <a:extLst>
            <a:ext uri="{FF2B5EF4-FFF2-40B4-BE49-F238E27FC236}">
              <a16:creationId xmlns:a16="http://schemas.microsoft.com/office/drawing/2014/main" id="{00000000-0008-0000-0700-000086020000}"/>
            </a:ext>
          </a:extLst>
        </xdr:cNvPr>
        <xdr:cNvCxnSpPr/>
      </xdr:nvCxnSpPr>
      <xdr:spPr>
        <a:xfrm flipH="1" flipV="1">
          <a:off x="3747710" y="31040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170</xdr:row>
      <xdr:rowOff>127000</xdr:rowOff>
    </xdr:from>
    <xdr:to>
      <xdr:col>5</xdr:col>
      <xdr:colOff>356235</xdr:colOff>
      <xdr:row>170</xdr:row>
      <xdr:rowOff>309880</xdr:rowOff>
    </xdr:to>
    <xdr:cxnSp macro="">
      <xdr:nvCxnSpPr>
        <xdr:cNvPr id="647" name="Straight Connector 646">
          <a:extLst>
            <a:ext uri="{FF2B5EF4-FFF2-40B4-BE49-F238E27FC236}">
              <a16:creationId xmlns:a16="http://schemas.microsoft.com/office/drawing/2014/main" id="{00000000-0008-0000-0700-000087020000}"/>
            </a:ext>
          </a:extLst>
        </xdr:cNvPr>
        <xdr:cNvCxnSpPr/>
      </xdr:nvCxnSpPr>
      <xdr:spPr>
        <a:xfrm flipH="1" flipV="1">
          <a:off x="3480435" y="312166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170</xdr:row>
      <xdr:rowOff>152400</xdr:rowOff>
    </xdr:from>
    <xdr:to>
      <xdr:col>5</xdr:col>
      <xdr:colOff>1676400</xdr:colOff>
      <xdr:row>170</xdr:row>
      <xdr:rowOff>152400</xdr:rowOff>
    </xdr:to>
    <xdr:cxnSp macro="">
      <xdr:nvCxnSpPr>
        <xdr:cNvPr id="648" name="Straight Connector 647">
          <a:extLst>
            <a:ext uri="{FF2B5EF4-FFF2-40B4-BE49-F238E27FC236}">
              <a16:creationId xmlns:a16="http://schemas.microsoft.com/office/drawing/2014/main" id="{00000000-0008-0000-0700-000088020000}"/>
            </a:ext>
          </a:extLst>
        </xdr:cNvPr>
        <xdr:cNvCxnSpPr/>
      </xdr:nvCxnSpPr>
      <xdr:spPr>
        <a:xfrm>
          <a:off x="3486150" y="312420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170</xdr:row>
      <xdr:rowOff>127000</xdr:rowOff>
    </xdr:from>
    <xdr:to>
      <xdr:col>5</xdr:col>
      <xdr:colOff>356810</xdr:colOff>
      <xdr:row>170</xdr:row>
      <xdr:rowOff>409912</xdr:rowOff>
    </xdr:to>
    <xdr:cxnSp macro="">
      <xdr:nvCxnSpPr>
        <xdr:cNvPr id="649" name="Straight Connector 648">
          <a:extLst>
            <a:ext uri="{FF2B5EF4-FFF2-40B4-BE49-F238E27FC236}">
              <a16:creationId xmlns:a16="http://schemas.microsoft.com/office/drawing/2014/main" id="{00000000-0008-0000-0700-000089020000}"/>
            </a:ext>
          </a:extLst>
        </xdr:cNvPr>
        <xdr:cNvCxnSpPr/>
      </xdr:nvCxnSpPr>
      <xdr:spPr>
        <a:xfrm flipH="1" flipV="1">
          <a:off x="3481009" y="312166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170</xdr:row>
      <xdr:rowOff>134252</xdr:rowOff>
    </xdr:from>
    <xdr:to>
      <xdr:col>5</xdr:col>
      <xdr:colOff>1652211</xdr:colOff>
      <xdr:row>170</xdr:row>
      <xdr:rowOff>417164</xdr:rowOff>
    </xdr:to>
    <xdr:cxnSp macro="">
      <xdr:nvCxnSpPr>
        <xdr:cNvPr id="650" name="Straight Connector 649">
          <a:extLst>
            <a:ext uri="{FF2B5EF4-FFF2-40B4-BE49-F238E27FC236}">
              <a16:creationId xmlns:a16="http://schemas.microsoft.com/office/drawing/2014/main" id="{00000000-0008-0000-0700-00008A020000}"/>
            </a:ext>
          </a:extLst>
        </xdr:cNvPr>
        <xdr:cNvCxnSpPr/>
      </xdr:nvCxnSpPr>
      <xdr:spPr>
        <a:xfrm flipH="1" flipV="1">
          <a:off x="3747710" y="312238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171</xdr:row>
      <xdr:rowOff>123824</xdr:rowOff>
    </xdr:from>
    <xdr:to>
      <xdr:col>5</xdr:col>
      <xdr:colOff>1428750</xdr:colOff>
      <xdr:row>171</xdr:row>
      <xdr:rowOff>1219199</xdr:rowOff>
    </xdr:to>
    <xdr:sp macro="" textlink="">
      <xdr:nvSpPr>
        <xdr:cNvPr id="651" name="Rounded Rectangle 650">
          <a:extLst>
            <a:ext uri="{FF2B5EF4-FFF2-40B4-BE49-F238E27FC236}">
              <a16:creationId xmlns:a16="http://schemas.microsoft.com/office/drawing/2014/main" id="{00000000-0008-0000-0700-00008B020000}"/>
            </a:ext>
          </a:extLst>
        </xdr:cNvPr>
        <xdr:cNvSpPr/>
      </xdr:nvSpPr>
      <xdr:spPr>
        <a:xfrm>
          <a:off x="3745230" y="313963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171</xdr:row>
      <xdr:rowOff>238127</xdr:rowOff>
    </xdr:from>
    <xdr:to>
      <xdr:col>5</xdr:col>
      <xdr:colOff>790575</xdr:colOff>
      <xdr:row>171</xdr:row>
      <xdr:rowOff>361950</xdr:rowOff>
    </xdr:to>
    <xdr:cxnSp macro="">
      <xdr:nvCxnSpPr>
        <xdr:cNvPr id="652" name="Straight Connector 651">
          <a:extLst>
            <a:ext uri="{FF2B5EF4-FFF2-40B4-BE49-F238E27FC236}">
              <a16:creationId xmlns:a16="http://schemas.microsoft.com/office/drawing/2014/main" id="{00000000-0008-0000-0700-00008C020000}"/>
            </a:ext>
          </a:extLst>
        </xdr:cNvPr>
        <xdr:cNvCxnSpPr/>
      </xdr:nvCxnSpPr>
      <xdr:spPr>
        <a:xfrm flipH="1" flipV="1">
          <a:off x="3749041" y="314572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171</xdr:row>
      <xdr:rowOff>133352</xdr:rowOff>
    </xdr:from>
    <xdr:to>
      <xdr:col>5</xdr:col>
      <xdr:colOff>885825</xdr:colOff>
      <xdr:row>171</xdr:row>
      <xdr:rowOff>257175</xdr:rowOff>
    </xdr:to>
    <xdr:cxnSp macro="">
      <xdr:nvCxnSpPr>
        <xdr:cNvPr id="653" name="Straight Connector 652">
          <a:extLst>
            <a:ext uri="{FF2B5EF4-FFF2-40B4-BE49-F238E27FC236}">
              <a16:creationId xmlns:a16="http://schemas.microsoft.com/office/drawing/2014/main" id="{00000000-0008-0000-0700-00008D020000}"/>
            </a:ext>
          </a:extLst>
        </xdr:cNvPr>
        <xdr:cNvCxnSpPr/>
      </xdr:nvCxnSpPr>
      <xdr:spPr>
        <a:xfrm flipH="1" flipV="1">
          <a:off x="3745231" y="314058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169</xdr:row>
      <xdr:rowOff>127000</xdr:rowOff>
    </xdr:from>
    <xdr:to>
      <xdr:col>5</xdr:col>
      <xdr:colOff>356235</xdr:colOff>
      <xdr:row>169</xdr:row>
      <xdr:rowOff>309880</xdr:rowOff>
    </xdr:to>
    <xdr:cxnSp macro="">
      <xdr:nvCxnSpPr>
        <xdr:cNvPr id="654" name="Straight Connector 653">
          <a:extLst>
            <a:ext uri="{FF2B5EF4-FFF2-40B4-BE49-F238E27FC236}">
              <a16:creationId xmlns:a16="http://schemas.microsoft.com/office/drawing/2014/main" id="{00000000-0008-0000-0700-00008E020000}"/>
            </a:ext>
          </a:extLst>
        </xdr:cNvPr>
        <xdr:cNvCxnSpPr/>
      </xdr:nvCxnSpPr>
      <xdr:spPr>
        <a:xfrm flipH="1" flipV="1">
          <a:off x="3480435" y="31033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169</xdr:row>
      <xdr:rowOff>400050</xdr:rowOff>
    </xdr:from>
    <xdr:to>
      <xdr:col>5</xdr:col>
      <xdr:colOff>1666875</xdr:colOff>
      <xdr:row>169</xdr:row>
      <xdr:rowOff>400050</xdr:rowOff>
    </xdr:to>
    <xdr:cxnSp macro="">
      <xdr:nvCxnSpPr>
        <xdr:cNvPr id="655" name="Straight Connector 654">
          <a:extLst>
            <a:ext uri="{FF2B5EF4-FFF2-40B4-BE49-F238E27FC236}">
              <a16:creationId xmlns:a16="http://schemas.microsoft.com/office/drawing/2014/main" id="{00000000-0008-0000-0700-00008F020000}"/>
            </a:ext>
          </a:extLst>
        </xdr:cNvPr>
        <xdr:cNvCxnSpPr/>
      </xdr:nvCxnSpPr>
      <xdr:spPr>
        <a:xfrm>
          <a:off x="3476625" y="310857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169</xdr:row>
      <xdr:rowOff>127000</xdr:rowOff>
    </xdr:from>
    <xdr:to>
      <xdr:col>5</xdr:col>
      <xdr:colOff>356810</xdr:colOff>
      <xdr:row>169</xdr:row>
      <xdr:rowOff>409912</xdr:rowOff>
    </xdr:to>
    <xdr:cxnSp macro="">
      <xdr:nvCxnSpPr>
        <xdr:cNvPr id="656" name="Straight Connector 655">
          <a:extLst>
            <a:ext uri="{FF2B5EF4-FFF2-40B4-BE49-F238E27FC236}">
              <a16:creationId xmlns:a16="http://schemas.microsoft.com/office/drawing/2014/main" id="{00000000-0008-0000-0700-000090020000}"/>
            </a:ext>
          </a:extLst>
        </xdr:cNvPr>
        <xdr:cNvCxnSpPr/>
      </xdr:nvCxnSpPr>
      <xdr:spPr>
        <a:xfrm flipH="1" flipV="1">
          <a:off x="3481009" y="31033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169</xdr:row>
      <xdr:rowOff>134252</xdr:rowOff>
    </xdr:from>
    <xdr:to>
      <xdr:col>5</xdr:col>
      <xdr:colOff>1652211</xdr:colOff>
      <xdr:row>169</xdr:row>
      <xdr:rowOff>417164</xdr:rowOff>
    </xdr:to>
    <xdr:cxnSp macro="">
      <xdr:nvCxnSpPr>
        <xdr:cNvPr id="657" name="Straight Connector 656">
          <a:extLst>
            <a:ext uri="{FF2B5EF4-FFF2-40B4-BE49-F238E27FC236}">
              <a16:creationId xmlns:a16="http://schemas.microsoft.com/office/drawing/2014/main" id="{00000000-0008-0000-0700-000091020000}"/>
            </a:ext>
          </a:extLst>
        </xdr:cNvPr>
        <xdr:cNvCxnSpPr/>
      </xdr:nvCxnSpPr>
      <xdr:spPr>
        <a:xfrm flipH="1" flipV="1">
          <a:off x="3747710" y="31040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170</xdr:row>
      <xdr:rowOff>127000</xdr:rowOff>
    </xdr:from>
    <xdr:to>
      <xdr:col>5</xdr:col>
      <xdr:colOff>356235</xdr:colOff>
      <xdr:row>170</xdr:row>
      <xdr:rowOff>309880</xdr:rowOff>
    </xdr:to>
    <xdr:cxnSp macro="">
      <xdr:nvCxnSpPr>
        <xdr:cNvPr id="658" name="Straight Connector 657">
          <a:extLst>
            <a:ext uri="{FF2B5EF4-FFF2-40B4-BE49-F238E27FC236}">
              <a16:creationId xmlns:a16="http://schemas.microsoft.com/office/drawing/2014/main" id="{00000000-0008-0000-0700-000092020000}"/>
            </a:ext>
          </a:extLst>
        </xdr:cNvPr>
        <xdr:cNvCxnSpPr/>
      </xdr:nvCxnSpPr>
      <xdr:spPr>
        <a:xfrm flipH="1" flipV="1">
          <a:off x="3480435" y="312166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170</xdr:row>
      <xdr:rowOff>152400</xdr:rowOff>
    </xdr:from>
    <xdr:to>
      <xdr:col>5</xdr:col>
      <xdr:colOff>1676400</xdr:colOff>
      <xdr:row>170</xdr:row>
      <xdr:rowOff>152400</xdr:rowOff>
    </xdr:to>
    <xdr:cxnSp macro="">
      <xdr:nvCxnSpPr>
        <xdr:cNvPr id="659" name="Straight Connector 658">
          <a:extLst>
            <a:ext uri="{FF2B5EF4-FFF2-40B4-BE49-F238E27FC236}">
              <a16:creationId xmlns:a16="http://schemas.microsoft.com/office/drawing/2014/main" id="{00000000-0008-0000-0700-000093020000}"/>
            </a:ext>
          </a:extLst>
        </xdr:cNvPr>
        <xdr:cNvCxnSpPr/>
      </xdr:nvCxnSpPr>
      <xdr:spPr>
        <a:xfrm>
          <a:off x="3486150" y="312420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170</xdr:row>
      <xdr:rowOff>127000</xdr:rowOff>
    </xdr:from>
    <xdr:to>
      <xdr:col>5</xdr:col>
      <xdr:colOff>356810</xdr:colOff>
      <xdr:row>170</xdr:row>
      <xdr:rowOff>409912</xdr:rowOff>
    </xdr:to>
    <xdr:cxnSp macro="">
      <xdr:nvCxnSpPr>
        <xdr:cNvPr id="660" name="Straight Connector 659">
          <a:extLst>
            <a:ext uri="{FF2B5EF4-FFF2-40B4-BE49-F238E27FC236}">
              <a16:creationId xmlns:a16="http://schemas.microsoft.com/office/drawing/2014/main" id="{00000000-0008-0000-0700-000094020000}"/>
            </a:ext>
          </a:extLst>
        </xdr:cNvPr>
        <xdr:cNvCxnSpPr/>
      </xdr:nvCxnSpPr>
      <xdr:spPr>
        <a:xfrm flipH="1" flipV="1">
          <a:off x="3481009" y="312166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170</xdr:row>
      <xdr:rowOff>134252</xdr:rowOff>
    </xdr:from>
    <xdr:to>
      <xdr:col>5</xdr:col>
      <xdr:colOff>1652211</xdr:colOff>
      <xdr:row>170</xdr:row>
      <xdr:rowOff>417164</xdr:rowOff>
    </xdr:to>
    <xdr:cxnSp macro="">
      <xdr:nvCxnSpPr>
        <xdr:cNvPr id="661" name="Straight Connector 660">
          <a:extLst>
            <a:ext uri="{FF2B5EF4-FFF2-40B4-BE49-F238E27FC236}">
              <a16:creationId xmlns:a16="http://schemas.microsoft.com/office/drawing/2014/main" id="{00000000-0008-0000-0700-000095020000}"/>
            </a:ext>
          </a:extLst>
        </xdr:cNvPr>
        <xdr:cNvCxnSpPr/>
      </xdr:nvCxnSpPr>
      <xdr:spPr>
        <a:xfrm flipH="1" flipV="1">
          <a:off x="3747710" y="312238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171</xdr:row>
      <xdr:rowOff>123824</xdr:rowOff>
    </xdr:from>
    <xdr:to>
      <xdr:col>5</xdr:col>
      <xdr:colOff>1428750</xdr:colOff>
      <xdr:row>171</xdr:row>
      <xdr:rowOff>1219199</xdr:rowOff>
    </xdr:to>
    <xdr:sp macro="" textlink="">
      <xdr:nvSpPr>
        <xdr:cNvPr id="662" name="Rounded Rectangle 661">
          <a:extLst>
            <a:ext uri="{FF2B5EF4-FFF2-40B4-BE49-F238E27FC236}">
              <a16:creationId xmlns:a16="http://schemas.microsoft.com/office/drawing/2014/main" id="{00000000-0008-0000-0700-000096020000}"/>
            </a:ext>
          </a:extLst>
        </xdr:cNvPr>
        <xdr:cNvSpPr/>
      </xdr:nvSpPr>
      <xdr:spPr>
        <a:xfrm>
          <a:off x="3745230" y="313963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171</xdr:row>
      <xdr:rowOff>238127</xdr:rowOff>
    </xdr:from>
    <xdr:to>
      <xdr:col>5</xdr:col>
      <xdr:colOff>790575</xdr:colOff>
      <xdr:row>171</xdr:row>
      <xdr:rowOff>361950</xdr:rowOff>
    </xdr:to>
    <xdr:cxnSp macro="">
      <xdr:nvCxnSpPr>
        <xdr:cNvPr id="663" name="Straight Connector 662">
          <a:extLst>
            <a:ext uri="{FF2B5EF4-FFF2-40B4-BE49-F238E27FC236}">
              <a16:creationId xmlns:a16="http://schemas.microsoft.com/office/drawing/2014/main" id="{00000000-0008-0000-0700-000097020000}"/>
            </a:ext>
          </a:extLst>
        </xdr:cNvPr>
        <xdr:cNvCxnSpPr/>
      </xdr:nvCxnSpPr>
      <xdr:spPr>
        <a:xfrm flipH="1" flipV="1">
          <a:off x="3749041" y="314572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171</xdr:row>
      <xdr:rowOff>133352</xdr:rowOff>
    </xdr:from>
    <xdr:to>
      <xdr:col>5</xdr:col>
      <xdr:colOff>885825</xdr:colOff>
      <xdr:row>171</xdr:row>
      <xdr:rowOff>257175</xdr:rowOff>
    </xdr:to>
    <xdr:cxnSp macro="">
      <xdr:nvCxnSpPr>
        <xdr:cNvPr id="664" name="Straight Connector 663">
          <a:extLst>
            <a:ext uri="{FF2B5EF4-FFF2-40B4-BE49-F238E27FC236}">
              <a16:creationId xmlns:a16="http://schemas.microsoft.com/office/drawing/2014/main" id="{00000000-0008-0000-0700-000098020000}"/>
            </a:ext>
          </a:extLst>
        </xdr:cNvPr>
        <xdr:cNvCxnSpPr/>
      </xdr:nvCxnSpPr>
      <xdr:spPr>
        <a:xfrm flipH="1" flipV="1">
          <a:off x="3745231" y="314058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169</xdr:row>
      <xdr:rowOff>127000</xdr:rowOff>
    </xdr:from>
    <xdr:to>
      <xdr:col>5</xdr:col>
      <xdr:colOff>356235</xdr:colOff>
      <xdr:row>169</xdr:row>
      <xdr:rowOff>309880</xdr:rowOff>
    </xdr:to>
    <xdr:cxnSp macro="">
      <xdr:nvCxnSpPr>
        <xdr:cNvPr id="665" name="Straight Connector 664">
          <a:extLst>
            <a:ext uri="{FF2B5EF4-FFF2-40B4-BE49-F238E27FC236}">
              <a16:creationId xmlns:a16="http://schemas.microsoft.com/office/drawing/2014/main" id="{00000000-0008-0000-0700-000099020000}"/>
            </a:ext>
          </a:extLst>
        </xdr:cNvPr>
        <xdr:cNvCxnSpPr/>
      </xdr:nvCxnSpPr>
      <xdr:spPr>
        <a:xfrm flipH="1" flipV="1">
          <a:off x="3480435" y="31033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169</xdr:row>
      <xdr:rowOff>400050</xdr:rowOff>
    </xdr:from>
    <xdr:to>
      <xdr:col>5</xdr:col>
      <xdr:colOff>1666875</xdr:colOff>
      <xdr:row>169</xdr:row>
      <xdr:rowOff>400050</xdr:rowOff>
    </xdr:to>
    <xdr:cxnSp macro="">
      <xdr:nvCxnSpPr>
        <xdr:cNvPr id="666" name="Straight Connector 665">
          <a:extLst>
            <a:ext uri="{FF2B5EF4-FFF2-40B4-BE49-F238E27FC236}">
              <a16:creationId xmlns:a16="http://schemas.microsoft.com/office/drawing/2014/main" id="{00000000-0008-0000-0700-00009A020000}"/>
            </a:ext>
          </a:extLst>
        </xdr:cNvPr>
        <xdr:cNvCxnSpPr/>
      </xdr:nvCxnSpPr>
      <xdr:spPr>
        <a:xfrm>
          <a:off x="3476625" y="310857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169</xdr:row>
      <xdr:rowOff>127000</xdr:rowOff>
    </xdr:from>
    <xdr:to>
      <xdr:col>5</xdr:col>
      <xdr:colOff>356810</xdr:colOff>
      <xdr:row>169</xdr:row>
      <xdr:rowOff>409912</xdr:rowOff>
    </xdr:to>
    <xdr:cxnSp macro="">
      <xdr:nvCxnSpPr>
        <xdr:cNvPr id="667" name="Straight Connector 666">
          <a:extLst>
            <a:ext uri="{FF2B5EF4-FFF2-40B4-BE49-F238E27FC236}">
              <a16:creationId xmlns:a16="http://schemas.microsoft.com/office/drawing/2014/main" id="{00000000-0008-0000-0700-00009B020000}"/>
            </a:ext>
          </a:extLst>
        </xdr:cNvPr>
        <xdr:cNvCxnSpPr/>
      </xdr:nvCxnSpPr>
      <xdr:spPr>
        <a:xfrm flipH="1" flipV="1">
          <a:off x="3481009" y="31033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169</xdr:row>
      <xdr:rowOff>134252</xdr:rowOff>
    </xdr:from>
    <xdr:to>
      <xdr:col>5</xdr:col>
      <xdr:colOff>1652211</xdr:colOff>
      <xdr:row>169</xdr:row>
      <xdr:rowOff>417164</xdr:rowOff>
    </xdr:to>
    <xdr:cxnSp macro="">
      <xdr:nvCxnSpPr>
        <xdr:cNvPr id="668" name="Straight Connector 667">
          <a:extLst>
            <a:ext uri="{FF2B5EF4-FFF2-40B4-BE49-F238E27FC236}">
              <a16:creationId xmlns:a16="http://schemas.microsoft.com/office/drawing/2014/main" id="{00000000-0008-0000-0700-00009C020000}"/>
            </a:ext>
          </a:extLst>
        </xdr:cNvPr>
        <xdr:cNvCxnSpPr/>
      </xdr:nvCxnSpPr>
      <xdr:spPr>
        <a:xfrm flipH="1" flipV="1">
          <a:off x="3747710" y="31040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170</xdr:row>
      <xdr:rowOff>127000</xdr:rowOff>
    </xdr:from>
    <xdr:to>
      <xdr:col>5</xdr:col>
      <xdr:colOff>356235</xdr:colOff>
      <xdr:row>170</xdr:row>
      <xdr:rowOff>309880</xdr:rowOff>
    </xdr:to>
    <xdr:cxnSp macro="">
      <xdr:nvCxnSpPr>
        <xdr:cNvPr id="669" name="Straight Connector 668">
          <a:extLst>
            <a:ext uri="{FF2B5EF4-FFF2-40B4-BE49-F238E27FC236}">
              <a16:creationId xmlns:a16="http://schemas.microsoft.com/office/drawing/2014/main" id="{00000000-0008-0000-0700-00009D020000}"/>
            </a:ext>
          </a:extLst>
        </xdr:cNvPr>
        <xdr:cNvCxnSpPr/>
      </xdr:nvCxnSpPr>
      <xdr:spPr>
        <a:xfrm flipH="1" flipV="1">
          <a:off x="3480435" y="312166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170</xdr:row>
      <xdr:rowOff>152400</xdr:rowOff>
    </xdr:from>
    <xdr:to>
      <xdr:col>5</xdr:col>
      <xdr:colOff>1676400</xdr:colOff>
      <xdr:row>170</xdr:row>
      <xdr:rowOff>152400</xdr:rowOff>
    </xdr:to>
    <xdr:cxnSp macro="">
      <xdr:nvCxnSpPr>
        <xdr:cNvPr id="670" name="Straight Connector 669">
          <a:extLst>
            <a:ext uri="{FF2B5EF4-FFF2-40B4-BE49-F238E27FC236}">
              <a16:creationId xmlns:a16="http://schemas.microsoft.com/office/drawing/2014/main" id="{00000000-0008-0000-0700-00009E020000}"/>
            </a:ext>
          </a:extLst>
        </xdr:cNvPr>
        <xdr:cNvCxnSpPr/>
      </xdr:nvCxnSpPr>
      <xdr:spPr>
        <a:xfrm>
          <a:off x="3486150" y="312420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170</xdr:row>
      <xdr:rowOff>127000</xdr:rowOff>
    </xdr:from>
    <xdr:to>
      <xdr:col>5</xdr:col>
      <xdr:colOff>356810</xdr:colOff>
      <xdr:row>170</xdr:row>
      <xdr:rowOff>409912</xdr:rowOff>
    </xdr:to>
    <xdr:cxnSp macro="">
      <xdr:nvCxnSpPr>
        <xdr:cNvPr id="671" name="Straight Connector 670">
          <a:extLst>
            <a:ext uri="{FF2B5EF4-FFF2-40B4-BE49-F238E27FC236}">
              <a16:creationId xmlns:a16="http://schemas.microsoft.com/office/drawing/2014/main" id="{00000000-0008-0000-0700-00009F020000}"/>
            </a:ext>
          </a:extLst>
        </xdr:cNvPr>
        <xdr:cNvCxnSpPr/>
      </xdr:nvCxnSpPr>
      <xdr:spPr>
        <a:xfrm flipH="1" flipV="1">
          <a:off x="3481009" y="312166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170</xdr:row>
      <xdr:rowOff>134252</xdr:rowOff>
    </xdr:from>
    <xdr:to>
      <xdr:col>5</xdr:col>
      <xdr:colOff>1652211</xdr:colOff>
      <xdr:row>170</xdr:row>
      <xdr:rowOff>417164</xdr:rowOff>
    </xdr:to>
    <xdr:cxnSp macro="">
      <xdr:nvCxnSpPr>
        <xdr:cNvPr id="672" name="Straight Connector 671">
          <a:extLst>
            <a:ext uri="{FF2B5EF4-FFF2-40B4-BE49-F238E27FC236}">
              <a16:creationId xmlns:a16="http://schemas.microsoft.com/office/drawing/2014/main" id="{00000000-0008-0000-0700-0000A0020000}"/>
            </a:ext>
          </a:extLst>
        </xdr:cNvPr>
        <xdr:cNvCxnSpPr/>
      </xdr:nvCxnSpPr>
      <xdr:spPr>
        <a:xfrm flipH="1" flipV="1">
          <a:off x="3747710" y="312238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171</xdr:row>
      <xdr:rowOff>123824</xdr:rowOff>
    </xdr:from>
    <xdr:to>
      <xdr:col>5</xdr:col>
      <xdr:colOff>1428750</xdr:colOff>
      <xdr:row>171</xdr:row>
      <xdr:rowOff>1219199</xdr:rowOff>
    </xdr:to>
    <xdr:sp macro="" textlink="">
      <xdr:nvSpPr>
        <xdr:cNvPr id="673" name="Rounded Rectangle 672">
          <a:extLst>
            <a:ext uri="{FF2B5EF4-FFF2-40B4-BE49-F238E27FC236}">
              <a16:creationId xmlns:a16="http://schemas.microsoft.com/office/drawing/2014/main" id="{00000000-0008-0000-0700-0000A1020000}"/>
            </a:ext>
          </a:extLst>
        </xdr:cNvPr>
        <xdr:cNvSpPr/>
      </xdr:nvSpPr>
      <xdr:spPr>
        <a:xfrm>
          <a:off x="3745230" y="313963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171</xdr:row>
      <xdr:rowOff>238127</xdr:rowOff>
    </xdr:from>
    <xdr:to>
      <xdr:col>5</xdr:col>
      <xdr:colOff>790575</xdr:colOff>
      <xdr:row>171</xdr:row>
      <xdr:rowOff>361950</xdr:rowOff>
    </xdr:to>
    <xdr:cxnSp macro="">
      <xdr:nvCxnSpPr>
        <xdr:cNvPr id="674" name="Straight Connector 673">
          <a:extLst>
            <a:ext uri="{FF2B5EF4-FFF2-40B4-BE49-F238E27FC236}">
              <a16:creationId xmlns:a16="http://schemas.microsoft.com/office/drawing/2014/main" id="{00000000-0008-0000-0700-0000A2020000}"/>
            </a:ext>
          </a:extLst>
        </xdr:cNvPr>
        <xdr:cNvCxnSpPr/>
      </xdr:nvCxnSpPr>
      <xdr:spPr>
        <a:xfrm flipH="1" flipV="1">
          <a:off x="3749041" y="314572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171</xdr:row>
      <xdr:rowOff>133352</xdr:rowOff>
    </xdr:from>
    <xdr:to>
      <xdr:col>5</xdr:col>
      <xdr:colOff>885825</xdr:colOff>
      <xdr:row>171</xdr:row>
      <xdr:rowOff>257175</xdr:rowOff>
    </xdr:to>
    <xdr:cxnSp macro="">
      <xdr:nvCxnSpPr>
        <xdr:cNvPr id="675" name="Straight Connector 674">
          <a:extLst>
            <a:ext uri="{FF2B5EF4-FFF2-40B4-BE49-F238E27FC236}">
              <a16:creationId xmlns:a16="http://schemas.microsoft.com/office/drawing/2014/main" id="{00000000-0008-0000-0700-0000A3020000}"/>
            </a:ext>
          </a:extLst>
        </xdr:cNvPr>
        <xdr:cNvCxnSpPr/>
      </xdr:nvCxnSpPr>
      <xdr:spPr>
        <a:xfrm flipH="1" flipV="1">
          <a:off x="3745231" y="314058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169</xdr:row>
      <xdr:rowOff>127000</xdr:rowOff>
    </xdr:from>
    <xdr:to>
      <xdr:col>5</xdr:col>
      <xdr:colOff>356235</xdr:colOff>
      <xdr:row>169</xdr:row>
      <xdr:rowOff>309880</xdr:rowOff>
    </xdr:to>
    <xdr:cxnSp macro="">
      <xdr:nvCxnSpPr>
        <xdr:cNvPr id="676" name="Straight Connector 675">
          <a:extLst>
            <a:ext uri="{FF2B5EF4-FFF2-40B4-BE49-F238E27FC236}">
              <a16:creationId xmlns:a16="http://schemas.microsoft.com/office/drawing/2014/main" id="{00000000-0008-0000-0700-0000A4020000}"/>
            </a:ext>
          </a:extLst>
        </xdr:cNvPr>
        <xdr:cNvCxnSpPr/>
      </xdr:nvCxnSpPr>
      <xdr:spPr>
        <a:xfrm flipH="1" flipV="1">
          <a:off x="3480435" y="31033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169</xdr:row>
      <xdr:rowOff>400050</xdr:rowOff>
    </xdr:from>
    <xdr:to>
      <xdr:col>5</xdr:col>
      <xdr:colOff>1666875</xdr:colOff>
      <xdr:row>169</xdr:row>
      <xdr:rowOff>400050</xdr:rowOff>
    </xdr:to>
    <xdr:cxnSp macro="">
      <xdr:nvCxnSpPr>
        <xdr:cNvPr id="677" name="Straight Connector 676">
          <a:extLst>
            <a:ext uri="{FF2B5EF4-FFF2-40B4-BE49-F238E27FC236}">
              <a16:creationId xmlns:a16="http://schemas.microsoft.com/office/drawing/2014/main" id="{00000000-0008-0000-0700-0000A5020000}"/>
            </a:ext>
          </a:extLst>
        </xdr:cNvPr>
        <xdr:cNvCxnSpPr/>
      </xdr:nvCxnSpPr>
      <xdr:spPr>
        <a:xfrm>
          <a:off x="3476625" y="310857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169</xdr:row>
      <xdr:rowOff>127000</xdr:rowOff>
    </xdr:from>
    <xdr:to>
      <xdr:col>5</xdr:col>
      <xdr:colOff>356810</xdr:colOff>
      <xdr:row>169</xdr:row>
      <xdr:rowOff>409912</xdr:rowOff>
    </xdr:to>
    <xdr:cxnSp macro="">
      <xdr:nvCxnSpPr>
        <xdr:cNvPr id="678" name="Straight Connector 677">
          <a:extLst>
            <a:ext uri="{FF2B5EF4-FFF2-40B4-BE49-F238E27FC236}">
              <a16:creationId xmlns:a16="http://schemas.microsoft.com/office/drawing/2014/main" id="{00000000-0008-0000-0700-0000A6020000}"/>
            </a:ext>
          </a:extLst>
        </xdr:cNvPr>
        <xdr:cNvCxnSpPr/>
      </xdr:nvCxnSpPr>
      <xdr:spPr>
        <a:xfrm flipH="1" flipV="1">
          <a:off x="3481009" y="31033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169</xdr:row>
      <xdr:rowOff>134252</xdr:rowOff>
    </xdr:from>
    <xdr:to>
      <xdr:col>5</xdr:col>
      <xdr:colOff>1652211</xdr:colOff>
      <xdr:row>169</xdr:row>
      <xdr:rowOff>417164</xdr:rowOff>
    </xdr:to>
    <xdr:cxnSp macro="">
      <xdr:nvCxnSpPr>
        <xdr:cNvPr id="679" name="Straight Connector 678">
          <a:extLst>
            <a:ext uri="{FF2B5EF4-FFF2-40B4-BE49-F238E27FC236}">
              <a16:creationId xmlns:a16="http://schemas.microsoft.com/office/drawing/2014/main" id="{00000000-0008-0000-0700-0000A7020000}"/>
            </a:ext>
          </a:extLst>
        </xdr:cNvPr>
        <xdr:cNvCxnSpPr/>
      </xdr:nvCxnSpPr>
      <xdr:spPr>
        <a:xfrm flipH="1" flipV="1">
          <a:off x="3747710" y="31040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170</xdr:row>
      <xdr:rowOff>127000</xdr:rowOff>
    </xdr:from>
    <xdr:to>
      <xdr:col>5</xdr:col>
      <xdr:colOff>356235</xdr:colOff>
      <xdr:row>170</xdr:row>
      <xdr:rowOff>309880</xdr:rowOff>
    </xdr:to>
    <xdr:cxnSp macro="">
      <xdr:nvCxnSpPr>
        <xdr:cNvPr id="680" name="Straight Connector 679">
          <a:extLst>
            <a:ext uri="{FF2B5EF4-FFF2-40B4-BE49-F238E27FC236}">
              <a16:creationId xmlns:a16="http://schemas.microsoft.com/office/drawing/2014/main" id="{00000000-0008-0000-0700-0000A8020000}"/>
            </a:ext>
          </a:extLst>
        </xdr:cNvPr>
        <xdr:cNvCxnSpPr/>
      </xdr:nvCxnSpPr>
      <xdr:spPr>
        <a:xfrm flipH="1" flipV="1">
          <a:off x="3480435" y="312166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170</xdr:row>
      <xdr:rowOff>152400</xdr:rowOff>
    </xdr:from>
    <xdr:to>
      <xdr:col>5</xdr:col>
      <xdr:colOff>1676400</xdr:colOff>
      <xdr:row>170</xdr:row>
      <xdr:rowOff>152400</xdr:rowOff>
    </xdr:to>
    <xdr:cxnSp macro="">
      <xdr:nvCxnSpPr>
        <xdr:cNvPr id="681" name="Straight Connector 680">
          <a:extLst>
            <a:ext uri="{FF2B5EF4-FFF2-40B4-BE49-F238E27FC236}">
              <a16:creationId xmlns:a16="http://schemas.microsoft.com/office/drawing/2014/main" id="{00000000-0008-0000-0700-0000A9020000}"/>
            </a:ext>
          </a:extLst>
        </xdr:cNvPr>
        <xdr:cNvCxnSpPr/>
      </xdr:nvCxnSpPr>
      <xdr:spPr>
        <a:xfrm>
          <a:off x="3486150" y="312420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170</xdr:row>
      <xdr:rowOff>127000</xdr:rowOff>
    </xdr:from>
    <xdr:to>
      <xdr:col>5</xdr:col>
      <xdr:colOff>356810</xdr:colOff>
      <xdr:row>170</xdr:row>
      <xdr:rowOff>409912</xdr:rowOff>
    </xdr:to>
    <xdr:cxnSp macro="">
      <xdr:nvCxnSpPr>
        <xdr:cNvPr id="682" name="Straight Connector 681">
          <a:extLst>
            <a:ext uri="{FF2B5EF4-FFF2-40B4-BE49-F238E27FC236}">
              <a16:creationId xmlns:a16="http://schemas.microsoft.com/office/drawing/2014/main" id="{00000000-0008-0000-0700-0000AA020000}"/>
            </a:ext>
          </a:extLst>
        </xdr:cNvPr>
        <xdr:cNvCxnSpPr/>
      </xdr:nvCxnSpPr>
      <xdr:spPr>
        <a:xfrm flipH="1" flipV="1">
          <a:off x="3481009" y="312166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171</xdr:row>
      <xdr:rowOff>123824</xdr:rowOff>
    </xdr:from>
    <xdr:to>
      <xdr:col>5</xdr:col>
      <xdr:colOff>1428750</xdr:colOff>
      <xdr:row>171</xdr:row>
      <xdr:rowOff>1219199</xdr:rowOff>
    </xdr:to>
    <xdr:sp macro="" textlink="">
      <xdr:nvSpPr>
        <xdr:cNvPr id="683" name="Rounded Rectangle 682">
          <a:extLst>
            <a:ext uri="{FF2B5EF4-FFF2-40B4-BE49-F238E27FC236}">
              <a16:creationId xmlns:a16="http://schemas.microsoft.com/office/drawing/2014/main" id="{00000000-0008-0000-0700-0000AB020000}"/>
            </a:ext>
          </a:extLst>
        </xdr:cNvPr>
        <xdr:cNvSpPr/>
      </xdr:nvSpPr>
      <xdr:spPr>
        <a:xfrm>
          <a:off x="3745230" y="313963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171</xdr:row>
      <xdr:rowOff>238127</xdr:rowOff>
    </xdr:from>
    <xdr:to>
      <xdr:col>5</xdr:col>
      <xdr:colOff>790575</xdr:colOff>
      <xdr:row>171</xdr:row>
      <xdr:rowOff>361950</xdr:rowOff>
    </xdr:to>
    <xdr:cxnSp macro="">
      <xdr:nvCxnSpPr>
        <xdr:cNvPr id="684" name="Straight Connector 683">
          <a:extLst>
            <a:ext uri="{FF2B5EF4-FFF2-40B4-BE49-F238E27FC236}">
              <a16:creationId xmlns:a16="http://schemas.microsoft.com/office/drawing/2014/main" id="{00000000-0008-0000-0700-0000AC020000}"/>
            </a:ext>
          </a:extLst>
        </xdr:cNvPr>
        <xdr:cNvCxnSpPr/>
      </xdr:nvCxnSpPr>
      <xdr:spPr>
        <a:xfrm flipH="1" flipV="1">
          <a:off x="3749041" y="314572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171</xdr:row>
      <xdr:rowOff>133352</xdr:rowOff>
    </xdr:from>
    <xdr:to>
      <xdr:col>5</xdr:col>
      <xdr:colOff>885825</xdr:colOff>
      <xdr:row>171</xdr:row>
      <xdr:rowOff>257175</xdr:rowOff>
    </xdr:to>
    <xdr:cxnSp macro="">
      <xdr:nvCxnSpPr>
        <xdr:cNvPr id="685" name="Straight Connector 684">
          <a:extLst>
            <a:ext uri="{FF2B5EF4-FFF2-40B4-BE49-F238E27FC236}">
              <a16:creationId xmlns:a16="http://schemas.microsoft.com/office/drawing/2014/main" id="{00000000-0008-0000-0700-0000AD020000}"/>
            </a:ext>
          </a:extLst>
        </xdr:cNvPr>
        <xdr:cNvCxnSpPr/>
      </xdr:nvCxnSpPr>
      <xdr:spPr>
        <a:xfrm flipH="1" flipV="1">
          <a:off x="3745231" y="314058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174</xdr:row>
      <xdr:rowOff>127000</xdr:rowOff>
    </xdr:from>
    <xdr:to>
      <xdr:col>5</xdr:col>
      <xdr:colOff>356235</xdr:colOff>
      <xdr:row>174</xdr:row>
      <xdr:rowOff>309880</xdr:rowOff>
    </xdr:to>
    <xdr:cxnSp macro="">
      <xdr:nvCxnSpPr>
        <xdr:cNvPr id="686" name="Straight Connector 685">
          <a:extLst>
            <a:ext uri="{FF2B5EF4-FFF2-40B4-BE49-F238E27FC236}">
              <a16:creationId xmlns:a16="http://schemas.microsoft.com/office/drawing/2014/main" id="{00000000-0008-0000-0700-0000AE020000}"/>
            </a:ext>
          </a:extLst>
        </xdr:cNvPr>
        <xdr:cNvCxnSpPr/>
      </xdr:nvCxnSpPr>
      <xdr:spPr>
        <a:xfrm flipH="1" flipV="1">
          <a:off x="3480435" y="31948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174</xdr:row>
      <xdr:rowOff>400050</xdr:rowOff>
    </xdr:from>
    <xdr:to>
      <xdr:col>5</xdr:col>
      <xdr:colOff>1666875</xdr:colOff>
      <xdr:row>174</xdr:row>
      <xdr:rowOff>400050</xdr:rowOff>
    </xdr:to>
    <xdr:cxnSp macro="">
      <xdr:nvCxnSpPr>
        <xdr:cNvPr id="687" name="Straight Connector 686">
          <a:extLst>
            <a:ext uri="{FF2B5EF4-FFF2-40B4-BE49-F238E27FC236}">
              <a16:creationId xmlns:a16="http://schemas.microsoft.com/office/drawing/2014/main" id="{00000000-0008-0000-0700-0000AF020000}"/>
            </a:ext>
          </a:extLst>
        </xdr:cNvPr>
        <xdr:cNvCxnSpPr/>
      </xdr:nvCxnSpPr>
      <xdr:spPr>
        <a:xfrm>
          <a:off x="3476625" y="32000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174</xdr:row>
      <xdr:rowOff>127000</xdr:rowOff>
    </xdr:from>
    <xdr:to>
      <xdr:col>5</xdr:col>
      <xdr:colOff>356810</xdr:colOff>
      <xdr:row>174</xdr:row>
      <xdr:rowOff>409912</xdr:rowOff>
    </xdr:to>
    <xdr:cxnSp macro="">
      <xdr:nvCxnSpPr>
        <xdr:cNvPr id="688" name="Straight Connector 687">
          <a:extLst>
            <a:ext uri="{FF2B5EF4-FFF2-40B4-BE49-F238E27FC236}">
              <a16:creationId xmlns:a16="http://schemas.microsoft.com/office/drawing/2014/main" id="{00000000-0008-0000-0700-0000B0020000}"/>
            </a:ext>
          </a:extLst>
        </xdr:cNvPr>
        <xdr:cNvCxnSpPr/>
      </xdr:nvCxnSpPr>
      <xdr:spPr>
        <a:xfrm flipH="1" flipV="1">
          <a:off x="3481009" y="31948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174</xdr:row>
      <xdr:rowOff>134252</xdr:rowOff>
    </xdr:from>
    <xdr:to>
      <xdr:col>5</xdr:col>
      <xdr:colOff>1652211</xdr:colOff>
      <xdr:row>174</xdr:row>
      <xdr:rowOff>417164</xdr:rowOff>
    </xdr:to>
    <xdr:cxnSp macro="">
      <xdr:nvCxnSpPr>
        <xdr:cNvPr id="689" name="Straight Connector 688">
          <a:extLst>
            <a:ext uri="{FF2B5EF4-FFF2-40B4-BE49-F238E27FC236}">
              <a16:creationId xmlns:a16="http://schemas.microsoft.com/office/drawing/2014/main" id="{00000000-0008-0000-0700-0000B1020000}"/>
            </a:ext>
          </a:extLst>
        </xdr:cNvPr>
        <xdr:cNvCxnSpPr/>
      </xdr:nvCxnSpPr>
      <xdr:spPr>
        <a:xfrm flipH="1" flipV="1">
          <a:off x="3747710" y="31955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175</xdr:row>
      <xdr:rowOff>127000</xdr:rowOff>
    </xdr:from>
    <xdr:to>
      <xdr:col>5</xdr:col>
      <xdr:colOff>356235</xdr:colOff>
      <xdr:row>175</xdr:row>
      <xdr:rowOff>309880</xdr:rowOff>
    </xdr:to>
    <xdr:cxnSp macro="">
      <xdr:nvCxnSpPr>
        <xdr:cNvPr id="690" name="Straight Connector 689">
          <a:extLst>
            <a:ext uri="{FF2B5EF4-FFF2-40B4-BE49-F238E27FC236}">
              <a16:creationId xmlns:a16="http://schemas.microsoft.com/office/drawing/2014/main" id="{00000000-0008-0000-0700-0000B2020000}"/>
            </a:ext>
          </a:extLst>
        </xdr:cNvPr>
        <xdr:cNvCxnSpPr/>
      </xdr:nvCxnSpPr>
      <xdr:spPr>
        <a:xfrm flipH="1" flipV="1">
          <a:off x="3480435" y="32131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175</xdr:row>
      <xdr:rowOff>152400</xdr:rowOff>
    </xdr:from>
    <xdr:to>
      <xdr:col>5</xdr:col>
      <xdr:colOff>1676400</xdr:colOff>
      <xdr:row>175</xdr:row>
      <xdr:rowOff>152400</xdr:rowOff>
    </xdr:to>
    <xdr:cxnSp macro="">
      <xdr:nvCxnSpPr>
        <xdr:cNvPr id="691" name="Straight Connector 690">
          <a:extLst>
            <a:ext uri="{FF2B5EF4-FFF2-40B4-BE49-F238E27FC236}">
              <a16:creationId xmlns:a16="http://schemas.microsoft.com/office/drawing/2014/main" id="{00000000-0008-0000-0700-0000B3020000}"/>
            </a:ext>
          </a:extLst>
        </xdr:cNvPr>
        <xdr:cNvCxnSpPr/>
      </xdr:nvCxnSpPr>
      <xdr:spPr>
        <a:xfrm>
          <a:off x="3486150" y="32156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175</xdr:row>
      <xdr:rowOff>127000</xdr:rowOff>
    </xdr:from>
    <xdr:to>
      <xdr:col>5</xdr:col>
      <xdr:colOff>356810</xdr:colOff>
      <xdr:row>175</xdr:row>
      <xdr:rowOff>409912</xdr:rowOff>
    </xdr:to>
    <xdr:cxnSp macro="">
      <xdr:nvCxnSpPr>
        <xdr:cNvPr id="692" name="Straight Connector 691">
          <a:extLst>
            <a:ext uri="{FF2B5EF4-FFF2-40B4-BE49-F238E27FC236}">
              <a16:creationId xmlns:a16="http://schemas.microsoft.com/office/drawing/2014/main" id="{00000000-0008-0000-0700-0000B4020000}"/>
            </a:ext>
          </a:extLst>
        </xdr:cNvPr>
        <xdr:cNvCxnSpPr/>
      </xdr:nvCxnSpPr>
      <xdr:spPr>
        <a:xfrm flipH="1" flipV="1">
          <a:off x="3481009" y="32131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175</xdr:row>
      <xdr:rowOff>134252</xdr:rowOff>
    </xdr:from>
    <xdr:to>
      <xdr:col>5</xdr:col>
      <xdr:colOff>1652211</xdr:colOff>
      <xdr:row>175</xdr:row>
      <xdr:rowOff>417164</xdr:rowOff>
    </xdr:to>
    <xdr:cxnSp macro="">
      <xdr:nvCxnSpPr>
        <xdr:cNvPr id="693" name="Straight Connector 692">
          <a:extLst>
            <a:ext uri="{FF2B5EF4-FFF2-40B4-BE49-F238E27FC236}">
              <a16:creationId xmlns:a16="http://schemas.microsoft.com/office/drawing/2014/main" id="{00000000-0008-0000-0700-0000B5020000}"/>
            </a:ext>
          </a:extLst>
        </xdr:cNvPr>
        <xdr:cNvCxnSpPr/>
      </xdr:nvCxnSpPr>
      <xdr:spPr>
        <a:xfrm flipH="1" flipV="1">
          <a:off x="3747710" y="32138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176</xdr:row>
      <xdr:rowOff>123824</xdr:rowOff>
    </xdr:from>
    <xdr:to>
      <xdr:col>5</xdr:col>
      <xdr:colOff>1428750</xdr:colOff>
      <xdr:row>176</xdr:row>
      <xdr:rowOff>1219199</xdr:rowOff>
    </xdr:to>
    <xdr:sp macro="" textlink="">
      <xdr:nvSpPr>
        <xdr:cNvPr id="694" name="Rounded Rectangle 693">
          <a:extLst>
            <a:ext uri="{FF2B5EF4-FFF2-40B4-BE49-F238E27FC236}">
              <a16:creationId xmlns:a16="http://schemas.microsoft.com/office/drawing/2014/main" id="{00000000-0008-0000-0700-0000B6020000}"/>
            </a:ext>
          </a:extLst>
        </xdr:cNvPr>
        <xdr:cNvSpPr/>
      </xdr:nvSpPr>
      <xdr:spPr>
        <a:xfrm>
          <a:off x="3745230" y="32310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176</xdr:row>
      <xdr:rowOff>238127</xdr:rowOff>
    </xdr:from>
    <xdr:to>
      <xdr:col>5</xdr:col>
      <xdr:colOff>790575</xdr:colOff>
      <xdr:row>176</xdr:row>
      <xdr:rowOff>361950</xdr:rowOff>
    </xdr:to>
    <xdr:cxnSp macro="">
      <xdr:nvCxnSpPr>
        <xdr:cNvPr id="695" name="Straight Connector 694">
          <a:extLst>
            <a:ext uri="{FF2B5EF4-FFF2-40B4-BE49-F238E27FC236}">
              <a16:creationId xmlns:a16="http://schemas.microsoft.com/office/drawing/2014/main" id="{00000000-0008-0000-0700-0000B7020000}"/>
            </a:ext>
          </a:extLst>
        </xdr:cNvPr>
        <xdr:cNvCxnSpPr/>
      </xdr:nvCxnSpPr>
      <xdr:spPr>
        <a:xfrm flipH="1" flipV="1">
          <a:off x="3749041" y="32371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176</xdr:row>
      <xdr:rowOff>133352</xdr:rowOff>
    </xdr:from>
    <xdr:to>
      <xdr:col>5</xdr:col>
      <xdr:colOff>885825</xdr:colOff>
      <xdr:row>176</xdr:row>
      <xdr:rowOff>257175</xdr:rowOff>
    </xdr:to>
    <xdr:cxnSp macro="">
      <xdr:nvCxnSpPr>
        <xdr:cNvPr id="696" name="Straight Connector 695">
          <a:extLst>
            <a:ext uri="{FF2B5EF4-FFF2-40B4-BE49-F238E27FC236}">
              <a16:creationId xmlns:a16="http://schemas.microsoft.com/office/drawing/2014/main" id="{00000000-0008-0000-0700-0000B8020000}"/>
            </a:ext>
          </a:extLst>
        </xdr:cNvPr>
        <xdr:cNvCxnSpPr/>
      </xdr:nvCxnSpPr>
      <xdr:spPr>
        <a:xfrm flipH="1" flipV="1">
          <a:off x="3745231" y="32320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174</xdr:row>
      <xdr:rowOff>127000</xdr:rowOff>
    </xdr:from>
    <xdr:to>
      <xdr:col>5</xdr:col>
      <xdr:colOff>356235</xdr:colOff>
      <xdr:row>174</xdr:row>
      <xdr:rowOff>309880</xdr:rowOff>
    </xdr:to>
    <xdr:cxnSp macro="">
      <xdr:nvCxnSpPr>
        <xdr:cNvPr id="697" name="Straight Connector 696">
          <a:extLst>
            <a:ext uri="{FF2B5EF4-FFF2-40B4-BE49-F238E27FC236}">
              <a16:creationId xmlns:a16="http://schemas.microsoft.com/office/drawing/2014/main" id="{00000000-0008-0000-0700-0000B9020000}"/>
            </a:ext>
          </a:extLst>
        </xdr:cNvPr>
        <xdr:cNvCxnSpPr/>
      </xdr:nvCxnSpPr>
      <xdr:spPr>
        <a:xfrm flipH="1" flipV="1">
          <a:off x="3480435" y="31948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174</xdr:row>
      <xdr:rowOff>400050</xdr:rowOff>
    </xdr:from>
    <xdr:to>
      <xdr:col>5</xdr:col>
      <xdr:colOff>1666875</xdr:colOff>
      <xdr:row>174</xdr:row>
      <xdr:rowOff>400050</xdr:rowOff>
    </xdr:to>
    <xdr:cxnSp macro="">
      <xdr:nvCxnSpPr>
        <xdr:cNvPr id="698" name="Straight Connector 697">
          <a:extLst>
            <a:ext uri="{FF2B5EF4-FFF2-40B4-BE49-F238E27FC236}">
              <a16:creationId xmlns:a16="http://schemas.microsoft.com/office/drawing/2014/main" id="{00000000-0008-0000-0700-0000BA020000}"/>
            </a:ext>
          </a:extLst>
        </xdr:cNvPr>
        <xdr:cNvCxnSpPr/>
      </xdr:nvCxnSpPr>
      <xdr:spPr>
        <a:xfrm>
          <a:off x="3476625" y="32000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174</xdr:row>
      <xdr:rowOff>127000</xdr:rowOff>
    </xdr:from>
    <xdr:to>
      <xdr:col>5</xdr:col>
      <xdr:colOff>356810</xdr:colOff>
      <xdr:row>174</xdr:row>
      <xdr:rowOff>409912</xdr:rowOff>
    </xdr:to>
    <xdr:cxnSp macro="">
      <xdr:nvCxnSpPr>
        <xdr:cNvPr id="699" name="Straight Connector 698">
          <a:extLst>
            <a:ext uri="{FF2B5EF4-FFF2-40B4-BE49-F238E27FC236}">
              <a16:creationId xmlns:a16="http://schemas.microsoft.com/office/drawing/2014/main" id="{00000000-0008-0000-0700-0000BB020000}"/>
            </a:ext>
          </a:extLst>
        </xdr:cNvPr>
        <xdr:cNvCxnSpPr/>
      </xdr:nvCxnSpPr>
      <xdr:spPr>
        <a:xfrm flipH="1" flipV="1">
          <a:off x="3481009" y="31948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174</xdr:row>
      <xdr:rowOff>134252</xdr:rowOff>
    </xdr:from>
    <xdr:to>
      <xdr:col>5</xdr:col>
      <xdr:colOff>1652211</xdr:colOff>
      <xdr:row>174</xdr:row>
      <xdr:rowOff>417164</xdr:rowOff>
    </xdr:to>
    <xdr:cxnSp macro="">
      <xdr:nvCxnSpPr>
        <xdr:cNvPr id="700" name="Straight Connector 699">
          <a:extLst>
            <a:ext uri="{FF2B5EF4-FFF2-40B4-BE49-F238E27FC236}">
              <a16:creationId xmlns:a16="http://schemas.microsoft.com/office/drawing/2014/main" id="{00000000-0008-0000-0700-0000BC020000}"/>
            </a:ext>
          </a:extLst>
        </xdr:cNvPr>
        <xdr:cNvCxnSpPr/>
      </xdr:nvCxnSpPr>
      <xdr:spPr>
        <a:xfrm flipH="1" flipV="1">
          <a:off x="3747710" y="31955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175</xdr:row>
      <xdr:rowOff>127000</xdr:rowOff>
    </xdr:from>
    <xdr:to>
      <xdr:col>5</xdr:col>
      <xdr:colOff>356235</xdr:colOff>
      <xdr:row>175</xdr:row>
      <xdr:rowOff>309880</xdr:rowOff>
    </xdr:to>
    <xdr:cxnSp macro="">
      <xdr:nvCxnSpPr>
        <xdr:cNvPr id="701" name="Straight Connector 700">
          <a:extLst>
            <a:ext uri="{FF2B5EF4-FFF2-40B4-BE49-F238E27FC236}">
              <a16:creationId xmlns:a16="http://schemas.microsoft.com/office/drawing/2014/main" id="{00000000-0008-0000-0700-0000BD020000}"/>
            </a:ext>
          </a:extLst>
        </xdr:cNvPr>
        <xdr:cNvCxnSpPr/>
      </xdr:nvCxnSpPr>
      <xdr:spPr>
        <a:xfrm flipH="1" flipV="1">
          <a:off x="3480435" y="32131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175</xdr:row>
      <xdr:rowOff>152400</xdr:rowOff>
    </xdr:from>
    <xdr:to>
      <xdr:col>5</xdr:col>
      <xdr:colOff>1676400</xdr:colOff>
      <xdr:row>175</xdr:row>
      <xdr:rowOff>152400</xdr:rowOff>
    </xdr:to>
    <xdr:cxnSp macro="">
      <xdr:nvCxnSpPr>
        <xdr:cNvPr id="702" name="Straight Connector 701">
          <a:extLst>
            <a:ext uri="{FF2B5EF4-FFF2-40B4-BE49-F238E27FC236}">
              <a16:creationId xmlns:a16="http://schemas.microsoft.com/office/drawing/2014/main" id="{00000000-0008-0000-0700-0000BE020000}"/>
            </a:ext>
          </a:extLst>
        </xdr:cNvPr>
        <xdr:cNvCxnSpPr/>
      </xdr:nvCxnSpPr>
      <xdr:spPr>
        <a:xfrm>
          <a:off x="3486150" y="32156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175</xdr:row>
      <xdr:rowOff>127000</xdr:rowOff>
    </xdr:from>
    <xdr:to>
      <xdr:col>5</xdr:col>
      <xdr:colOff>356810</xdr:colOff>
      <xdr:row>175</xdr:row>
      <xdr:rowOff>409912</xdr:rowOff>
    </xdr:to>
    <xdr:cxnSp macro="">
      <xdr:nvCxnSpPr>
        <xdr:cNvPr id="703" name="Straight Connector 702">
          <a:extLst>
            <a:ext uri="{FF2B5EF4-FFF2-40B4-BE49-F238E27FC236}">
              <a16:creationId xmlns:a16="http://schemas.microsoft.com/office/drawing/2014/main" id="{00000000-0008-0000-0700-0000BF020000}"/>
            </a:ext>
          </a:extLst>
        </xdr:cNvPr>
        <xdr:cNvCxnSpPr/>
      </xdr:nvCxnSpPr>
      <xdr:spPr>
        <a:xfrm flipH="1" flipV="1">
          <a:off x="3481009" y="32131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175</xdr:row>
      <xdr:rowOff>134252</xdr:rowOff>
    </xdr:from>
    <xdr:to>
      <xdr:col>5</xdr:col>
      <xdr:colOff>1652211</xdr:colOff>
      <xdr:row>175</xdr:row>
      <xdr:rowOff>417164</xdr:rowOff>
    </xdr:to>
    <xdr:cxnSp macro="">
      <xdr:nvCxnSpPr>
        <xdr:cNvPr id="704" name="Straight Connector 703">
          <a:extLst>
            <a:ext uri="{FF2B5EF4-FFF2-40B4-BE49-F238E27FC236}">
              <a16:creationId xmlns:a16="http://schemas.microsoft.com/office/drawing/2014/main" id="{00000000-0008-0000-0700-0000C0020000}"/>
            </a:ext>
          </a:extLst>
        </xdr:cNvPr>
        <xdr:cNvCxnSpPr/>
      </xdr:nvCxnSpPr>
      <xdr:spPr>
        <a:xfrm flipH="1" flipV="1">
          <a:off x="3747710" y="32138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176</xdr:row>
      <xdr:rowOff>123824</xdr:rowOff>
    </xdr:from>
    <xdr:to>
      <xdr:col>5</xdr:col>
      <xdr:colOff>1428750</xdr:colOff>
      <xdr:row>176</xdr:row>
      <xdr:rowOff>1219199</xdr:rowOff>
    </xdr:to>
    <xdr:sp macro="" textlink="">
      <xdr:nvSpPr>
        <xdr:cNvPr id="705" name="Rounded Rectangle 704">
          <a:extLst>
            <a:ext uri="{FF2B5EF4-FFF2-40B4-BE49-F238E27FC236}">
              <a16:creationId xmlns:a16="http://schemas.microsoft.com/office/drawing/2014/main" id="{00000000-0008-0000-0700-0000C1020000}"/>
            </a:ext>
          </a:extLst>
        </xdr:cNvPr>
        <xdr:cNvSpPr/>
      </xdr:nvSpPr>
      <xdr:spPr>
        <a:xfrm>
          <a:off x="3745230" y="32310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176</xdr:row>
      <xdr:rowOff>238127</xdr:rowOff>
    </xdr:from>
    <xdr:to>
      <xdr:col>5</xdr:col>
      <xdr:colOff>790575</xdr:colOff>
      <xdr:row>176</xdr:row>
      <xdr:rowOff>361950</xdr:rowOff>
    </xdr:to>
    <xdr:cxnSp macro="">
      <xdr:nvCxnSpPr>
        <xdr:cNvPr id="706" name="Straight Connector 705">
          <a:extLst>
            <a:ext uri="{FF2B5EF4-FFF2-40B4-BE49-F238E27FC236}">
              <a16:creationId xmlns:a16="http://schemas.microsoft.com/office/drawing/2014/main" id="{00000000-0008-0000-0700-0000C2020000}"/>
            </a:ext>
          </a:extLst>
        </xdr:cNvPr>
        <xdr:cNvCxnSpPr/>
      </xdr:nvCxnSpPr>
      <xdr:spPr>
        <a:xfrm flipH="1" flipV="1">
          <a:off x="3749041" y="32371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176</xdr:row>
      <xdr:rowOff>133352</xdr:rowOff>
    </xdr:from>
    <xdr:to>
      <xdr:col>5</xdr:col>
      <xdr:colOff>885825</xdr:colOff>
      <xdr:row>176</xdr:row>
      <xdr:rowOff>257175</xdr:rowOff>
    </xdr:to>
    <xdr:cxnSp macro="">
      <xdr:nvCxnSpPr>
        <xdr:cNvPr id="707" name="Straight Connector 706">
          <a:extLst>
            <a:ext uri="{FF2B5EF4-FFF2-40B4-BE49-F238E27FC236}">
              <a16:creationId xmlns:a16="http://schemas.microsoft.com/office/drawing/2014/main" id="{00000000-0008-0000-0700-0000C3020000}"/>
            </a:ext>
          </a:extLst>
        </xdr:cNvPr>
        <xdr:cNvCxnSpPr/>
      </xdr:nvCxnSpPr>
      <xdr:spPr>
        <a:xfrm flipH="1" flipV="1">
          <a:off x="3745231" y="32320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174</xdr:row>
      <xdr:rowOff>127000</xdr:rowOff>
    </xdr:from>
    <xdr:to>
      <xdr:col>5</xdr:col>
      <xdr:colOff>356235</xdr:colOff>
      <xdr:row>174</xdr:row>
      <xdr:rowOff>309880</xdr:rowOff>
    </xdr:to>
    <xdr:cxnSp macro="">
      <xdr:nvCxnSpPr>
        <xdr:cNvPr id="708" name="Straight Connector 707">
          <a:extLst>
            <a:ext uri="{FF2B5EF4-FFF2-40B4-BE49-F238E27FC236}">
              <a16:creationId xmlns:a16="http://schemas.microsoft.com/office/drawing/2014/main" id="{00000000-0008-0000-0700-0000C4020000}"/>
            </a:ext>
          </a:extLst>
        </xdr:cNvPr>
        <xdr:cNvCxnSpPr/>
      </xdr:nvCxnSpPr>
      <xdr:spPr>
        <a:xfrm flipH="1" flipV="1">
          <a:off x="3480435" y="31948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174</xdr:row>
      <xdr:rowOff>400050</xdr:rowOff>
    </xdr:from>
    <xdr:to>
      <xdr:col>5</xdr:col>
      <xdr:colOff>1666875</xdr:colOff>
      <xdr:row>174</xdr:row>
      <xdr:rowOff>400050</xdr:rowOff>
    </xdr:to>
    <xdr:cxnSp macro="">
      <xdr:nvCxnSpPr>
        <xdr:cNvPr id="709" name="Straight Connector 708">
          <a:extLst>
            <a:ext uri="{FF2B5EF4-FFF2-40B4-BE49-F238E27FC236}">
              <a16:creationId xmlns:a16="http://schemas.microsoft.com/office/drawing/2014/main" id="{00000000-0008-0000-0700-0000C5020000}"/>
            </a:ext>
          </a:extLst>
        </xdr:cNvPr>
        <xdr:cNvCxnSpPr/>
      </xdr:nvCxnSpPr>
      <xdr:spPr>
        <a:xfrm>
          <a:off x="3476625" y="32000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174</xdr:row>
      <xdr:rowOff>127000</xdr:rowOff>
    </xdr:from>
    <xdr:to>
      <xdr:col>5</xdr:col>
      <xdr:colOff>356810</xdr:colOff>
      <xdr:row>174</xdr:row>
      <xdr:rowOff>409912</xdr:rowOff>
    </xdr:to>
    <xdr:cxnSp macro="">
      <xdr:nvCxnSpPr>
        <xdr:cNvPr id="710" name="Straight Connector 709">
          <a:extLst>
            <a:ext uri="{FF2B5EF4-FFF2-40B4-BE49-F238E27FC236}">
              <a16:creationId xmlns:a16="http://schemas.microsoft.com/office/drawing/2014/main" id="{00000000-0008-0000-0700-0000C6020000}"/>
            </a:ext>
          </a:extLst>
        </xdr:cNvPr>
        <xdr:cNvCxnSpPr/>
      </xdr:nvCxnSpPr>
      <xdr:spPr>
        <a:xfrm flipH="1" flipV="1">
          <a:off x="3481009" y="31948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174</xdr:row>
      <xdr:rowOff>134252</xdr:rowOff>
    </xdr:from>
    <xdr:to>
      <xdr:col>5</xdr:col>
      <xdr:colOff>1652211</xdr:colOff>
      <xdr:row>174</xdr:row>
      <xdr:rowOff>417164</xdr:rowOff>
    </xdr:to>
    <xdr:cxnSp macro="">
      <xdr:nvCxnSpPr>
        <xdr:cNvPr id="711" name="Straight Connector 710">
          <a:extLst>
            <a:ext uri="{FF2B5EF4-FFF2-40B4-BE49-F238E27FC236}">
              <a16:creationId xmlns:a16="http://schemas.microsoft.com/office/drawing/2014/main" id="{00000000-0008-0000-0700-0000C7020000}"/>
            </a:ext>
          </a:extLst>
        </xdr:cNvPr>
        <xdr:cNvCxnSpPr/>
      </xdr:nvCxnSpPr>
      <xdr:spPr>
        <a:xfrm flipH="1" flipV="1">
          <a:off x="3747710" y="31955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175</xdr:row>
      <xdr:rowOff>127000</xdr:rowOff>
    </xdr:from>
    <xdr:to>
      <xdr:col>5</xdr:col>
      <xdr:colOff>356235</xdr:colOff>
      <xdr:row>175</xdr:row>
      <xdr:rowOff>309880</xdr:rowOff>
    </xdr:to>
    <xdr:cxnSp macro="">
      <xdr:nvCxnSpPr>
        <xdr:cNvPr id="712" name="Straight Connector 711">
          <a:extLst>
            <a:ext uri="{FF2B5EF4-FFF2-40B4-BE49-F238E27FC236}">
              <a16:creationId xmlns:a16="http://schemas.microsoft.com/office/drawing/2014/main" id="{00000000-0008-0000-0700-0000C8020000}"/>
            </a:ext>
          </a:extLst>
        </xdr:cNvPr>
        <xdr:cNvCxnSpPr/>
      </xdr:nvCxnSpPr>
      <xdr:spPr>
        <a:xfrm flipH="1" flipV="1">
          <a:off x="3480435" y="32131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175</xdr:row>
      <xdr:rowOff>152400</xdr:rowOff>
    </xdr:from>
    <xdr:to>
      <xdr:col>5</xdr:col>
      <xdr:colOff>1676400</xdr:colOff>
      <xdr:row>175</xdr:row>
      <xdr:rowOff>152400</xdr:rowOff>
    </xdr:to>
    <xdr:cxnSp macro="">
      <xdr:nvCxnSpPr>
        <xdr:cNvPr id="713" name="Straight Connector 712">
          <a:extLst>
            <a:ext uri="{FF2B5EF4-FFF2-40B4-BE49-F238E27FC236}">
              <a16:creationId xmlns:a16="http://schemas.microsoft.com/office/drawing/2014/main" id="{00000000-0008-0000-0700-0000C9020000}"/>
            </a:ext>
          </a:extLst>
        </xdr:cNvPr>
        <xdr:cNvCxnSpPr/>
      </xdr:nvCxnSpPr>
      <xdr:spPr>
        <a:xfrm>
          <a:off x="3486150" y="32156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175</xdr:row>
      <xdr:rowOff>127000</xdr:rowOff>
    </xdr:from>
    <xdr:to>
      <xdr:col>5</xdr:col>
      <xdr:colOff>356810</xdr:colOff>
      <xdr:row>175</xdr:row>
      <xdr:rowOff>409912</xdr:rowOff>
    </xdr:to>
    <xdr:cxnSp macro="">
      <xdr:nvCxnSpPr>
        <xdr:cNvPr id="714" name="Straight Connector 713">
          <a:extLst>
            <a:ext uri="{FF2B5EF4-FFF2-40B4-BE49-F238E27FC236}">
              <a16:creationId xmlns:a16="http://schemas.microsoft.com/office/drawing/2014/main" id="{00000000-0008-0000-0700-0000CA020000}"/>
            </a:ext>
          </a:extLst>
        </xdr:cNvPr>
        <xdr:cNvCxnSpPr/>
      </xdr:nvCxnSpPr>
      <xdr:spPr>
        <a:xfrm flipH="1" flipV="1">
          <a:off x="3481009" y="32131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175</xdr:row>
      <xdr:rowOff>134252</xdr:rowOff>
    </xdr:from>
    <xdr:to>
      <xdr:col>5</xdr:col>
      <xdr:colOff>1652211</xdr:colOff>
      <xdr:row>175</xdr:row>
      <xdr:rowOff>417164</xdr:rowOff>
    </xdr:to>
    <xdr:cxnSp macro="">
      <xdr:nvCxnSpPr>
        <xdr:cNvPr id="715" name="Straight Connector 714">
          <a:extLst>
            <a:ext uri="{FF2B5EF4-FFF2-40B4-BE49-F238E27FC236}">
              <a16:creationId xmlns:a16="http://schemas.microsoft.com/office/drawing/2014/main" id="{00000000-0008-0000-0700-0000CB020000}"/>
            </a:ext>
          </a:extLst>
        </xdr:cNvPr>
        <xdr:cNvCxnSpPr/>
      </xdr:nvCxnSpPr>
      <xdr:spPr>
        <a:xfrm flipH="1" flipV="1">
          <a:off x="3747710" y="32138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176</xdr:row>
      <xdr:rowOff>123824</xdr:rowOff>
    </xdr:from>
    <xdr:to>
      <xdr:col>5</xdr:col>
      <xdr:colOff>1428750</xdr:colOff>
      <xdr:row>176</xdr:row>
      <xdr:rowOff>1219199</xdr:rowOff>
    </xdr:to>
    <xdr:sp macro="" textlink="">
      <xdr:nvSpPr>
        <xdr:cNvPr id="716" name="Rounded Rectangle 715">
          <a:extLst>
            <a:ext uri="{FF2B5EF4-FFF2-40B4-BE49-F238E27FC236}">
              <a16:creationId xmlns:a16="http://schemas.microsoft.com/office/drawing/2014/main" id="{00000000-0008-0000-0700-0000CC020000}"/>
            </a:ext>
          </a:extLst>
        </xdr:cNvPr>
        <xdr:cNvSpPr/>
      </xdr:nvSpPr>
      <xdr:spPr>
        <a:xfrm>
          <a:off x="3745230" y="32310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176</xdr:row>
      <xdr:rowOff>238127</xdr:rowOff>
    </xdr:from>
    <xdr:to>
      <xdr:col>5</xdr:col>
      <xdr:colOff>790575</xdr:colOff>
      <xdr:row>176</xdr:row>
      <xdr:rowOff>361950</xdr:rowOff>
    </xdr:to>
    <xdr:cxnSp macro="">
      <xdr:nvCxnSpPr>
        <xdr:cNvPr id="717" name="Straight Connector 716">
          <a:extLst>
            <a:ext uri="{FF2B5EF4-FFF2-40B4-BE49-F238E27FC236}">
              <a16:creationId xmlns:a16="http://schemas.microsoft.com/office/drawing/2014/main" id="{00000000-0008-0000-0700-0000CD020000}"/>
            </a:ext>
          </a:extLst>
        </xdr:cNvPr>
        <xdr:cNvCxnSpPr/>
      </xdr:nvCxnSpPr>
      <xdr:spPr>
        <a:xfrm flipH="1" flipV="1">
          <a:off x="3749041" y="32371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176</xdr:row>
      <xdr:rowOff>133352</xdr:rowOff>
    </xdr:from>
    <xdr:to>
      <xdr:col>5</xdr:col>
      <xdr:colOff>885825</xdr:colOff>
      <xdr:row>176</xdr:row>
      <xdr:rowOff>257175</xdr:rowOff>
    </xdr:to>
    <xdr:cxnSp macro="">
      <xdr:nvCxnSpPr>
        <xdr:cNvPr id="718" name="Straight Connector 717">
          <a:extLst>
            <a:ext uri="{FF2B5EF4-FFF2-40B4-BE49-F238E27FC236}">
              <a16:creationId xmlns:a16="http://schemas.microsoft.com/office/drawing/2014/main" id="{00000000-0008-0000-0700-0000CE020000}"/>
            </a:ext>
          </a:extLst>
        </xdr:cNvPr>
        <xdr:cNvCxnSpPr/>
      </xdr:nvCxnSpPr>
      <xdr:spPr>
        <a:xfrm flipH="1" flipV="1">
          <a:off x="3745231" y="32320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174</xdr:row>
      <xdr:rowOff>127000</xdr:rowOff>
    </xdr:from>
    <xdr:to>
      <xdr:col>5</xdr:col>
      <xdr:colOff>356235</xdr:colOff>
      <xdr:row>174</xdr:row>
      <xdr:rowOff>309880</xdr:rowOff>
    </xdr:to>
    <xdr:cxnSp macro="">
      <xdr:nvCxnSpPr>
        <xdr:cNvPr id="719" name="Straight Connector 718">
          <a:extLst>
            <a:ext uri="{FF2B5EF4-FFF2-40B4-BE49-F238E27FC236}">
              <a16:creationId xmlns:a16="http://schemas.microsoft.com/office/drawing/2014/main" id="{00000000-0008-0000-0700-0000CF020000}"/>
            </a:ext>
          </a:extLst>
        </xdr:cNvPr>
        <xdr:cNvCxnSpPr/>
      </xdr:nvCxnSpPr>
      <xdr:spPr>
        <a:xfrm flipH="1" flipV="1">
          <a:off x="3480435" y="319481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174</xdr:row>
      <xdr:rowOff>400050</xdr:rowOff>
    </xdr:from>
    <xdr:to>
      <xdr:col>5</xdr:col>
      <xdr:colOff>1666875</xdr:colOff>
      <xdr:row>174</xdr:row>
      <xdr:rowOff>400050</xdr:rowOff>
    </xdr:to>
    <xdr:cxnSp macro="">
      <xdr:nvCxnSpPr>
        <xdr:cNvPr id="720" name="Straight Connector 719">
          <a:extLst>
            <a:ext uri="{FF2B5EF4-FFF2-40B4-BE49-F238E27FC236}">
              <a16:creationId xmlns:a16="http://schemas.microsoft.com/office/drawing/2014/main" id="{00000000-0008-0000-0700-0000D0020000}"/>
            </a:ext>
          </a:extLst>
        </xdr:cNvPr>
        <xdr:cNvCxnSpPr/>
      </xdr:nvCxnSpPr>
      <xdr:spPr>
        <a:xfrm>
          <a:off x="3476625" y="320001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174</xdr:row>
      <xdr:rowOff>127000</xdr:rowOff>
    </xdr:from>
    <xdr:to>
      <xdr:col>5</xdr:col>
      <xdr:colOff>356810</xdr:colOff>
      <xdr:row>174</xdr:row>
      <xdr:rowOff>409912</xdr:rowOff>
    </xdr:to>
    <xdr:cxnSp macro="">
      <xdr:nvCxnSpPr>
        <xdr:cNvPr id="721" name="Straight Connector 720">
          <a:extLst>
            <a:ext uri="{FF2B5EF4-FFF2-40B4-BE49-F238E27FC236}">
              <a16:creationId xmlns:a16="http://schemas.microsoft.com/office/drawing/2014/main" id="{00000000-0008-0000-0700-0000D1020000}"/>
            </a:ext>
          </a:extLst>
        </xdr:cNvPr>
        <xdr:cNvCxnSpPr/>
      </xdr:nvCxnSpPr>
      <xdr:spPr>
        <a:xfrm flipH="1" flipV="1">
          <a:off x="3481009" y="319481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174</xdr:row>
      <xdr:rowOff>134252</xdr:rowOff>
    </xdr:from>
    <xdr:to>
      <xdr:col>5</xdr:col>
      <xdr:colOff>1652211</xdr:colOff>
      <xdr:row>174</xdr:row>
      <xdr:rowOff>417164</xdr:rowOff>
    </xdr:to>
    <xdr:cxnSp macro="">
      <xdr:nvCxnSpPr>
        <xdr:cNvPr id="722" name="Straight Connector 721">
          <a:extLst>
            <a:ext uri="{FF2B5EF4-FFF2-40B4-BE49-F238E27FC236}">
              <a16:creationId xmlns:a16="http://schemas.microsoft.com/office/drawing/2014/main" id="{00000000-0008-0000-0700-0000D2020000}"/>
            </a:ext>
          </a:extLst>
        </xdr:cNvPr>
        <xdr:cNvCxnSpPr/>
      </xdr:nvCxnSpPr>
      <xdr:spPr>
        <a:xfrm flipH="1" flipV="1">
          <a:off x="3747710" y="319553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175</xdr:row>
      <xdr:rowOff>127000</xdr:rowOff>
    </xdr:from>
    <xdr:to>
      <xdr:col>5</xdr:col>
      <xdr:colOff>356235</xdr:colOff>
      <xdr:row>175</xdr:row>
      <xdr:rowOff>309880</xdr:rowOff>
    </xdr:to>
    <xdr:cxnSp macro="">
      <xdr:nvCxnSpPr>
        <xdr:cNvPr id="723" name="Straight Connector 722">
          <a:extLst>
            <a:ext uri="{FF2B5EF4-FFF2-40B4-BE49-F238E27FC236}">
              <a16:creationId xmlns:a16="http://schemas.microsoft.com/office/drawing/2014/main" id="{00000000-0008-0000-0700-0000D3020000}"/>
            </a:ext>
          </a:extLst>
        </xdr:cNvPr>
        <xdr:cNvCxnSpPr/>
      </xdr:nvCxnSpPr>
      <xdr:spPr>
        <a:xfrm flipH="1" flipV="1">
          <a:off x="3480435" y="32131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175</xdr:row>
      <xdr:rowOff>152400</xdr:rowOff>
    </xdr:from>
    <xdr:to>
      <xdr:col>5</xdr:col>
      <xdr:colOff>1676400</xdr:colOff>
      <xdr:row>175</xdr:row>
      <xdr:rowOff>152400</xdr:rowOff>
    </xdr:to>
    <xdr:cxnSp macro="">
      <xdr:nvCxnSpPr>
        <xdr:cNvPr id="724" name="Straight Connector 723">
          <a:extLst>
            <a:ext uri="{FF2B5EF4-FFF2-40B4-BE49-F238E27FC236}">
              <a16:creationId xmlns:a16="http://schemas.microsoft.com/office/drawing/2014/main" id="{00000000-0008-0000-0700-0000D4020000}"/>
            </a:ext>
          </a:extLst>
        </xdr:cNvPr>
        <xdr:cNvCxnSpPr/>
      </xdr:nvCxnSpPr>
      <xdr:spPr>
        <a:xfrm>
          <a:off x="3486150" y="3215640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175</xdr:row>
      <xdr:rowOff>127000</xdr:rowOff>
    </xdr:from>
    <xdr:to>
      <xdr:col>5</xdr:col>
      <xdr:colOff>356810</xdr:colOff>
      <xdr:row>175</xdr:row>
      <xdr:rowOff>409912</xdr:rowOff>
    </xdr:to>
    <xdr:cxnSp macro="">
      <xdr:nvCxnSpPr>
        <xdr:cNvPr id="725" name="Straight Connector 724">
          <a:extLst>
            <a:ext uri="{FF2B5EF4-FFF2-40B4-BE49-F238E27FC236}">
              <a16:creationId xmlns:a16="http://schemas.microsoft.com/office/drawing/2014/main" id="{00000000-0008-0000-0700-0000D5020000}"/>
            </a:ext>
          </a:extLst>
        </xdr:cNvPr>
        <xdr:cNvCxnSpPr/>
      </xdr:nvCxnSpPr>
      <xdr:spPr>
        <a:xfrm flipH="1" flipV="1">
          <a:off x="3481009" y="32131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176</xdr:row>
      <xdr:rowOff>123824</xdr:rowOff>
    </xdr:from>
    <xdr:to>
      <xdr:col>5</xdr:col>
      <xdr:colOff>1428750</xdr:colOff>
      <xdr:row>176</xdr:row>
      <xdr:rowOff>1219199</xdr:rowOff>
    </xdr:to>
    <xdr:sp macro="" textlink="">
      <xdr:nvSpPr>
        <xdr:cNvPr id="726" name="Rounded Rectangle 725">
          <a:extLst>
            <a:ext uri="{FF2B5EF4-FFF2-40B4-BE49-F238E27FC236}">
              <a16:creationId xmlns:a16="http://schemas.microsoft.com/office/drawing/2014/main" id="{00000000-0008-0000-0700-0000D6020000}"/>
            </a:ext>
          </a:extLst>
        </xdr:cNvPr>
        <xdr:cNvSpPr/>
      </xdr:nvSpPr>
      <xdr:spPr>
        <a:xfrm>
          <a:off x="3745230" y="323107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176</xdr:row>
      <xdr:rowOff>238127</xdr:rowOff>
    </xdr:from>
    <xdr:to>
      <xdr:col>5</xdr:col>
      <xdr:colOff>790575</xdr:colOff>
      <xdr:row>176</xdr:row>
      <xdr:rowOff>361950</xdr:rowOff>
    </xdr:to>
    <xdr:cxnSp macro="">
      <xdr:nvCxnSpPr>
        <xdr:cNvPr id="727" name="Straight Connector 726">
          <a:extLst>
            <a:ext uri="{FF2B5EF4-FFF2-40B4-BE49-F238E27FC236}">
              <a16:creationId xmlns:a16="http://schemas.microsoft.com/office/drawing/2014/main" id="{00000000-0008-0000-0700-0000D7020000}"/>
            </a:ext>
          </a:extLst>
        </xdr:cNvPr>
        <xdr:cNvCxnSpPr/>
      </xdr:nvCxnSpPr>
      <xdr:spPr>
        <a:xfrm flipH="1" flipV="1">
          <a:off x="3749041" y="323716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176</xdr:row>
      <xdr:rowOff>133352</xdr:rowOff>
    </xdr:from>
    <xdr:to>
      <xdr:col>5</xdr:col>
      <xdr:colOff>885825</xdr:colOff>
      <xdr:row>176</xdr:row>
      <xdr:rowOff>257175</xdr:rowOff>
    </xdr:to>
    <xdr:cxnSp macro="">
      <xdr:nvCxnSpPr>
        <xdr:cNvPr id="728" name="Straight Connector 727">
          <a:extLst>
            <a:ext uri="{FF2B5EF4-FFF2-40B4-BE49-F238E27FC236}">
              <a16:creationId xmlns:a16="http://schemas.microsoft.com/office/drawing/2014/main" id="{00000000-0008-0000-0700-0000D8020000}"/>
            </a:ext>
          </a:extLst>
        </xdr:cNvPr>
        <xdr:cNvCxnSpPr/>
      </xdr:nvCxnSpPr>
      <xdr:spPr>
        <a:xfrm flipH="1" flipV="1">
          <a:off x="3745231" y="323202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180</xdr:row>
      <xdr:rowOff>127000</xdr:rowOff>
    </xdr:from>
    <xdr:to>
      <xdr:col>5</xdr:col>
      <xdr:colOff>356235</xdr:colOff>
      <xdr:row>180</xdr:row>
      <xdr:rowOff>309880</xdr:rowOff>
    </xdr:to>
    <xdr:cxnSp macro="">
      <xdr:nvCxnSpPr>
        <xdr:cNvPr id="729" name="Straight Connector 728">
          <a:extLst>
            <a:ext uri="{FF2B5EF4-FFF2-40B4-BE49-F238E27FC236}">
              <a16:creationId xmlns:a16="http://schemas.microsoft.com/office/drawing/2014/main" id="{00000000-0008-0000-0700-0000D9020000}"/>
            </a:ext>
          </a:extLst>
        </xdr:cNvPr>
        <xdr:cNvCxnSpPr/>
      </xdr:nvCxnSpPr>
      <xdr:spPr>
        <a:xfrm flipH="1" flipV="1">
          <a:off x="3480435" y="33045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180</xdr:row>
      <xdr:rowOff>400050</xdr:rowOff>
    </xdr:from>
    <xdr:to>
      <xdr:col>5</xdr:col>
      <xdr:colOff>1666875</xdr:colOff>
      <xdr:row>180</xdr:row>
      <xdr:rowOff>400050</xdr:rowOff>
    </xdr:to>
    <xdr:cxnSp macro="">
      <xdr:nvCxnSpPr>
        <xdr:cNvPr id="730" name="Straight Connector 729">
          <a:extLst>
            <a:ext uri="{FF2B5EF4-FFF2-40B4-BE49-F238E27FC236}">
              <a16:creationId xmlns:a16="http://schemas.microsoft.com/office/drawing/2014/main" id="{00000000-0008-0000-0700-0000DA020000}"/>
            </a:ext>
          </a:extLst>
        </xdr:cNvPr>
        <xdr:cNvCxnSpPr/>
      </xdr:nvCxnSpPr>
      <xdr:spPr>
        <a:xfrm>
          <a:off x="3476625" y="33097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180</xdr:row>
      <xdr:rowOff>127000</xdr:rowOff>
    </xdr:from>
    <xdr:to>
      <xdr:col>5</xdr:col>
      <xdr:colOff>356810</xdr:colOff>
      <xdr:row>180</xdr:row>
      <xdr:rowOff>409912</xdr:rowOff>
    </xdr:to>
    <xdr:cxnSp macro="">
      <xdr:nvCxnSpPr>
        <xdr:cNvPr id="731" name="Straight Connector 730">
          <a:extLst>
            <a:ext uri="{FF2B5EF4-FFF2-40B4-BE49-F238E27FC236}">
              <a16:creationId xmlns:a16="http://schemas.microsoft.com/office/drawing/2014/main" id="{00000000-0008-0000-0700-0000DB020000}"/>
            </a:ext>
          </a:extLst>
        </xdr:cNvPr>
        <xdr:cNvCxnSpPr/>
      </xdr:nvCxnSpPr>
      <xdr:spPr>
        <a:xfrm flipH="1" flipV="1">
          <a:off x="3481009" y="33045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180</xdr:row>
      <xdr:rowOff>134252</xdr:rowOff>
    </xdr:from>
    <xdr:to>
      <xdr:col>5</xdr:col>
      <xdr:colOff>1652211</xdr:colOff>
      <xdr:row>180</xdr:row>
      <xdr:rowOff>417164</xdr:rowOff>
    </xdr:to>
    <xdr:cxnSp macro="">
      <xdr:nvCxnSpPr>
        <xdr:cNvPr id="732" name="Straight Connector 731">
          <a:extLst>
            <a:ext uri="{FF2B5EF4-FFF2-40B4-BE49-F238E27FC236}">
              <a16:creationId xmlns:a16="http://schemas.microsoft.com/office/drawing/2014/main" id="{00000000-0008-0000-0700-0000DC020000}"/>
            </a:ext>
          </a:extLst>
        </xdr:cNvPr>
        <xdr:cNvCxnSpPr/>
      </xdr:nvCxnSpPr>
      <xdr:spPr>
        <a:xfrm flipH="1" flipV="1">
          <a:off x="3747710" y="33052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181</xdr:row>
      <xdr:rowOff>127000</xdr:rowOff>
    </xdr:from>
    <xdr:to>
      <xdr:col>5</xdr:col>
      <xdr:colOff>356235</xdr:colOff>
      <xdr:row>181</xdr:row>
      <xdr:rowOff>309880</xdr:rowOff>
    </xdr:to>
    <xdr:cxnSp macro="">
      <xdr:nvCxnSpPr>
        <xdr:cNvPr id="733" name="Straight Connector 732">
          <a:extLst>
            <a:ext uri="{FF2B5EF4-FFF2-40B4-BE49-F238E27FC236}">
              <a16:creationId xmlns:a16="http://schemas.microsoft.com/office/drawing/2014/main" id="{00000000-0008-0000-0700-0000DD020000}"/>
            </a:ext>
          </a:extLst>
        </xdr:cNvPr>
        <xdr:cNvCxnSpPr/>
      </xdr:nvCxnSpPr>
      <xdr:spPr>
        <a:xfrm flipH="1" flipV="1">
          <a:off x="3480435" y="33228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181</xdr:row>
      <xdr:rowOff>152400</xdr:rowOff>
    </xdr:from>
    <xdr:to>
      <xdr:col>5</xdr:col>
      <xdr:colOff>1676400</xdr:colOff>
      <xdr:row>181</xdr:row>
      <xdr:rowOff>152400</xdr:rowOff>
    </xdr:to>
    <xdr:cxnSp macro="">
      <xdr:nvCxnSpPr>
        <xdr:cNvPr id="734" name="Straight Connector 733">
          <a:extLst>
            <a:ext uri="{FF2B5EF4-FFF2-40B4-BE49-F238E27FC236}">
              <a16:creationId xmlns:a16="http://schemas.microsoft.com/office/drawing/2014/main" id="{00000000-0008-0000-0700-0000DE020000}"/>
            </a:ext>
          </a:extLst>
        </xdr:cNvPr>
        <xdr:cNvCxnSpPr/>
      </xdr:nvCxnSpPr>
      <xdr:spPr>
        <a:xfrm>
          <a:off x="3486150" y="33253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181</xdr:row>
      <xdr:rowOff>127000</xdr:rowOff>
    </xdr:from>
    <xdr:to>
      <xdr:col>5</xdr:col>
      <xdr:colOff>356810</xdr:colOff>
      <xdr:row>181</xdr:row>
      <xdr:rowOff>409912</xdr:rowOff>
    </xdr:to>
    <xdr:cxnSp macro="">
      <xdr:nvCxnSpPr>
        <xdr:cNvPr id="735" name="Straight Connector 734">
          <a:extLst>
            <a:ext uri="{FF2B5EF4-FFF2-40B4-BE49-F238E27FC236}">
              <a16:creationId xmlns:a16="http://schemas.microsoft.com/office/drawing/2014/main" id="{00000000-0008-0000-0700-0000DF020000}"/>
            </a:ext>
          </a:extLst>
        </xdr:cNvPr>
        <xdr:cNvCxnSpPr/>
      </xdr:nvCxnSpPr>
      <xdr:spPr>
        <a:xfrm flipH="1" flipV="1">
          <a:off x="3481009" y="33228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181</xdr:row>
      <xdr:rowOff>134252</xdr:rowOff>
    </xdr:from>
    <xdr:to>
      <xdr:col>5</xdr:col>
      <xdr:colOff>1652211</xdr:colOff>
      <xdr:row>181</xdr:row>
      <xdr:rowOff>417164</xdr:rowOff>
    </xdr:to>
    <xdr:cxnSp macro="">
      <xdr:nvCxnSpPr>
        <xdr:cNvPr id="736" name="Straight Connector 735">
          <a:extLst>
            <a:ext uri="{FF2B5EF4-FFF2-40B4-BE49-F238E27FC236}">
              <a16:creationId xmlns:a16="http://schemas.microsoft.com/office/drawing/2014/main" id="{00000000-0008-0000-0700-0000E0020000}"/>
            </a:ext>
          </a:extLst>
        </xdr:cNvPr>
        <xdr:cNvCxnSpPr/>
      </xdr:nvCxnSpPr>
      <xdr:spPr>
        <a:xfrm flipH="1" flipV="1">
          <a:off x="3747710" y="33235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182</xdr:row>
      <xdr:rowOff>123824</xdr:rowOff>
    </xdr:from>
    <xdr:to>
      <xdr:col>5</xdr:col>
      <xdr:colOff>1428750</xdr:colOff>
      <xdr:row>182</xdr:row>
      <xdr:rowOff>1219199</xdr:rowOff>
    </xdr:to>
    <xdr:sp macro="" textlink="">
      <xdr:nvSpPr>
        <xdr:cNvPr id="737" name="Rounded Rectangle 736">
          <a:extLst>
            <a:ext uri="{FF2B5EF4-FFF2-40B4-BE49-F238E27FC236}">
              <a16:creationId xmlns:a16="http://schemas.microsoft.com/office/drawing/2014/main" id="{00000000-0008-0000-0700-0000E1020000}"/>
            </a:ext>
          </a:extLst>
        </xdr:cNvPr>
        <xdr:cNvSpPr/>
      </xdr:nvSpPr>
      <xdr:spPr>
        <a:xfrm>
          <a:off x="3745230" y="33407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182</xdr:row>
      <xdr:rowOff>238127</xdr:rowOff>
    </xdr:from>
    <xdr:to>
      <xdr:col>5</xdr:col>
      <xdr:colOff>790575</xdr:colOff>
      <xdr:row>182</xdr:row>
      <xdr:rowOff>361950</xdr:rowOff>
    </xdr:to>
    <xdr:cxnSp macro="">
      <xdr:nvCxnSpPr>
        <xdr:cNvPr id="738" name="Straight Connector 737">
          <a:extLst>
            <a:ext uri="{FF2B5EF4-FFF2-40B4-BE49-F238E27FC236}">
              <a16:creationId xmlns:a16="http://schemas.microsoft.com/office/drawing/2014/main" id="{00000000-0008-0000-0700-0000E2020000}"/>
            </a:ext>
          </a:extLst>
        </xdr:cNvPr>
        <xdr:cNvCxnSpPr/>
      </xdr:nvCxnSpPr>
      <xdr:spPr>
        <a:xfrm flipH="1" flipV="1">
          <a:off x="3749041" y="33468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182</xdr:row>
      <xdr:rowOff>133352</xdr:rowOff>
    </xdr:from>
    <xdr:to>
      <xdr:col>5</xdr:col>
      <xdr:colOff>885825</xdr:colOff>
      <xdr:row>182</xdr:row>
      <xdr:rowOff>257175</xdr:rowOff>
    </xdr:to>
    <xdr:cxnSp macro="">
      <xdr:nvCxnSpPr>
        <xdr:cNvPr id="739" name="Straight Connector 738">
          <a:extLst>
            <a:ext uri="{FF2B5EF4-FFF2-40B4-BE49-F238E27FC236}">
              <a16:creationId xmlns:a16="http://schemas.microsoft.com/office/drawing/2014/main" id="{00000000-0008-0000-0700-0000E3020000}"/>
            </a:ext>
          </a:extLst>
        </xdr:cNvPr>
        <xdr:cNvCxnSpPr/>
      </xdr:nvCxnSpPr>
      <xdr:spPr>
        <a:xfrm flipH="1" flipV="1">
          <a:off x="3745231" y="33417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180</xdr:row>
      <xdr:rowOff>127000</xdr:rowOff>
    </xdr:from>
    <xdr:to>
      <xdr:col>5</xdr:col>
      <xdr:colOff>356235</xdr:colOff>
      <xdr:row>180</xdr:row>
      <xdr:rowOff>309880</xdr:rowOff>
    </xdr:to>
    <xdr:cxnSp macro="">
      <xdr:nvCxnSpPr>
        <xdr:cNvPr id="740" name="Straight Connector 739">
          <a:extLst>
            <a:ext uri="{FF2B5EF4-FFF2-40B4-BE49-F238E27FC236}">
              <a16:creationId xmlns:a16="http://schemas.microsoft.com/office/drawing/2014/main" id="{00000000-0008-0000-0700-0000E4020000}"/>
            </a:ext>
          </a:extLst>
        </xdr:cNvPr>
        <xdr:cNvCxnSpPr/>
      </xdr:nvCxnSpPr>
      <xdr:spPr>
        <a:xfrm flipH="1" flipV="1">
          <a:off x="3480435" y="33045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180</xdr:row>
      <xdr:rowOff>400050</xdr:rowOff>
    </xdr:from>
    <xdr:to>
      <xdr:col>5</xdr:col>
      <xdr:colOff>1666875</xdr:colOff>
      <xdr:row>180</xdr:row>
      <xdr:rowOff>400050</xdr:rowOff>
    </xdr:to>
    <xdr:cxnSp macro="">
      <xdr:nvCxnSpPr>
        <xdr:cNvPr id="741" name="Straight Connector 740">
          <a:extLst>
            <a:ext uri="{FF2B5EF4-FFF2-40B4-BE49-F238E27FC236}">
              <a16:creationId xmlns:a16="http://schemas.microsoft.com/office/drawing/2014/main" id="{00000000-0008-0000-0700-0000E5020000}"/>
            </a:ext>
          </a:extLst>
        </xdr:cNvPr>
        <xdr:cNvCxnSpPr/>
      </xdr:nvCxnSpPr>
      <xdr:spPr>
        <a:xfrm>
          <a:off x="3476625" y="33097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180</xdr:row>
      <xdr:rowOff>127000</xdr:rowOff>
    </xdr:from>
    <xdr:to>
      <xdr:col>5</xdr:col>
      <xdr:colOff>356810</xdr:colOff>
      <xdr:row>180</xdr:row>
      <xdr:rowOff>409912</xdr:rowOff>
    </xdr:to>
    <xdr:cxnSp macro="">
      <xdr:nvCxnSpPr>
        <xdr:cNvPr id="742" name="Straight Connector 741">
          <a:extLst>
            <a:ext uri="{FF2B5EF4-FFF2-40B4-BE49-F238E27FC236}">
              <a16:creationId xmlns:a16="http://schemas.microsoft.com/office/drawing/2014/main" id="{00000000-0008-0000-0700-0000E6020000}"/>
            </a:ext>
          </a:extLst>
        </xdr:cNvPr>
        <xdr:cNvCxnSpPr/>
      </xdr:nvCxnSpPr>
      <xdr:spPr>
        <a:xfrm flipH="1" flipV="1">
          <a:off x="3481009" y="33045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180</xdr:row>
      <xdr:rowOff>134252</xdr:rowOff>
    </xdr:from>
    <xdr:to>
      <xdr:col>5</xdr:col>
      <xdr:colOff>1652211</xdr:colOff>
      <xdr:row>180</xdr:row>
      <xdr:rowOff>417164</xdr:rowOff>
    </xdr:to>
    <xdr:cxnSp macro="">
      <xdr:nvCxnSpPr>
        <xdr:cNvPr id="743" name="Straight Connector 742">
          <a:extLst>
            <a:ext uri="{FF2B5EF4-FFF2-40B4-BE49-F238E27FC236}">
              <a16:creationId xmlns:a16="http://schemas.microsoft.com/office/drawing/2014/main" id="{00000000-0008-0000-0700-0000E7020000}"/>
            </a:ext>
          </a:extLst>
        </xdr:cNvPr>
        <xdr:cNvCxnSpPr/>
      </xdr:nvCxnSpPr>
      <xdr:spPr>
        <a:xfrm flipH="1" flipV="1">
          <a:off x="3747710" y="33052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181</xdr:row>
      <xdr:rowOff>127000</xdr:rowOff>
    </xdr:from>
    <xdr:to>
      <xdr:col>5</xdr:col>
      <xdr:colOff>356235</xdr:colOff>
      <xdr:row>181</xdr:row>
      <xdr:rowOff>309880</xdr:rowOff>
    </xdr:to>
    <xdr:cxnSp macro="">
      <xdr:nvCxnSpPr>
        <xdr:cNvPr id="744" name="Straight Connector 743">
          <a:extLst>
            <a:ext uri="{FF2B5EF4-FFF2-40B4-BE49-F238E27FC236}">
              <a16:creationId xmlns:a16="http://schemas.microsoft.com/office/drawing/2014/main" id="{00000000-0008-0000-0700-0000E8020000}"/>
            </a:ext>
          </a:extLst>
        </xdr:cNvPr>
        <xdr:cNvCxnSpPr/>
      </xdr:nvCxnSpPr>
      <xdr:spPr>
        <a:xfrm flipH="1" flipV="1">
          <a:off x="3480435" y="33228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181</xdr:row>
      <xdr:rowOff>152400</xdr:rowOff>
    </xdr:from>
    <xdr:to>
      <xdr:col>5</xdr:col>
      <xdr:colOff>1676400</xdr:colOff>
      <xdr:row>181</xdr:row>
      <xdr:rowOff>152400</xdr:rowOff>
    </xdr:to>
    <xdr:cxnSp macro="">
      <xdr:nvCxnSpPr>
        <xdr:cNvPr id="745" name="Straight Connector 744">
          <a:extLst>
            <a:ext uri="{FF2B5EF4-FFF2-40B4-BE49-F238E27FC236}">
              <a16:creationId xmlns:a16="http://schemas.microsoft.com/office/drawing/2014/main" id="{00000000-0008-0000-0700-0000E9020000}"/>
            </a:ext>
          </a:extLst>
        </xdr:cNvPr>
        <xdr:cNvCxnSpPr/>
      </xdr:nvCxnSpPr>
      <xdr:spPr>
        <a:xfrm>
          <a:off x="3486150" y="33253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181</xdr:row>
      <xdr:rowOff>127000</xdr:rowOff>
    </xdr:from>
    <xdr:to>
      <xdr:col>5</xdr:col>
      <xdr:colOff>356810</xdr:colOff>
      <xdr:row>181</xdr:row>
      <xdr:rowOff>409912</xdr:rowOff>
    </xdr:to>
    <xdr:cxnSp macro="">
      <xdr:nvCxnSpPr>
        <xdr:cNvPr id="746" name="Straight Connector 745">
          <a:extLst>
            <a:ext uri="{FF2B5EF4-FFF2-40B4-BE49-F238E27FC236}">
              <a16:creationId xmlns:a16="http://schemas.microsoft.com/office/drawing/2014/main" id="{00000000-0008-0000-0700-0000EA020000}"/>
            </a:ext>
          </a:extLst>
        </xdr:cNvPr>
        <xdr:cNvCxnSpPr/>
      </xdr:nvCxnSpPr>
      <xdr:spPr>
        <a:xfrm flipH="1" flipV="1">
          <a:off x="3481009" y="33228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181</xdr:row>
      <xdr:rowOff>134252</xdr:rowOff>
    </xdr:from>
    <xdr:to>
      <xdr:col>5</xdr:col>
      <xdr:colOff>1652211</xdr:colOff>
      <xdr:row>181</xdr:row>
      <xdr:rowOff>417164</xdr:rowOff>
    </xdr:to>
    <xdr:cxnSp macro="">
      <xdr:nvCxnSpPr>
        <xdr:cNvPr id="747" name="Straight Connector 746">
          <a:extLst>
            <a:ext uri="{FF2B5EF4-FFF2-40B4-BE49-F238E27FC236}">
              <a16:creationId xmlns:a16="http://schemas.microsoft.com/office/drawing/2014/main" id="{00000000-0008-0000-0700-0000EB020000}"/>
            </a:ext>
          </a:extLst>
        </xdr:cNvPr>
        <xdr:cNvCxnSpPr/>
      </xdr:nvCxnSpPr>
      <xdr:spPr>
        <a:xfrm flipH="1" flipV="1">
          <a:off x="3747710" y="33235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182</xdr:row>
      <xdr:rowOff>123824</xdr:rowOff>
    </xdr:from>
    <xdr:to>
      <xdr:col>5</xdr:col>
      <xdr:colOff>1428750</xdr:colOff>
      <xdr:row>182</xdr:row>
      <xdr:rowOff>1219199</xdr:rowOff>
    </xdr:to>
    <xdr:sp macro="" textlink="">
      <xdr:nvSpPr>
        <xdr:cNvPr id="748" name="Rounded Rectangle 747">
          <a:extLst>
            <a:ext uri="{FF2B5EF4-FFF2-40B4-BE49-F238E27FC236}">
              <a16:creationId xmlns:a16="http://schemas.microsoft.com/office/drawing/2014/main" id="{00000000-0008-0000-0700-0000EC020000}"/>
            </a:ext>
          </a:extLst>
        </xdr:cNvPr>
        <xdr:cNvSpPr/>
      </xdr:nvSpPr>
      <xdr:spPr>
        <a:xfrm>
          <a:off x="3745230" y="33407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182</xdr:row>
      <xdr:rowOff>238127</xdr:rowOff>
    </xdr:from>
    <xdr:to>
      <xdr:col>5</xdr:col>
      <xdr:colOff>790575</xdr:colOff>
      <xdr:row>182</xdr:row>
      <xdr:rowOff>361950</xdr:rowOff>
    </xdr:to>
    <xdr:cxnSp macro="">
      <xdr:nvCxnSpPr>
        <xdr:cNvPr id="749" name="Straight Connector 748">
          <a:extLst>
            <a:ext uri="{FF2B5EF4-FFF2-40B4-BE49-F238E27FC236}">
              <a16:creationId xmlns:a16="http://schemas.microsoft.com/office/drawing/2014/main" id="{00000000-0008-0000-0700-0000ED020000}"/>
            </a:ext>
          </a:extLst>
        </xdr:cNvPr>
        <xdr:cNvCxnSpPr/>
      </xdr:nvCxnSpPr>
      <xdr:spPr>
        <a:xfrm flipH="1" flipV="1">
          <a:off x="3749041" y="33468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182</xdr:row>
      <xdr:rowOff>133352</xdr:rowOff>
    </xdr:from>
    <xdr:to>
      <xdr:col>5</xdr:col>
      <xdr:colOff>885825</xdr:colOff>
      <xdr:row>182</xdr:row>
      <xdr:rowOff>257175</xdr:rowOff>
    </xdr:to>
    <xdr:cxnSp macro="">
      <xdr:nvCxnSpPr>
        <xdr:cNvPr id="750" name="Straight Connector 749">
          <a:extLst>
            <a:ext uri="{FF2B5EF4-FFF2-40B4-BE49-F238E27FC236}">
              <a16:creationId xmlns:a16="http://schemas.microsoft.com/office/drawing/2014/main" id="{00000000-0008-0000-0700-0000EE020000}"/>
            </a:ext>
          </a:extLst>
        </xdr:cNvPr>
        <xdr:cNvCxnSpPr/>
      </xdr:nvCxnSpPr>
      <xdr:spPr>
        <a:xfrm flipH="1" flipV="1">
          <a:off x="3745231" y="33417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180</xdr:row>
      <xdr:rowOff>127000</xdr:rowOff>
    </xdr:from>
    <xdr:to>
      <xdr:col>5</xdr:col>
      <xdr:colOff>356235</xdr:colOff>
      <xdr:row>180</xdr:row>
      <xdr:rowOff>309880</xdr:rowOff>
    </xdr:to>
    <xdr:cxnSp macro="">
      <xdr:nvCxnSpPr>
        <xdr:cNvPr id="751" name="Straight Connector 750">
          <a:extLst>
            <a:ext uri="{FF2B5EF4-FFF2-40B4-BE49-F238E27FC236}">
              <a16:creationId xmlns:a16="http://schemas.microsoft.com/office/drawing/2014/main" id="{00000000-0008-0000-0700-0000EF020000}"/>
            </a:ext>
          </a:extLst>
        </xdr:cNvPr>
        <xdr:cNvCxnSpPr/>
      </xdr:nvCxnSpPr>
      <xdr:spPr>
        <a:xfrm flipH="1" flipV="1">
          <a:off x="3480435" y="33045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180</xdr:row>
      <xdr:rowOff>400050</xdr:rowOff>
    </xdr:from>
    <xdr:to>
      <xdr:col>5</xdr:col>
      <xdr:colOff>1666875</xdr:colOff>
      <xdr:row>180</xdr:row>
      <xdr:rowOff>400050</xdr:rowOff>
    </xdr:to>
    <xdr:cxnSp macro="">
      <xdr:nvCxnSpPr>
        <xdr:cNvPr id="752" name="Straight Connector 751">
          <a:extLst>
            <a:ext uri="{FF2B5EF4-FFF2-40B4-BE49-F238E27FC236}">
              <a16:creationId xmlns:a16="http://schemas.microsoft.com/office/drawing/2014/main" id="{00000000-0008-0000-0700-0000F0020000}"/>
            </a:ext>
          </a:extLst>
        </xdr:cNvPr>
        <xdr:cNvCxnSpPr/>
      </xdr:nvCxnSpPr>
      <xdr:spPr>
        <a:xfrm>
          <a:off x="3476625" y="33097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180</xdr:row>
      <xdr:rowOff>127000</xdr:rowOff>
    </xdr:from>
    <xdr:to>
      <xdr:col>5</xdr:col>
      <xdr:colOff>356810</xdr:colOff>
      <xdr:row>180</xdr:row>
      <xdr:rowOff>409912</xdr:rowOff>
    </xdr:to>
    <xdr:cxnSp macro="">
      <xdr:nvCxnSpPr>
        <xdr:cNvPr id="753" name="Straight Connector 752">
          <a:extLst>
            <a:ext uri="{FF2B5EF4-FFF2-40B4-BE49-F238E27FC236}">
              <a16:creationId xmlns:a16="http://schemas.microsoft.com/office/drawing/2014/main" id="{00000000-0008-0000-0700-0000F1020000}"/>
            </a:ext>
          </a:extLst>
        </xdr:cNvPr>
        <xdr:cNvCxnSpPr/>
      </xdr:nvCxnSpPr>
      <xdr:spPr>
        <a:xfrm flipH="1" flipV="1">
          <a:off x="3481009" y="33045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180</xdr:row>
      <xdr:rowOff>134252</xdr:rowOff>
    </xdr:from>
    <xdr:to>
      <xdr:col>5</xdr:col>
      <xdr:colOff>1652211</xdr:colOff>
      <xdr:row>180</xdr:row>
      <xdr:rowOff>417164</xdr:rowOff>
    </xdr:to>
    <xdr:cxnSp macro="">
      <xdr:nvCxnSpPr>
        <xdr:cNvPr id="754" name="Straight Connector 753">
          <a:extLst>
            <a:ext uri="{FF2B5EF4-FFF2-40B4-BE49-F238E27FC236}">
              <a16:creationId xmlns:a16="http://schemas.microsoft.com/office/drawing/2014/main" id="{00000000-0008-0000-0700-0000F2020000}"/>
            </a:ext>
          </a:extLst>
        </xdr:cNvPr>
        <xdr:cNvCxnSpPr/>
      </xdr:nvCxnSpPr>
      <xdr:spPr>
        <a:xfrm flipH="1" flipV="1">
          <a:off x="3747710" y="33052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181</xdr:row>
      <xdr:rowOff>127000</xdr:rowOff>
    </xdr:from>
    <xdr:to>
      <xdr:col>5</xdr:col>
      <xdr:colOff>356235</xdr:colOff>
      <xdr:row>181</xdr:row>
      <xdr:rowOff>309880</xdr:rowOff>
    </xdr:to>
    <xdr:cxnSp macro="">
      <xdr:nvCxnSpPr>
        <xdr:cNvPr id="755" name="Straight Connector 754">
          <a:extLst>
            <a:ext uri="{FF2B5EF4-FFF2-40B4-BE49-F238E27FC236}">
              <a16:creationId xmlns:a16="http://schemas.microsoft.com/office/drawing/2014/main" id="{00000000-0008-0000-0700-0000F3020000}"/>
            </a:ext>
          </a:extLst>
        </xdr:cNvPr>
        <xdr:cNvCxnSpPr/>
      </xdr:nvCxnSpPr>
      <xdr:spPr>
        <a:xfrm flipH="1" flipV="1">
          <a:off x="3480435" y="33228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181</xdr:row>
      <xdr:rowOff>152400</xdr:rowOff>
    </xdr:from>
    <xdr:to>
      <xdr:col>5</xdr:col>
      <xdr:colOff>1676400</xdr:colOff>
      <xdr:row>181</xdr:row>
      <xdr:rowOff>152400</xdr:rowOff>
    </xdr:to>
    <xdr:cxnSp macro="">
      <xdr:nvCxnSpPr>
        <xdr:cNvPr id="756" name="Straight Connector 755">
          <a:extLst>
            <a:ext uri="{FF2B5EF4-FFF2-40B4-BE49-F238E27FC236}">
              <a16:creationId xmlns:a16="http://schemas.microsoft.com/office/drawing/2014/main" id="{00000000-0008-0000-0700-0000F4020000}"/>
            </a:ext>
          </a:extLst>
        </xdr:cNvPr>
        <xdr:cNvCxnSpPr/>
      </xdr:nvCxnSpPr>
      <xdr:spPr>
        <a:xfrm>
          <a:off x="3486150" y="33253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181</xdr:row>
      <xdr:rowOff>127000</xdr:rowOff>
    </xdr:from>
    <xdr:to>
      <xdr:col>5</xdr:col>
      <xdr:colOff>356810</xdr:colOff>
      <xdr:row>181</xdr:row>
      <xdr:rowOff>409912</xdr:rowOff>
    </xdr:to>
    <xdr:cxnSp macro="">
      <xdr:nvCxnSpPr>
        <xdr:cNvPr id="757" name="Straight Connector 756">
          <a:extLst>
            <a:ext uri="{FF2B5EF4-FFF2-40B4-BE49-F238E27FC236}">
              <a16:creationId xmlns:a16="http://schemas.microsoft.com/office/drawing/2014/main" id="{00000000-0008-0000-0700-0000F5020000}"/>
            </a:ext>
          </a:extLst>
        </xdr:cNvPr>
        <xdr:cNvCxnSpPr/>
      </xdr:nvCxnSpPr>
      <xdr:spPr>
        <a:xfrm flipH="1" flipV="1">
          <a:off x="3481009" y="33228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181</xdr:row>
      <xdr:rowOff>134252</xdr:rowOff>
    </xdr:from>
    <xdr:to>
      <xdr:col>5</xdr:col>
      <xdr:colOff>1652211</xdr:colOff>
      <xdr:row>181</xdr:row>
      <xdr:rowOff>417164</xdr:rowOff>
    </xdr:to>
    <xdr:cxnSp macro="">
      <xdr:nvCxnSpPr>
        <xdr:cNvPr id="758" name="Straight Connector 757">
          <a:extLst>
            <a:ext uri="{FF2B5EF4-FFF2-40B4-BE49-F238E27FC236}">
              <a16:creationId xmlns:a16="http://schemas.microsoft.com/office/drawing/2014/main" id="{00000000-0008-0000-0700-0000F6020000}"/>
            </a:ext>
          </a:extLst>
        </xdr:cNvPr>
        <xdr:cNvCxnSpPr/>
      </xdr:nvCxnSpPr>
      <xdr:spPr>
        <a:xfrm flipH="1" flipV="1">
          <a:off x="3747710" y="33235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182</xdr:row>
      <xdr:rowOff>123824</xdr:rowOff>
    </xdr:from>
    <xdr:to>
      <xdr:col>5</xdr:col>
      <xdr:colOff>1428750</xdr:colOff>
      <xdr:row>182</xdr:row>
      <xdr:rowOff>1219199</xdr:rowOff>
    </xdr:to>
    <xdr:sp macro="" textlink="">
      <xdr:nvSpPr>
        <xdr:cNvPr id="759" name="Rounded Rectangle 758">
          <a:extLst>
            <a:ext uri="{FF2B5EF4-FFF2-40B4-BE49-F238E27FC236}">
              <a16:creationId xmlns:a16="http://schemas.microsoft.com/office/drawing/2014/main" id="{00000000-0008-0000-0700-0000F7020000}"/>
            </a:ext>
          </a:extLst>
        </xdr:cNvPr>
        <xdr:cNvSpPr/>
      </xdr:nvSpPr>
      <xdr:spPr>
        <a:xfrm>
          <a:off x="3745230" y="33407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182</xdr:row>
      <xdr:rowOff>238127</xdr:rowOff>
    </xdr:from>
    <xdr:to>
      <xdr:col>5</xdr:col>
      <xdr:colOff>790575</xdr:colOff>
      <xdr:row>182</xdr:row>
      <xdr:rowOff>361950</xdr:rowOff>
    </xdr:to>
    <xdr:cxnSp macro="">
      <xdr:nvCxnSpPr>
        <xdr:cNvPr id="760" name="Straight Connector 759">
          <a:extLst>
            <a:ext uri="{FF2B5EF4-FFF2-40B4-BE49-F238E27FC236}">
              <a16:creationId xmlns:a16="http://schemas.microsoft.com/office/drawing/2014/main" id="{00000000-0008-0000-0700-0000F8020000}"/>
            </a:ext>
          </a:extLst>
        </xdr:cNvPr>
        <xdr:cNvCxnSpPr/>
      </xdr:nvCxnSpPr>
      <xdr:spPr>
        <a:xfrm flipH="1" flipV="1">
          <a:off x="3749041" y="33468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182</xdr:row>
      <xdr:rowOff>133352</xdr:rowOff>
    </xdr:from>
    <xdr:to>
      <xdr:col>5</xdr:col>
      <xdr:colOff>885825</xdr:colOff>
      <xdr:row>182</xdr:row>
      <xdr:rowOff>257175</xdr:rowOff>
    </xdr:to>
    <xdr:cxnSp macro="">
      <xdr:nvCxnSpPr>
        <xdr:cNvPr id="761" name="Straight Connector 760">
          <a:extLst>
            <a:ext uri="{FF2B5EF4-FFF2-40B4-BE49-F238E27FC236}">
              <a16:creationId xmlns:a16="http://schemas.microsoft.com/office/drawing/2014/main" id="{00000000-0008-0000-0700-0000F9020000}"/>
            </a:ext>
          </a:extLst>
        </xdr:cNvPr>
        <xdr:cNvCxnSpPr/>
      </xdr:nvCxnSpPr>
      <xdr:spPr>
        <a:xfrm flipH="1" flipV="1">
          <a:off x="3745231" y="33417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180</xdr:row>
      <xdr:rowOff>127000</xdr:rowOff>
    </xdr:from>
    <xdr:to>
      <xdr:col>5</xdr:col>
      <xdr:colOff>356235</xdr:colOff>
      <xdr:row>180</xdr:row>
      <xdr:rowOff>309880</xdr:rowOff>
    </xdr:to>
    <xdr:cxnSp macro="">
      <xdr:nvCxnSpPr>
        <xdr:cNvPr id="762" name="Straight Connector 761">
          <a:extLst>
            <a:ext uri="{FF2B5EF4-FFF2-40B4-BE49-F238E27FC236}">
              <a16:creationId xmlns:a16="http://schemas.microsoft.com/office/drawing/2014/main" id="{00000000-0008-0000-0700-0000FA020000}"/>
            </a:ext>
          </a:extLst>
        </xdr:cNvPr>
        <xdr:cNvCxnSpPr/>
      </xdr:nvCxnSpPr>
      <xdr:spPr>
        <a:xfrm flipH="1" flipV="1">
          <a:off x="3480435" y="330454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180</xdr:row>
      <xdr:rowOff>400050</xdr:rowOff>
    </xdr:from>
    <xdr:to>
      <xdr:col>5</xdr:col>
      <xdr:colOff>1666875</xdr:colOff>
      <xdr:row>180</xdr:row>
      <xdr:rowOff>400050</xdr:rowOff>
    </xdr:to>
    <xdr:cxnSp macro="">
      <xdr:nvCxnSpPr>
        <xdr:cNvPr id="763" name="Straight Connector 762">
          <a:extLst>
            <a:ext uri="{FF2B5EF4-FFF2-40B4-BE49-F238E27FC236}">
              <a16:creationId xmlns:a16="http://schemas.microsoft.com/office/drawing/2014/main" id="{00000000-0008-0000-0700-0000FB020000}"/>
            </a:ext>
          </a:extLst>
        </xdr:cNvPr>
        <xdr:cNvCxnSpPr/>
      </xdr:nvCxnSpPr>
      <xdr:spPr>
        <a:xfrm>
          <a:off x="3476625" y="330974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180</xdr:row>
      <xdr:rowOff>127000</xdr:rowOff>
    </xdr:from>
    <xdr:to>
      <xdr:col>5</xdr:col>
      <xdr:colOff>356810</xdr:colOff>
      <xdr:row>180</xdr:row>
      <xdr:rowOff>409912</xdr:rowOff>
    </xdr:to>
    <xdr:cxnSp macro="">
      <xdr:nvCxnSpPr>
        <xdr:cNvPr id="764" name="Straight Connector 763">
          <a:extLst>
            <a:ext uri="{FF2B5EF4-FFF2-40B4-BE49-F238E27FC236}">
              <a16:creationId xmlns:a16="http://schemas.microsoft.com/office/drawing/2014/main" id="{00000000-0008-0000-0700-0000FC020000}"/>
            </a:ext>
          </a:extLst>
        </xdr:cNvPr>
        <xdr:cNvCxnSpPr/>
      </xdr:nvCxnSpPr>
      <xdr:spPr>
        <a:xfrm flipH="1" flipV="1">
          <a:off x="3481009" y="330454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180</xdr:row>
      <xdr:rowOff>134252</xdr:rowOff>
    </xdr:from>
    <xdr:to>
      <xdr:col>5</xdr:col>
      <xdr:colOff>1652211</xdr:colOff>
      <xdr:row>180</xdr:row>
      <xdr:rowOff>417164</xdr:rowOff>
    </xdr:to>
    <xdr:cxnSp macro="">
      <xdr:nvCxnSpPr>
        <xdr:cNvPr id="765" name="Straight Connector 764">
          <a:extLst>
            <a:ext uri="{FF2B5EF4-FFF2-40B4-BE49-F238E27FC236}">
              <a16:creationId xmlns:a16="http://schemas.microsoft.com/office/drawing/2014/main" id="{00000000-0008-0000-0700-0000FD020000}"/>
            </a:ext>
          </a:extLst>
        </xdr:cNvPr>
        <xdr:cNvCxnSpPr/>
      </xdr:nvCxnSpPr>
      <xdr:spPr>
        <a:xfrm flipH="1" flipV="1">
          <a:off x="3747710" y="330526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181</xdr:row>
      <xdr:rowOff>127000</xdr:rowOff>
    </xdr:from>
    <xdr:to>
      <xdr:col>5</xdr:col>
      <xdr:colOff>356235</xdr:colOff>
      <xdr:row>181</xdr:row>
      <xdr:rowOff>309880</xdr:rowOff>
    </xdr:to>
    <xdr:cxnSp macro="">
      <xdr:nvCxnSpPr>
        <xdr:cNvPr id="766" name="Straight Connector 765">
          <a:extLst>
            <a:ext uri="{FF2B5EF4-FFF2-40B4-BE49-F238E27FC236}">
              <a16:creationId xmlns:a16="http://schemas.microsoft.com/office/drawing/2014/main" id="{00000000-0008-0000-0700-0000FE020000}"/>
            </a:ext>
          </a:extLst>
        </xdr:cNvPr>
        <xdr:cNvCxnSpPr/>
      </xdr:nvCxnSpPr>
      <xdr:spPr>
        <a:xfrm flipH="1" flipV="1">
          <a:off x="3480435" y="33228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181</xdr:row>
      <xdr:rowOff>152400</xdr:rowOff>
    </xdr:from>
    <xdr:to>
      <xdr:col>5</xdr:col>
      <xdr:colOff>1676400</xdr:colOff>
      <xdr:row>181</xdr:row>
      <xdr:rowOff>152400</xdr:rowOff>
    </xdr:to>
    <xdr:cxnSp macro="">
      <xdr:nvCxnSpPr>
        <xdr:cNvPr id="767" name="Straight Connector 766">
          <a:extLst>
            <a:ext uri="{FF2B5EF4-FFF2-40B4-BE49-F238E27FC236}">
              <a16:creationId xmlns:a16="http://schemas.microsoft.com/office/drawing/2014/main" id="{00000000-0008-0000-0700-0000FF020000}"/>
            </a:ext>
          </a:extLst>
        </xdr:cNvPr>
        <xdr:cNvCxnSpPr/>
      </xdr:nvCxnSpPr>
      <xdr:spPr>
        <a:xfrm>
          <a:off x="3486150" y="332536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181</xdr:row>
      <xdr:rowOff>127000</xdr:rowOff>
    </xdr:from>
    <xdr:to>
      <xdr:col>5</xdr:col>
      <xdr:colOff>356810</xdr:colOff>
      <xdr:row>181</xdr:row>
      <xdr:rowOff>409912</xdr:rowOff>
    </xdr:to>
    <xdr:cxnSp macro="">
      <xdr:nvCxnSpPr>
        <xdr:cNvPr id="768" name="Straight Connector 767">
          <a:extLst>
            <a:ext uri="{FF2B5EF4-FFF2-40B4-BE49-F238E27FC236}">
              <a16:creationId xmlns:a16="http://schemas.microsoft.com/office/drawing/2014/main" id="{00000000-0008-0000-0700-000000030000}"/>
            </a:ext>
          </a:extLst>
        </xdr:cNvPr>
        <xdr:cNvCxnSpPr/>
      </xdr:nvCxnSpPr>
      <xdr:spPr>
        <a:xfrm flipH="1" flipV="1">
          <a:off x="3481009" y="33228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182</xdr:row>
      <xdr:rowOff>123824</xdr:rowOff>
    </xdr:from>
    <xdr:to>
      <xdr:col>5</xdr:col>
      <xdr:colOff>1428750</xdr:colOff>
      <xdr:row>182</xdr:row>
      <xdr:rowOff>1219199</xdr:rowOff>
    </xdr:to>
    <xdr:sp macro="" textlink="">
      <xdr:nvSpPr>
        <xdr:cNvPr id="769" name="Rounded Rectangle 768">
          <a:extLst>
            <a:ext uri="{FF2B5EF4-FFF2-40B4-BE49-F238E27FC236}">
              <a16:creationId xmlns:a16="http://schemas.microsoft.com/office/drawing/2014/main" id="{00000000-0008-0000-0700-000001030000}"/>
            </a:ext>
          </a:extLst>
        </xdr:cNvPr>
        <xdr:cNvSpPr/>
      </xdr:nvSpPr>
      <xdr:spPr>
        <a:xfrm>
          <a:off x="3745230" y="334079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182</xdr:row>
      <xdr:rowOff>238127</xdr:rowOff>
    </xdr:from>
    <xdr:to>
      <xdr:col>5</xdr:col>
      <xdr:colOff>790575</xdr:colOff>
      <xdr:row>182</xdr:row>
      <xdr:rowOff>361950</xdr:rowOff>
    </xdr:to>
    <xdr:cxnSp macro="">
      <xdr:nvCxnSpPr>
        <xdr:cNvPr id="770" name="Straight Connector 769">
          <a:extLst>
            <a:ext uri="{FF2B5EF4-FFF2-40B4-BE49-F238E27FC236}">
              <a16:creationId xmlns:a16="http://schemas.microsoft.com/office/drawing/2014/main" id="{00000000-0008-0000-0700-000002030000}"/>
            </a:ext>
          </a:extLst>
        </xdr:cNvPr>
        <xdr:cNvCxnSpPr/>
      </xdr:nvCxnSpPr>
      <xdr:spPr>
        <a:xfrm flipH="1" flipV="1">
          <a:off x="3749041" y="334689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182</xdr:row>
      <xdr:rowOff>133352</xdr:rowOff>
    </xdr:from>
    <xdr:to>
      <xdr:col>5</xdr:col>
      <xdr:colOff>885825</xdr:colOff>
      <xdr:row>182</xdr:row>
      <xdr:rowOff>257175</xdr:rowOff>
    </xdr:to>
    <xdr:cxnSp macro="">
      <xdr:nvCxnSpPr>
        <xdr:cNvPr id="771" name="Straight Connector 770">
          <a:extLst>
            <a:ext uri="{FF2B5EF4-FFF2-40B4-BE49-F238E27FC236}">
              <a16:creationId xmlns:a16="http://schemas.microsoft.com/office/drawing/2014/main" id="{00000000-0008-0000-0700-000003030000}"/>
            </a:ext>
          </a:extLst>
        </xdr:cNvPr>
        <xdr:cNvCxnSpPr/>
      </xdr:nvCxnSpPr>
      <xdr:spPr>
        <a:xfrm flipH="1" flipV="1">
          <a:off x="3745231" y="334175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187</xdr:row>
      <xdr:rowOff>127000</xdr:rowOff>
    </xdr:from>
    <xdr:to>
      <xdr:col>5</xdr:col>
      <xdr:colOff>356235</xdr:colOff>
      <xdr:row>187</xdr:row>
      <xdr:rowOff>309880</xdr:rowOff>
    </xdr:to>
    <xdr:cxnSp macro="">
      <xdr:nvCxnSpPr>
        <xdr:cNvPr id="772" name="Straight Connector 771">
          <a:extLst>
            <a:ext uri="{FF2B5EF4-FFF2-40B4-BE49-F238E27FC236}">
              <a16:creationId xmlns:a16="http://schemas.microsoft.com/office/drawing/2014/main" id="{00000000-0008-0000-0700-000004030000}"/>
            </a:ext>
          </a:extLst>
        </xdr:cNvPr>
        <xdr:cNvCxnSpPr/>
      </xdr:nvCxnSpPr>
      <xdr:spPr>
        <a:xfrm flipH="1" flipV="1">
          <a:off x="3480435" y="34325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187</xdr:row>
      <xdr:rowOff>400050</xdr:rowOff>
    </xdr:from>
    <xdr:to>
      <xdr:col>5</xdr:col>
      <xdr:colOff>1666875</xdr:colOff>
      <xdr:row>187</xdr:row>
      <xdr:rowOff>400050</xdr:rowOff>
    </xdr:to>
    <xdr:cxnSp macro="">
      <xdr:nvCxnSpPr>
        <xdr:cNvPr id="773" name="Straight Connector 772">
          <a:extLst>
            <a:ext uri="{FF2B5EF4-FFF2-40B4-BE49-F238E27FC236}">
              <a16:creationId xmlns:a16="http://schemas.microsoft.com/office/drawing/2014/main" id="{00000000-0008-0000-0700-000005030000}"/>
            </a:ext>
          </a:extLst>
        </xdr:cNvPr>
        <xdr:cNvCxnSpPr/>
      </xdr:nvCxnSpPr>
      <xdr:spPr>
        <a:xfrm>
          <a:off x="3476625" y="34377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187</xdr:row>
      <xdr:rowOff>127000</xdr:rowOff>
    </xdr:from>
    <xdr:to>
      <xdr:col>5</xdr:col>
      <xdr:colOff>356810</xdr:colOff>
      <xdr:row>187</xdr:row>
      <xdr:rowOff>409912</xdr:rowOff>
    </xdr:to>
    <xdr:cxnSp macro="">
      <xdr:nvCxnSpPr>
        <xdr:cNvPr id="774" name="Straight Connector 773">
          <a:extLst>
            <a:ext uri="{FF2B5EF4-FFF2-40B4-BE49-F238E27FC236}">
              <a16:creationId xmlns:a16="http://schemas.microsoft.com/office/drawing/2014/main" id="{00000000-0008-0000-0700-000006030000}"/>
            </a:ext>
          </a:extLst>
        </xdr:cNvPr>
        <xdr:cNvCxnSpPr/>
      </xdr:nvCxnSpPr>
      <xdr:spPr>
        <a:xfrm flipH="1" flipV="1">
          <a:off x="3481009" y="34325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187</xdr:row>
      <xdr:rowOff>134252</xdr:rowOff>
    </xdr:from>
    <xdr:to>
      <xdr:col>5</xdr:col>
      <xdr:colOff>1652211</xdr:colOff>
      <xdr:row>187</xdr:row>
      <xdr:rowOff>417164</xdr:rowOff>
    </xdr:to>
    <xdr:cxnSp macro="">
      <xdr:nvCxnSpPr>
        <xdr:cNvPr id="775" name="Straight Connector 774">
          <a:extLst>
            <a:ext uri="{FF2B5EF4-FFF2-40B4-BE49-F238E27FC236}">
              <a16:creationId xmlns:a16="http://schemas.microsoft.com/office/drawing/2014/main" id="{00000000-0008-0000-0700-000007030000}"/>
            </a:ext>
          </a:extLst>
        </xdr:cNvPr>
        <xdr:cNvCxnSpPr/>
      </xdr:nvCxnSpPr>
      <xdr:spPr>
        <a:xfrm flipH="1" flipV="1">
          <a:off x="3747710" y="34332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188</xdr:row>
      <xdr:rowOff>127000</xdr:rowOff>
    </xdr:from>
    <xdr:to>
      <xdr:col>5</xdr:col>
      <xdr:colOff>356235</xdr:colOff>
      <xdr:row>188</xdr:row>
      <xdr:rowOff>309880</xdr:rowOff>
    </xdr:to>
    <xdr:cxnSp macro="">
      <xdr:nvCxnSpPr>
        <xdr:cNvPr id="776" name="Straight Connector 775">
          <a:extLst>
            <a:ext uri="{FF2B5EF4-FFF2-40B4-BE49-F238E27FC236}">
              <a16:creationId xmlns:a16="http://schemas.microsoft.com/office/drawing/2014/main" id="{00000000-0008-0000-0700-000008030000}"/>
            </a:ext>
          </a:extLst>
        </xdr:cNvPr>
        <xdr:cNvCxnSpPr/>
      </xdr:nvCxnSpPr>
      <xdr:spPr>
        <a:xfrm flipH="1" flipV="1">
          <a:off x="3480435" y="34508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188</xdr:row>
      <xdr:rowOff>152400</xdr:rowOff>
    </xdr:from>
    <xdr:to>
      <xdr:col>5</xdr:col>
      <xdr:colOff>1676400</xdr:colOff>
      <xdr:row>188</xdr:row>
      <xdr:rowOff>152400</xdr:rowOff>
    </xdr:to>
    <xdr:cxnSp macro="">
      <xdr:nvCxnSpPr>
        <xdr:cNvPr id="777" name="Straight Connector 776">
          <a:extLst>
            <a:ext uri="{FF2B5EF4-FFF2-40B4-BE49-F238E27FC236}">
              <a16:creationId xmlns:a16="http://schemas.microsoft.com/office/drawing/2014/main" id="{00000000-0008-0000-0700-000009030000}"/>
            </a:ext>
          </a:extLst>
        </xdr:cNvPr>
        <xdr:cNvCxnSpPr/>
      </xdr:nvCxnSpPr>
      <xdr:spPr>
        <a:xfrm>
          <a:off x="3486150" y="34533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188</xdr:row>
      <xdr:rowOff>127000</xdr:rowOff>
    </xdr:from>
    <xdr:to>
      <xdr:col>5</xdr:col>
      <xdr:colOff>356810</xdr:colOff>
      <xdr:row>188</xdr:row>
      <xdr:rowOff>409912</xdr:rowOff>
    </xdr:to>
    <xdr:cxnSp macro="">
      <xdr:nvCxnSpPr>
        <xdr:cNvPr id="778" name="Straight Connector 777">
          <a:extLst>
            <a:ext uri="{FF2B5EF4-FFF2-40B4-BE49-F238E27FC236}">
              <a16:creationId xmlns:a16="http://schemas.microsoft.com/office/drawing/2014/main" id="{00000000-0008-0000-0700-00000A030000}"/>
            </a:ext>
          </a:extLst>
        </xdr:cNvPr>
        <xdr:cNvCxnSpPr/>
      </xdr:nvCxnSpPr>
      <xdr:spPr>
        <a:xfrm flipH="1" flipV="1">
          <a:off x="3481009" y="34508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188</xdr:row>
      <xdr:rowOff>134252</xdr:rowOff>
    </xdr:from>
    <xdr:to>
      <xdr:col>5</xdr:col>
      <xdr:colOff>1652211</xdr:colOff>
      <xdr:row>188</xdr:row>
      <xdr:rowOff>417164</xdr:rowOff>
    </xdr:to>
    <xdr:cxnSp macro="">
      <xdr:nvCxnSpPr>
        <xdr:cNvPr id="779" name="Straight Connector 778">
          <a:extLst>
            <a:ext uri="{FF2B5EF4-FFF2-40B4-BE49-F238E27FC236}">
              <a16:creationId xmlns:a16="http://schemas.microsoft.com/office/drawing/2014/main" id="{00000000-0008-0000-0700-00000B030000}"/>
            </a:ext>
          </a:extLst>
        </xdr:cNvPr>
        <xdr:cNvCxnSpPr/>
      </xdr:nvCxnSpPr>
      <xdr:spPr>
        <a:xfrm flipH="1" flipV="1">
          <a:off x="3747710" y="34515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189</xdr:row>
      <xdr:rowOff>123824</xdr:rowOff>
    </xdr:from>
    <xdr:to>
      <xdr:col>5</xdr:col>
      <xdr:colOff>1428750</xdr:colOff>
      <xdr:row>189</xdr:row>
      <xdr:rowOff>1219199</xdr:rowOff>
    </xdr:to>
    <xdr:sp macro="" textlink="">
      <xdr:nvSpPr>
        <xdr:cNvPr id="780" name="Rounded Rectangle 779">
          <a:extLst>
            <a:ext uri="{FF2B5EF4-FFF2-40B4-BE49-F238E27FC236}">
              <a16:creationId xmlns:a16="http://schemas.microsoft.com/office/drawing/2014/main" id="{00000000-0008-0000-0700-00000C030000}"/>
            </a:ext>
          </a:extLst>
        </xdr:cNvPr>
        <xdr:cNvSpPr/>
      </xdr:nvSpPr>
      <xdr:spPr>
        <a:xfrm>
          <a:off x="3745230" y="34688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189</xdr:row>
      <xdr:rowOff>238127</xdr:rowOff>
    </xdr:from>
    <xdr:to>
      <xdr:col>5</xdr:col>
      <xdr:colOff>790575</xdr:colOff>
      <xdr:row>189</xdr:row>
      <xdr:rowOff>361950</xdr:rowOff>
    </xdr:to>
    <xdr:cxnSp macro="">
      <xdr:nvCxnSpPr>
        <xdr:cNvPr id="781" name="Straight Connector 780">
          <a:extLst>
            <a:ext uri="{FF2B5EF4-FFF2-40B4-BE49-F238E27FC236}">
              <a16:creationId xmlns:a16="http://schemas.microsoft.com/office/drawing/2014/main" id="{00000000-0008-0000-0700-00000D030000}"/>
            </a:ext>
          </a:extLst>
        </xdr:cNvPr>
        <xdr:cNvCxnSpPr/>
      </xdr:nvCxnSpPr>
      <xdr:spPr>
        <a:xfrm flipH="1" flipV="1">
          <a:off x="3749041" y="34749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189</xdr:row>
      <xdr:rowOff>133352</xdr:rowOff>
    </xdr:from>
    <xdr:to>
      <xdr:col>5</xdr:col>
      <xdr:colOff>885825</xdr:colOff>
      <xdr:row>189</xdr:row>
      <xdr:rowOff>257175</xdr:rowOff>
    </xdr:to>
    <xdr:cxnSp macro="">
      <xdr:nvCxnSpPr>
        <xdr:cNvPr id="782" name="Straight Connector 781">
          <a:extLst>
            <a:ext uri="{FF2B5EF4-FFF2-40B4-BE49-F238E27FC236}">
              <a16:creationId xmlns:a16="http://schemas.microsoft.com/office/drawing/2014/main" id="{00000000-0008-0000-0700-00000E030000}"/>
            </a:ext>
          </a:extLst>
        </xdr:cNvPr>
        <xdr:cNvCxnSpPr/>
      </xdr:nvCxnSpPr>
      <xdr:spPr>
        <a:xfrm flipH="1" flipV="1">
          <a:off x="3745231" y="34697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187</xdr:row>
      <xdr:rowOff>127000</xdr:rowOff>
    </xdr:from>
    <xdr:to>
      <xdr:col>5</xdr:col>
      <xdr:colOff>356235</xdr:colOff>
      <xdr:row>187</xdr:row>
      <xdr:rowOff>309880</xdr:rowOff>
    </xdr:to>
    <xdr:cxnSp macro="">
      <xdr:nvCxnSpPr>
        <xdr:cNvPr id="783" name="Straight Connector 782">
          <a:extLst>
            <a:ext uri="{FF2B5EF4-FFF2-40B4-BE49-F238E27FC236}">
              <a16:creationId xmlns:a16="http://schemas.microsoft.com/office/drawing/2014/main" id="{00000000-0008-0000-0700-00000F030000}"/>
            </a:ext>
          </a:extLst>
        </xdr:cNvPr>
        <xdr:cNvCxnSpPr/>
      </xdr:nvCxnSpPr>
      <xdr:spPr>
        <a:xfrm flipH="1" flipV="1">
          <a:off x="3480435" y="34325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187</xdr:row>
      <xdr:rowOff>400050</xdr:rowOff>
    </xdr:from>
    <xdr:to>
      <xdr:col>5</xdr:col>
      <xdr:colOff>1666875</xdr:colOff>
      <xdr:row>187</xdr:row>
      <xdr:rowOff>400050</xdr:rowOff>
    </xdr:to>
    <xdr:cxnSp macro="">
      <xdr:nvCxnSpPr>
        <xdr:cNvPr id="784" name="Straight Connector 783">
          <a:extLst>
            <a:ext uri="{FF2B5EF4-FFF2-40B4-BE49-F238E27FC236}">
              <a16:creationId xmlns:a16="http://schemas.microsoft.com/office/drawing/2014/main" id="{00000000-0008-0000-0700-000010030000}"/>
            </a:ext>
          </a:extLst>
        </xdr:cNvPr>
        <xdr:cNvCxnSpPr/>
      </xdr:nvCxnSpPr>
      <xdr:spPr>
        <a:xfrm>
          <a:off x="3476625" y="34377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187</xdr:row>
      <xdr:rowOff>127000</xdr:rowOff>
    </xdr:from>
    <xdr:to>
      <xdr:col>5</xdr:col>
      <xdr:colOff>356810</xdr:colOff>
      <xdr:row>187</xdr:row>
      <xdr:rowOff>409912</xdr:rowOff>
    </xdr:to>
    <xdr:cxnSp macro="">
      <xdr:nvCxnSpPr>
        <xdr:cNvPr id="785" name="Straight Connector 784">
          <a:extLst>
            <a:ext uri="{FF2B5EF4-FFF2-40B4-BE49-F238E27FC236}">
              <a16:creationId xmlns:a16="http://schemas.microsoft.com/office/drawing/2014/main" id="{00000000-0008-0000-0700-000011030000}"/>
            </a:ext>
          </a:extLst>
        </xdr:cNvPr>
        <xdr:cNvCxnSpPr/>
      </xdr:nvCxnSpPr>
      <xdr:spPr>
        <a:xfrm flipH="1" flipV="1">
          <a:off x="3481009" y="34325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187</xdr:row>
      <xdr:rowOff>134252</xdr:rowOff>
    </xdr:from>
    <xdr:to>
      <xdr:col>5</xdr:col>
      <xdr:colOff>1652211</xdr:colOff>
      <xdr:row>187</xdr:row>
      <xdr:rowOff>417164</xdr:rowOff>
    </xdr:to>
    <xdr:cxnSp macro="">
      <xdr:nvCxnSpPr>
        <xdr:cNvPr id="786" name="Straight Connector 785">
          <a:extLst>
            <a:ext uri="{FF2B5EF4-FFF2-40B4-BE49-F238E27FC236}">
              <a16:creationId xmlns:a16="http://schemas.microsoft.com/office/drawing/2014/main" id="{00000000-0008-0000-0700-000012030000}"/>
            </a:ext>
          </a:extLst>
        </xdr:cNvPr>
        <xdr:cNvCxnSpPr/>
      </xdr:nvCxnSpPr>
      <xdr:spPr>
        <a:xfrm flipH="1" flipV="1">
          <a:off x="3747710" y="34332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188</xdr:row>
      <xdr:rowOff>127000</xdr:rowOff>
    </xdr:from>
    <xdr:to>
      <xdr:col>5</xdr:col>
      <xdr:colOff>356235</xdr:colOff>
      <xdr:row>188</xdr:row>
      <xdr:rowOff>309880</xdr:rowOff>
    </xdr:to>
    <xdr:cxnSp macro="">
      <xdr:nvCxnSpPr>
        <xdr:cNvPr id="787" name="Straight Connector 786">
          <a:extLst>
            <a:ext uri="{FF2B5EF4-FFF2-40B4-BE49-F238E27FC236}">
              <a16:creationId xmlns:a16="http://schemas.microsoft.com/office/drawing/2014/main" id="{00000000-0008-0000-0700-000013030000}"/>
            </a:ext>
          </a:extLst>
        </xdr:cNvPr>
        <xdr:cNvCxnSpPr/>
      </xdr:nvCxnSpPr>
      <xdr:spPr>
        <a:xfrm flipH="1" flipV="1">
          <a:off x="3480435" y="34508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188</xdr:row>
      <xdr:rowOff>152400</xdr:rowOff>
    </xdr:from>
    <xdr:to>
      <xdr:col>5</xdr:col>
      <xdr:colOff>1676400</xdr:colOff>
      <xdr:row>188</xdr:row>
      <xdr:rowOff>152400</xdr:rowOff>
    </xdr:to>
    <xdr:cxnSp macro="">
      <xdr:nvCxnSpPr>
        <xdr:cNvPr id="788" name="Straight Connector 787">
          <a:extLst>
            <a:ext uri="{FF2B5EF4-FFF2-40B4-BE49-F238E27FC236}">
              <a16:creationId xmlns:a16="http://schemas.microsoft.com/office/drawing/2014/main" id="{00000000-0008-0000-0700-000014030000}"/>
            </a:ext>
          </a:extLst>
        </xdr:cNvPr>
        <xdr:cNvCxnSpPr/>
      </xdr:nvCxnSpPr>
      <xdr:spPr>
        <a:xfrm>
          <a:off x="3486150" y="34533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188</xdr:row>
      <xdr:rowOff>127000</xdr:rowOff>
    </xdr:from>
    <xdr:to>
      <xdr:col>5</xdr:col>
      <xdr:colOff>356810</xdr:colOff>
      <xdr:row>188</xdr:row>
      <xdr:rowOff>409912</xdr:rowOff>
    </xdr:to>
    <xdr:cxnSp macro="">
      <xdr:nvCxnSpPr>
        <xdr:cNvPr id="789" name="Straight Connector 788">
          <a:extLst>
            <a:ext uri="{FF2B5EF4-FFF2-40B4-BE49-F238E27FC236}">
              <a16:creationId xmlns:a16="http://schemas.microsoft.com/office/drawing/2014/main" id="{00000000-0008-0000-0700-000015030000}"/>
            </a:ext>
          </a:extLst>
        </xdr:cNvPr>
        <xdr:cNvCxnSpPr/>
      </xdr:nvCxnSpPr>
      <xdr:spPr>
        <a:xfrm flipH="1" flipV="1">
          <a:off x="3481009" y="34508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188</xdr:row>
      <xdr:rowOff>134252</xdr:rowOff>
    </xdr:from>
    <xdr:to>
      <xdr:col>5</xdr:col>
      <xdr:colOff>1652211</xdr:colOff>
      <xdr:row>188</xdr:row>
      <xdr:rowOff>417164</xdr:rowOff>
    </xdr:to>
    <xdr:cxnSp macro="">
      <xdr:nvCxnSpPr>
        <xdr:cNvPr id="790" name="Straight Connector 789">
          <a:extLst>
            <a:ext uri="{FF2B5EF4-FFF2-40B4-BE49-F238E27FC236}">
              <a16:creationId xmlns:a16="http://schemas.microsoft.com/office/drawing/2014/main" id="{00000000-0008-0000-0700-000016030000}"/>
            </a:ext>
          </a:extLst>
        </xdr:cNvPr>
        <xdr:cNvCxnSpPr/>
      </xdr:nvCxnSpPr>
      <xdr:spPr>
        <a:xfrm flipH="1" flipV="1">
          <a:off x="3747710" y="34515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189</xdr:row>
      <xdr:rowOff>123824</xdr:rowOff>
    </xdr:from>
    <xdr:to>
      <xdr:col>5</xdr:col>
      <xdr:colOff>1428750</xdr:colOff>
      <xdr:row>189</xdr:row>
      <xdr:rowOff>1219199</xdr:rowOff>
    </xdr:to>
    <xdr:sp macro="" textlink="">
      <xdr:nvSpPr>
        <xdr:cNvPr id="791" name="Rounded Rectangle 790">
          <a:extLst>
            <a:ext uri="{FF2B5EF4-FFF2-40B4-BE49-F238E27FC236}">
              <a16:creationId xmlns:a16="http://schemas.microsoft.com/office/drawing/2014/main" id="{00000000-0008-0000-0700-000017030000}"/>
            </a:ext>
          </a:extLst>
        </xdr:cNvPr>
        <xdr:cNvSpPr/>
      </xdr:nvSpPr>
      <xdr:spPr>
        <a:xfrm>
          <a:off x="3745230" y="34688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189</xdr:row>
      <xdr:rowOff>238127</xdr:rowOff>
    </xdr:from>
    <xdr:to>
      <xdr:col>5</xdr:col>
      <xdr:colOff>790575</xdr:colOff>
      <xdr:row>189</xdr:row>
      <xdr:rowOff>361950</xdr:rowOff>
    </xdr:to>
    <xdr:cxnSp macro="">
      <xdr:nvCxnSpPr>
        <xdr:cNvPr id="792" name="Straight Connector 791">
          <a:extLst>
            <a:ext uri="{FF2B5EF4-FFF2-40B4-BE49-F238E27FC236}">
              <a16:creationId xmlns:a16="http://schemas.microsoft.com/office/drawing/2014/main" id="{00000000-0008-0000-0700-000018030000}"/>
            </a:ext>
          </a:extLst>
        </xdr:cNvPr>
        <xdr:cNvCxnSpPr/>
      </xdr:nvCxnSpPr>
      <xdr:spPr>
        <a:xfrm flipH="1" flipV="1">
          <a:off x="3749041" y="34749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189</xdr:row>
      <xdr:rowOff>133352</xdr:rowOff>
    </xdr:from>
    <xdr:to>
      <xdr:col>5</xdr:col>
      <xdr:colOff>885825</xdr:colOff>
      <xdr:row>189</xdr:row>
      <xdr:rowOff>257175</xdr:rowOff>
    </xdr:to>
    <xdr:cxnSp macro="">
      <xdr:nvCxnSpPr>
        <xdr:cNvPr id="793" name="Straight Connector 792">
          <a:extLst>
            <a:ext uri="{FF2B5EF4-FFF2-40B4-BE49-F238E27FC236}">
              <a16:creationId xmlns:a16="http://schemas.microsoft.com/office/drawing/2014/main" id="{00000000-0008-0000-0700-000019030000}"/>
            </a:ext>
          </a:extLst>
        </xdr:cNvPr>
        <xdr:cNvCxnSpPr/>
      </xdr:nvCxnSpPr>
      <xdr:spPr>
        <a:xfrm flipH="1" flipV="1">
          <a:off x="3745231" y="34697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187</xdr:row>
      <xdr:rowOff>127000</xdr:rowOff>
    </xdr:from>
    <xdr:to>
      <xdr:col>5</xdr:col>
      <xdr:colOff>356235</xdr:colOff>
      <xdr:row>187</xdr:row>
      <xdr:rowOff>309880</xdr:rowOff>
    </xdr:to>
    <xdr:cxnSp macro="">
      <xdr:nvCxnSpPr>
        <xdr:cNvPr id="794" name="Straight Connector 793">
          <a:extLst>
            <a:ext uri="{FF2B5EF4-FFF2-40B4-BE49-F238E27FC236}">
              <a16:creationId xmlns:a16="http://schemas.microsoft.com/office/drawing/2014/main" id="{00000000-0008-0000-0700-00001A030000}"/>
            </a:ext>
          </a:extLst>
        </xdr:cNvPr>
        <xdr:cNvCxnSpPr/>
      </xdr:nvCxnSpPr>
      <xdr:spPr>
        <a:xfrm flipH="1" flipV="1">
          <a:off x="3480435" y="34325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187</xdr:row>
      <xdr:rowOff>400050</xdr:rowOff>
    </xdr:from>
    <xdr:to>
      <xdr:col>5</xdr:col>
      <xdr:colOff>1666875</xdr:colOff>
      <xdr:row>187</xdr:row>
      <xdr:rowOff>400050</xdr:rowOff>
    </xdr:to>
    <xdr:cxnSp macro="">
      <xdr:nvCxnSpPr>
        <xdr:cNvPr id="795" name="Straight Connector 794">
          <a:extLst>
            <a:ext uri="{FF2B5EF4-FFF2-40B4-BE49-F238E27FC236}">
              <a16:creationId xmlns:a16="http://schemas.microsoft.com/office/drawing/2014/main" id="{00000000-0008-0000-0700-00001B030000}"/>
            </a:ext>
          </a:extLst>
        </xdr:cNvPr>
        <xdr:cNvCxnSpPr/>
      </xdr:nvCxnSpPr>
      <xdr:spPr>
        <a:xfrm>
          <a:off x="3476625" y="34377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187</xdr:row>
      <xdr:rowOff>127000</xdr:rowOff>
    </xdr:from>
    <xdr:to>
      <xdr:col>5</xdr:col>
      <xdr:colOff>356810</xdr:colOff>
      <xdr:row>187</xdr:row>
      <xdr:rowOff>409912</xdr:rowOff>
    </xdr:to>
    <xdr:cxnSp macro="">
      <xdr:nvCxnSpPr>
        <xdr:cNvPr id="796" name="Straight Connector 795">
          <a:extLst>
            <a:ext uri="{FF2B5EF4-FFF2-40B4-BE49-F238E27FC236}">
              <a16:creationId xmlns:a16="http://schemas.microsoft.com/office/drawing/2014/main" id="{00000000-0008-0000-0700-00001C030000}"/>
            </a:ext>
          </a:extLst>
        </xdr:cNvPr>
        <xdr:cNvCxnSpPr/>
      </xdr:nvCxnSpPr>
      <xdr:spPr>
        <a:xfrm flipH="1" flipV="1">
          <a:off x="3481009" y="34325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187</xdr:row>
      <xdr:rowOff>134252</xdr:rowOff>
    </xdr:from>
    <xdr:to>
      <xdr:col>5</xdr:col>
      <xdr:colOff>1652211</xdr:colOff>
      <xdr:row>187</xdr:row>
      <xdr:rowOff>417164</xdr:rowOff>
    </xdr:to>
    <xdr:cxnSp macro="">
      <xdr:nvCxnSpPr>
        <xdr:cNvPr id="797" name="Straight Connector 796">
          <a:extLst>
            <a:ext uri="{FF2B5EF4-FFF2-40B4-BE49-F238E27FC236}">
              <a16:creationId xmlns:a16="http://schemas.microsoft.com/office/drawing/2014/main" id="{00000000-0008-0000-0700-00001D030000}"/>
            </a:ext>
          </a:extLst>
        </xdr:cNvPr>
        <xdr:cNvCxnSpPr/>
      </xdr:nvCxnSpPr>
      <xdr:spPr>
        <a:xfrm flipH="1" flipV="1">
          <a:off x="3747710" y="34332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188</xdr:row>
      <xdr:rowOff>127000</xdr:rowOff>
    </xdr:from>
    <xdr:to>
      <xdr:col>5</xdr:col>
      <xdr:colOff>356235</xdr:colOff>
      <xdr:row>188</xdr:row>
      <xdr:rowOff>309880</xdr:rowOff>
    </xdr:to>
    <xdr:cxnSp macro="">
      <xdr:nvCxnSpPr>
        <xdr:cNvPr id="798" name="Straight Connector 797">
          <a:extLst>
            <a:ext uri="{FF2B5EF4-FFF2-40B4-BE49-F238E27FC236}">
              <a16:creationId xmlns:a16="http://schemas.microsoft.com/office/drawing/2014/main" id="{00000000-0008-0000-0700-00001E030000}"/>
            </a:ext>
          </a:extLst>
        </xdr:cNvPr>
        <xdr:cNvCxnSpPr/>
      </xdr:nvCxnSpPr>
      <xdr:spPr>
        <a:xfrm flipH="1" flipV="1">
          <a:off x="3480435" y="34508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188</xdr:row>
      <xdr:rowOff>152400</xdr:rowOff>
    </xdr:from>
    <xdr:to>
      <xdr:col>5</xdr:col>
      <xdr:colOff>1676400</xdr:colOff>
      <xdr:row>188</xdr:row>
      <xdr:rowOff>152400</xdr:rowOff>
    </xdr:to>
    <xdr:cxnSp macro="">
      <xdr:nvCxnSpPr>
        <xdr:cNvPr id="799" name="Straight Connector 798">
          <a:extLst>
            <a:ext uri="{FF2B5EF4-FFF2-40B4-BE49-F238E27FC236}">
              <a16:creationId xmlns:a16="http://schemas.microsoft.com/office/drawing/2014/main" id="{00000000-0008-0000-0700-00001F030000}"/>
            </a:ext>
          </a:extLst>
        </xdr:cNvPr>
        <xdr:cNvCxnSpPr/>
      </xdr:nvCxnSpPr>
      <xdr:spPr>
        <a:xfrm>
          <a:off x="3486150" y="34533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188</xdr:row>
      <xdr:rowOff>127000</xdr:rowOff>
    </xdr:from>
    <xdr:to>
      <xdr:col>5</xdr:col>
      <xdr:colOff>356810</xdr:colOff>
      <xdr:row>188</xdr:row>
      <xdr:rowOff>409912</xdr:rowOff>
    </xdr:to>
    <xdr:cxnSp macro="">
      <xdr:nvCxnSpPr>
        <xdr:cNvPr id="800" name="Straight Connector 799">
          <a:extLst>
            <a:ext uri="{FF2B5EF4-FFF2-40B4-BE49-F238E27FC236}">
              <a16:creationId xmlns:a16="http://schemas.microsoft.com/office/drawing/2014/main" id="{00000000-0008-0000-0700-000020030000}"/>
            </a:ext>
          </a:extLst>
        </xdr:cNvPr>
        <xdr:cNvCxnSpPr/>
      </xdr:nvCxnSpPr>
      <xdr:spPr>
        <a:xfrm flipH="1" flipV="1">
          <a:off x="3481009" y="34508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188</xdr:row>
      <xdr:rowOff>134252</xdr:rowOff>
    </xdr:from>
    <xdr:to>
      <xdr:col>5</xdr:col>
      <xdr:colOff>1652211</xdr:colOff>
      <xdr:row>188</xdr:row>
      <xdr:rowOff>417164</xdr:rowOff>
    </xdr:to>
    <xdr:cxnSp macro="">
      <xdr:nvCxnSpPr>
        <xdr:cNvPr id="801" name="Straight Connector 800">
          <a:extLst>
            <a:ext uri="{FF2B5EF4-FFF2-40B4-BE49-F238E27FC236}">
              <a16:creationId xmlns:a16="http://schemas.microsoft.com/office/drawing/2014/main" id="{00000000-0008-0000-0700-000021030000}"/>
            </a:ext>
          </a:extLst>
        </xdr:cNvPr>
        <xdr:cNvCxnSpPr/>
      </xdr:nvCxnSpPr>
      <xdr:spPr>
        <a:xfrm flipH="1" flipV="1">
          <a:off x="3747710" y="34515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189</xdr:row>
      <xdr:rowOff>123824</xdr:rowOff>
    </xdr:from>
    <xdr:to>
      <xdr:col>5</xdr:col>
      <xdr:colOff>1428750</xdr:colOff>
      <xdr:row>189</xdr:row>
      <xdr:rowOff>1219199</xdr:rowOff>
    </xdr:to>
    <xdr:sp macro="" textlink="">
      <xdr:nvSpPr>
        <xdr:cNvPr id="802" name="Rounded Rectangle 801">
          <a:extLst>
            <a:ext uri="{FF2B5EF4-FFF2-40B4-BE49-F238E27FC236}">
              <a16:creationId xmlns:a16="http://schemas.microsoft.com/office/drawing/2014/main" id="{00000000-0008-0000-0700-000022030000}"/>
            </a:ext>
          </a:extLst>
        </xdr:cNvPr>
        <xdr:cNvSpPr/>
      </xdr:nvSpPr>
      <xdr:spPr>
        <a:xfrm>
          <a:off x="3745230" y="34688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189</xdr:row>
      <xdr:rowOff>238127</xdr:rowOff>
    </xdr:from>
    <xdr:to>
      <xdr:col>5</xdr:col>
      <xdr:colOff>790575</xdr:colOff>
      <xdr:row>189</xdr:row>
      <xdr:rowOff>361950</xdr:rowOff>
    </xdr:to>
    <xdr:cxnSp macro="">
      <xdr:nvCxnSpPr>
        <xdr:cNvPr id="803" name="Straight Connector 802">
          <a:extLst>
            <a:ext uri="{FF2B5EF4-FFF2-40B4-BE49-F238E27FC236}">
              <a16:creationId xmlns:a16="http://schemas.microsoft.com/office/drawing/2014/main" id="{00000000-0008-0000-0700-000023030000}"/>
            </a:ext>
          </a:extLst>
        </xdr:cNvPr>
        <xdr:cNvCxnSpPr/>
      </xdr:nvCxnSpPr>
      <xdr:spPr>
        <a:xfrm flipH="1" flipV="1">
          <a:off x="3749041" y="34749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189</xdr:row>
      <xdr:rowOff>133352</xdr:rowOff>
    </xdr:from>
    <xdr:to>
      <xdr:col>5</xdr:col>
      <xdr:colOff>885825</xdr:colOff>
      <xdr:row>189</xdr:row>
      <xdr:rowOff>257175</xdr:rowOff>
    </xdr:to>
    <xdr:cxnSp macro="">
      <xdr:nvCxnSpPr>
        <xdr:cNvPr id="804" name="Straight Connector 803">
          <a:extLst>
            <a:ext uri="{FF2B5EF4-FFF2-40B4-BE49-F238E27FC236}">
              <a16:creationId xmlns:a16="http://schemas.microsoft.com/office/drawing/2014/main" id="{00000000-0008-0000-0700-000024030000}"/>
            </a:ext>
          </a:extLst>
        </xdr:cNvPr>
        <xdr:cNvCxnSpPr/>
      </xdr:nvCxnSpPr>
      <xdr:spPr>
        <a:xfrm flipH="1" flipV="1">
          <a:off x="3745231" y="34697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187</xdr:row>
      <xdr:rowOff>127000</xdr:rowOff>
    </xdr:from>
    <xdr:to>
      <xdr:col>5</xdr:col>
      <xdr:colOff>356235</xdr:colOff>
      <xdr:row>187</xdr:row>
      <xdr:rowOff>309880</xdr:rowOff>
    </xdr:to>
    <xdr:cxnSp macro="">
      <xdr:nvCxnSpPr>
        <xdr:cNvPr id="805" name="Straight Connector 804">
          <a:extLst>
            <a:ext uri="{FF2B5EF4-FFF2-40B4-BE49-F238E27FC236}">
              <a16:creationId xmlns:a16="http://schemas.microsoft.com/office/drawing/2014/main" id="{00000000-0008-0000-0700-000025030000}"/>
            </a:ext>
          </a:extLst>
        </xdr:cNvPr>
        <xdr:cNvCxnSpPr/>
      </xdr:nvCxnSpPr>
      <xdr:spPr>
        <a:xfrm flipH="1" flipV="1">
          <a:off x="3480435" y="34325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187</xdr:row>
      <xdr:rowOff>400050</xdr:rowOff>
    </xdr:from>
    <xdr:to>
      <xdr:col>5</xdr:col>
      <xdr:colOff>1666875</xdr:colOff>
      <xdr:row>187</xdr:row>
      <xdr:rowOff>400050</xdr:rowOff>
    </xdr:to>
    <xdr:cxnSp macro="">
      <xdr:nvCxnSpPr>
        <xdr:cNvPr id="806" name="Straight Connector 805">
          <a:extLst>
            <a:ext uri="{FF2B5EF4-FFF2-40B4-BE49-F238E27FC236}">
              <a16:creationId xmlns:a16="http://schemas.microsoft.com/office/drawing/2014/main" id="{00000000-0008-0000-0700-000026030000}"/>
            </a:ext>
          </a:extLst>
        </xdr:cNvPr>
        <xdr:cNvCxnSpPr/>
      </xdr:nvCxnSpPr>
      <xdr:spPr>
        <a:xfrm>
          <a:off x="3476625" y="34377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187</xdr:row>
      <xdr:rowOff>127000</xdr:rowOff>
    </xdr:from>
    <xdr:to>
      <xdr:col>5</xdr:col>
      <xdr:colOff>356810</xdr:colOff>
      <xdr:row>187</xdr:row>
      <xdr:rowOff>409912</xdr:rowOff>
    </xdr:to>
    <xdr:cxnSp macro="">
      <xdr:nvCxnSpPr>
        <xdr:cNvPr id="807" name="Straight Connector 806">
          <a:extLst>
            <a:ext uri="{FF2B5EF4-FFF2-40B4-BE49-F238E27FC236}">
              <a16:creationId xmlns:a16="http://schemas.microsoft.com/office/drawing/2014/main" id="{00000000-0008-0000-0700-000027030000}"/>
            </a:ext>
          </a:extLst>
        </xdr:cNvPr>
        <xdr:cNvCxnSpPr/>
      </xdr:nvCxnSpPr>
      <xdr:spPr>
        <a:xfrm flipH="1" flipV="1">
          <a:off x="3481009" y="34325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187</xdr:row>
      <xdr:rowOff>134252</xdr:rowOff>
    </xdr:from>
    <xdr:to>
      <xdr:col>5</xdr:col>
      <xdr:colOff>1652211</xdr:colOff>
      <xdr:row>187</xdr:row>
      <xdr:rowOff>417164</xdr:rowOff>
    </xdr:to>
    <xdr:cxnSp macro="">
      <xdr:nvCxnSpPr>
        <xdr:cNvPr id="808" name="Straight Connector 807">
          <a:extLst>
            <a:ext uri="{FF2B5EF4-FFF2-40B4-BE49-F238E27FC236}">
              <a16:creationId xmlns:a16="http://schemas.microsoft.com/office/drawing/2014/main" id="{00000000-0008-0000-0700-000028030000}"/>
            </a:ext>
          </a:extLst>
        </xdr:cNvPr>
        <xdr:cNvCxnSpPr/>
      </xdr:nvCxnSpPr>
      <xdr:spPr>
        <a:xfrm flipH="1" flipV="1">
          <a:off x="3747710" y="34332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188</xdr:row>
      <xdr:rowOff>127000</xdr:rowOff>
    </xdr:from>
    <xdr:to>
      <xdr:col>5</xdr:col>
      <xdr:colOff>356235</xdr:colOff>
      <xdr:row>188</xdr:row>
      <xdr:rowOff>309880</xdr:rowOff>
    </xdr:to>
    <xdr:cxnSp macro="">
      <xdr:nvCxnSpPr>
        <xdr:cNvPr id="809" name="Straight Connector 808">
          <a:extLst>
            <a:ext uri="{FF2B5EF4-FFF2-40B4-BE49-F238E27FC236}">
              <a16:creationId xmlns:a16="http://schemas.microsoft.com/office/drawing/2014/main" id="{00000000-0008-0000-0700-000029030000}"/>
            </a:ext>
          </a:extLst>
        </xdr:cNvPr>
        <xdr:cNvCxnSpPr/>
      </xdr:nvCxnSpPr>
      <xdr:spPr>
        <a:xfrm flipH="1" flipV="1">
          <a:off x="3480435" y="34508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188</xdr:row>
      <xdr:rowOff>152400</xdr:rowOff>
    </xdr:from>
    <xdr:to>
      <xdr:col>5</xdr:col>
      <xdr:colOff>1676400</xdr:colOff>
      <xdr:row>188</xdr:row>
      <xdr:rowOff>152400</xdr:rowOff>
    </xdr:to>
    <xdr:cxnSp macro="">
      <xdr:nvCxnSpPr>
        <xdr:cNvPr id="810" name="Straight Connector 809">
          <a:extLst>
            <a:ext uri="{FF2B5EF4-FFF2-40B4-BE49-F238E27FC236}">
              <a16:creationId xmlns:a16="http://schemas.microsoft.com/office/drawing/2014/main" id="{00000000-0008-0000-0700-00002A030000}"/>
            </a:ext>
          </a:extLst>
        </xdr:cNvPr>
        <xdr:cNvCxnSpPr/>
      </xdr:nvCxnSpPr>
      <xdr:spPr>
        <a:xfrm>
          <a:off x="3486150" y="34533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188</xdr:row>
      <xdr:rowOff>127000</xdr:rowOff>
    </xdr:from>
    <xdr:to>
      <xdr:col>5</xdr:col>
      <xdr:colOff>356810</xdr:colOff>
      <xdr:row>188</xdr:row>
      <xdr:rowOff>409912</xdr:rowOff>
    </xdr:to>
    <xdr:cxnSp macro="">
      <xdr:nvCxnSpPr>
        <xdr:cNvPr id="811" name="Straight Connector 810">
          <a:extLst>
            <a:ext uri="{FF2B5EF4-FFF2-40B4-BE49-F238E27FC236}">
              <a16:creationId xmlns:a16="http://schemas.microsoft.com/office/drawing/2014/main" id="{00000000-0008-0000-0700-00002B030000}"/>
            </a:ext>
          </a:extLst>
        </xdr:cNvPr>
        <xdr:cNvCxnSpPr/>
      </xdr:nvCxnSpPr>
      <xdr:spPr>
        <a:xfrm flipH="1" flipV="1">
          <a:off x="3481009" y="34508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189</xdr:row>
      <xdr:rowOff>123824</xdr:rowOff>
    </xdr:from>
    <xdr:to>
      <xdr:col>5</xdr:col>
      <xdr:colOff>1428750</xdr:colOff>
      <xdr:row>189</xdr:row>
      <xdr:rowOff>1219199</xdr:rowOff>
    </xdr:to>
    <xdr:sp macro="" textlink="">
      <xdr:nvSpPr>
        <xdr:cNvPr id="812" name="Rounded Rectangle 811">
          <a:extLst>
            <a:ext uri="{FF2B5EF4-FFF2-40B4-BE49-F238E27FC236}">
              <a16:creationId xmlns:a16="http://schemas.microsoft.com/office/drawing/2014/main" id="{00000000-0008-0000-0700-00002C030000}"/>
            </a:ext>
          </a:extLst>
        </xdr:cNvPr>
        <xdr:cNvSpPr/>
      </xdr:nvSpPr>
      <xdr:spPr>
        <a:xfrm>
          <a:off x="3745230" y="34688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189</xdr:row>
      <xdr:rowOff>238127</xdr:rowOff>
    </xdr:from>
    <xdr:to>
      <xdr:col>5</xdr:col>
      <xdr:colOff>790575</xdr:colOff>
      <xdr:row>189</xdr:row>
      <xdr:rowOff>361950</xdr:rowOff>
    </xdr:to>
    <xdr:cxnSp macro="">
      <xdr:nvCxnSpPr>
        <xdr:cNvPr id="813" name="Straight Connector 812">
          <a:extLst>
            <a:ext uri="{FF2B5EF4-FFF2-40B4-BE49-F238E27FC236}">
              <a16:creationId xmlns:a16="http://schemas.microsoft.com/office/drawing/2014/main" id="{00000000-0008-0000-0700-00002D030000}"/>
            </a:ext>
          </a:extLst>
        </xdr:cNvPr>
        <xdr:cNvCxnSpPr/>
      </xdr:nvCxnSpPr>
      <xdr:spPr>
        <a:xfrm flipH="1" flipV="1">
          <a:off x="3749041" y="34749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189</xdr:row>
      <xdr:rowOff>133352</xdr:rowOff>
    </xdr:from>
    <xdr:to>
      <xdr:col>5</xdr:col>
      <xdr:colOff>885825</xdr:colOff>
      <xdr:row>189</xdr:row>
      <xdr:rowOff>257175</xdr:rowOff>
    </xdr:to>
    <xdr:cxnSp macro="">
      <xdr:nvCxnSpPr>
        <xdr:cNvPr id="814" name="Straight Connector 813">
          <a:extLst>
            <a:ext uri="{FF2B5EF4-FFF2-40B4-BE49-F238E27FC236}">
              <a16:creationId xmlns:a16="http://schemas.microsoft.com/office/drawing/2014/main" id="{00000000-0008-0000-0700-00002E030000}"/>
            </a:ext>
          </a:extLst>
        </xdr:cNvPr>
        <xdr:cNvCxnSpPr/>
      </xdr:nvCxnSpPr>
      <xdr:spPr>
        <a:xfrm flipH="1" flipV="1">
          <a:off x="3745231" y="34697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193</xdr:row>
      <xdr:rowOff>127000</xdr:rowOff>
    </xdr:from>
    <xdr:to>
      <xdr:col>5</xdr:col>
      <xdr:colOff>356235</xdr:colOff>
      <xdr:row>193</xdr:row>
      <xdr:rowOff>309880</xdr:rowOff>
    </xdr:to>
    <xdr:cxnSp macro="">
      <xdr:nvCxnSpPr>
        <xdr:cNvPr id="815" name="Straight Connector 814">
          <a:extLst>
            <a:ext uri="{FF2B5EF4-FFF2-40B4-BE49-F238E27FC236}">
              <a16:creationId xmlns:a16="http://schemas.microsoft.com/office/drawing/2014/main" id="{00000000-0008-0000-0700-00002F030000}"/>
            </a:ext>
          </a:extLst>
        </xdr:cNvPr>
        <xdr:cNvCxnSpPr/>
      </xdr:nvCxnSpPr>
      <xdr:spPr>
        <a:xfrm flipH="1" flipV="1">
          <a:off x="3480435" y="35422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193</xdr:row>
      <xdr:rowOff>400050</xdr:rowOff>
    </xdr:from>
    <xdr:to>
      <xdr:col>5</xdr:col>
      <xdr:colOff>1666875</xdr:colOff>
      <xdr:row>193</xdr:row>
      <xdr:rowOff>400050</xdr:rowOff>
    </xdr:to>
    <xdr:cxnSp macro="">
      <xdr:nvCxnSpPr>
        <xdr:cNvPr id="816" name="Straight Connector 815">
          <a:extLst>
            <a:ext uri="{FF2B5EF4-FFF2-40B4-BE49-F238E27FC236}">
              <a16:creationId xmlns:a16="http://schemas.microsoft.com/office/drawing/2014/main" id="{00000000-0008-0000-0700-000030030000}"/>
            </a:ext>
          </a:extLst>
        </xdr:cNvPr>
        <xdr:cNvCxnSpPr/>
      </xdr:nvCxnSpPr>
      <xdr:spPr>
        <a:xfrm>
          <a:off x="3476625" y="35474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193</xdr:row>
      <xdr:rowOff>127000</xdr:rowOff>
    </xdr:from>
    <xdr:to>
      <xdr:col>5</xdr:col>
      <xdr:colOff>356810</xdr:colOff>
      <xdr:row>193</xdr:row>
      <xdr:rowOff>409912</xdr:rowOff>
    </xdr:to>
    <xdr:cxnSp macro="">
      <xdr:nvCxnSpPr>
        <xdr:cNvPr id="817" name="Straight Connector 816">
          <a:extLst>
            <a:ext uri="{FF2B5EF4-FFF2-40B4-BE49-F238E27FC236}">
              <a16:creationId xmlns:a16="http://schemas.microsoft.com/office/drawing/2014/main" id="{00000000-0008-0000-0700-000031030000}"/>
            </a:ext>
          </a:extLst>
        </xdr:cNvPr>
        <xdr:cNvCxnSpPr/>
      </xdr:nvCxnSpPr>
      <xdr:spPr>
        <a:xfrm flipH="1" flipV="1">
          <a:off x="3481009" y="35422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193</xdr:row>
      <xdr:rowOff>134252</xdr:rowOff>
    </xdr:from>
    <xdr:to>
      <xdr:col>5</xdr:col>
      <xdr:colOff>1652211</xdr:colOff>
      <xdr:row>193</xdr:row>
      <xdr:rowOff>417164</xdr:rowOff>
    </xdr:to>
    <xdr:cxnSp macro="">
      <xdr:nvCxnSpPr>
        <xdr:cNvPr id="818" name="Straight Connector 817">
          <a:extLst>
            <a:ext uri="{FF2B5EF4-FFF2-40B4-BE49-F238E27FC236}">
              <a16:creationId xmlns:a16="http://schemas.microsoft.com/office/drawing/2014/main" id="{00000000-0008-0000-0700-000032030000}"/>
            </a:ext>
          </a:extLst>
        </xdr:cNvPr>
        <xdr:cNvCxnSpPr/>
      </xdr:nvCxnSpPr>
      <xdr:spPr>
        <a:xfrm flipH="1" flipV="1">
          <a:off x="3747710" y="35430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194</xdr:row>
      <xdr:rowOff>127000</xdr:rowOff>
    </xdr:from>
    <xdr:to>
      <xdr:col>5</xdr:col>
      <xdr:colOff>356235</xdr:colOff>
      <xdr:row>194</xdr:row>
      <xdr:rowOff>309880</xdr:rowOff>
    </xdr:to>
    <xdr:cxnSp macro="">
      <xdr:nvCxnSpPr>
        <xdr:cNvPr id="819" name="Straight Connector 818">
          <a:extLst>
            <a:ext uri="{FF2B5EF4-FFF2-40B4-BE49-F238E27FC236}">
              <a16:creationId xmlns:a16="http://schemas.microsoft.com/office/drawing/2014/main" id="{00000000-0008-0000-0700-000033030000}"/>
            </a:ext>
          </a:extLst>
        </xdr:cNvPr>
        <xdr:cNvCxnSpPr/>
      </xdr:nvCxnSpPr>
      <xdr:spPr>
        <a:xfrm flipH="1" flipV="1">
          <a:off x="3480435" y="35605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194</xdr:row>
      <xdr:rowOff>152400</xdr:rowOff>
    </xdr:from>
    <xdr:to>
      <xdr:col>5</xdr:col>
      <xdr:colOff>1676400</xdr:colOff>
      <xdr:row>194</xdr:row>
      <xdr:rowOff>152400</xdr:rowOff>
    </xdr:to>
    <xdr:cxnSp macro="">
      <xdr:nvCxnSpPr>
        <xdr:cNvPr id="820" name="Straight Connector 819">
          <a:extLst>
            <a:ext uri="{FF2B5EF4-FFF2-40B4-BE49-F238E27FC236}">
              <a16:creationId xmlns:a16="http://schemas.microsoft.com/office/drawing/2014/main" id="{00000000-0008-0000-0700-000034030000}"/>
            </a:ext>
          </a:extLst>
        </xdr:cNvPr>
        <xdr:cNvCxnSpPr/>
      </xdr:nvCxnSpPr>
      <xdr:spPr>
        <a:xfrm>
          <a:off x="3486150" y="35631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194</xdr:row>
      <xdr:rowOff>127000</xdr:rowOff>
    </xdr:from>
    <xdr:to>
      <xdr:col>5</xdr:col>
      <xdr:colOff>356810</xdr:colOff>
      <xdr:row>194</xdr:row>
      <xdr:rowOff>409912</xdr:rowOff>
    </xdr:to>
    <xdr:cxnSp macro="">
      <xdr:nvCxnSpPr>
        <xdr:cNvPr id="821" name="Straight Connector 820">
          <a:extLst>
            <a:ext uri="{FF2B5EF4-FFF2-40B4-BE49-F238E27FC236}">
              <a16:creationId xmlns:a16="http://schemas.microsoft.com/office/drawing/2014/main" id="{00000000-0008-0000-0700-000035030000}"/>
            </a:ext>
          </a:extLst>
        </xdr:cNvPr>
        <xdr:cNvCxnSpPr/>
      </xdr:nvCxnSpPr>
      <xdr:spPr>
        <a:xfrm flipH="1" flipV="1">
          <a:off x="3481009" y="35605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194</xdr:row>
      <xdr:rowOff>134252</xdr:rowOff>
    </xdr:from>
    <xdr:to>
      <xdr:col>5</xdr:col>
      <xdr:colOff>1652211</xdr:colOff>
      <xdr:row>194</xdr:row>
      <xdr:rowOff>417164</xdr:rowOff>
    </xdr:to>
    <xdr:cxnSp macro="">
      <xdr:nvCxnSpPr>
        <xdr:cNvPr id="822" name="Straight Connector 821">
          <a:extLst>
            <a:ext uri="{FF2B5EF4-FFF2-40B4-BE49-F238E27FC236}">
              <a16:creationId xmlns:a16="http://schemas.microsoft.com/office/drawing/2014/main" id="{00000000-0008-0000-0700-000036030000}"/>
            </a:ext>
          </a:extLst>
        </xdr:cNvPr>
        <xdr:cNvCxnSpPr/>
      </xdr:nvCxnSpPr>
      <xdr:spPr>
        <a:xfrm flipH="1" flipV="1">
          <a:off x="3747710" y="35612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195</xdr:row>
      <xdr:rowOff>123824</xdr:rowOff>
    </xdr:from>
    <xdr:to>
      <xdr:col>5</xdr:col>
      <xdr:colOff>1428750</xdr:colOff>
      <xdr:row>195</xdr:row>
      <xdr:rowOff>1219199</xdr:rowOff>
    </xdr:to>
    <xdr:sp macro="" textlink="">
      <xdr:nvSpPr>
        <xdr:cNvPr id="823" name="Rounded Rectangle 822">
          <a:extLst>
            <a:ext uri="{FF2B5EF4-FFF2-40B4-BE49-F238E27FC236}">
              <a16:creationId xmlns:a16="http://schemas.microsoft.com/office/drawing/2014/main" id="{00000000-0008-0000-0700-000037030000}"/>
            </a:ext>
          </a:extLst>
        </xdr:cNvPr>
        <xdr:cNvSpPr/>
      </xdr:nvSpPr>
      <xdr:spPr>
        <a:xfrm>
          <a:off x="3745230" y="35785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195</xdr:row>
      <xdr:rowOff>238127</xdr:rowOff>
    </xdr:from>
    <xdr:to>
      <xdr:col>5</xdr:col>
      <xdr:colOff>790575</xdr:colOff>
      <xdr:row>195</xdr:row>
      <xdr:rowOff>361950</xdr:rowOff>
    </xdr:to>
    <xdr:cxnSp macro="">
      <xdr:nvCxnSpPr>
        <xdr:cNvPr id="824" name="Straight Connector 823">
          <a:extLst>
            <a:ext uri="{FF2B5EF4-FFF2-40B4-BE49-F238E27FC236}">
              <a16:creationId xmlns:a16="http://schemas.microsoft.com/office/drawing/2014/main" id="{00000000-0008-0000-0700-000038030000}"/>
            </a:ext>
          </a:extLst>
        </xdr:cNvPr>
        <xdr:cNvCxnSpPr/>
      </xdr:nvCxnSpPr>
      <xdr:spPr>
        <a:xfrm flipH="1" flipV="1">
          <a:off x="3749041" y="35846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195</xdr:row>
      <xdr:rowOff>133352</xdr:rowOff>
    </xdr:from>
    <xdr:to>
      <xdr:col>5</xdr:col>
      <xdr:colOff>885825</xdr:colOff>
      <xdr:row>195</xdr:row>
      <xdr:rowOff>257175</xdr:rowOff>
    </xdr:to>
    <xdr:cxnSp macro="">
      <xdr:nvCxnSpPr>
        <xdr:cNvPr id="825" name="Straight Connector 824">
          <a:extLst>
            <a:ext uri="{FF2B5EF4-FFF2-40B4-BE49-F238E27FC236}">
              <a16:creationId xmlns:a16="http://schemas.microsoft.com/office/drawing/2014/main" id="{00000000-0008-0000-0700-000039030000}"/>
            </a:ext>
          </a:extLst>
        </xdr:cNvPr>
        <xdr:cNvCxnSpPr/>
      </xdr:nvCxnSpPr>
      <xdr:spPr>
        <a:xfrm flipH="1" flipV="1">
          <a:off x="3745231" y="35794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193</xdr:row>
      <xdr:rowOff>127000</xdr:rowOff>
    </xdr:from>
    <xdr:to>
      <xdr:col>5</xdr:col>
      <xdr:colOff>356235</xdr:colOff>
      <xdr:row>193</xdr:row>
      <xdr:rowOff>309880</xdr:rowOff>
    </xdr:to>
    <xdr:cxnSp macro="">
      <xdr:nvCxnSpPr>
        <xdr:cNvPr id="826" name="Straight Connector 825">
          <a:extLst>
            <a:ext uri="{FF2B5EF4-FFF2-40B4-BE49-F238E27FC236}">
              <a16:creationId xmlns:a16="http://schemas.microsoft.com/office/drawing/2014/main" id="{00000000-0008-0000-0700-00003A030000}"/>
            </a:ext>
          </a:extLst>
        </xdr:cNvPr>
        <xdr:cNvCxnSpPr/>
      </xdr:nvCxnSpPr>
      <xdr:spPr>
        <a:xfrm flipH="1" flipV="1">
          <a:off x="3480435" y="35422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193</xdr:row>
      <xdr:rowOff>400050</xdr:rowOff>
    </xdr:from>
    <xdr:to>
      <xdr:col>5</xdr:col>
      <xdr:colOff>1666875</xdr:colOff>
      <xdr:row>193</xdr:row>
      <xdr:rowOff>400050</xdr:rowOff>
    </xdr:to>
    <xdr:cxnSp macro="">
      <xdr:nvCxnSpPr>
        <xdr:cNvPr id="827" name="Straight Connector 826">
          <a:extLst>
            <a:ext uri="{FF2B5EF4-FFF2-40B4-BE49-F238E27FC236}">
              <a16:creationId xmlns:a16="http://schemas.microsoft.com/office/drawing/2014/main" id="{00000000-0008-0000-0700-00003B030000}"/>
            </a:ext>
          </a:extLst>
        </xdr:cNvPr>
        <xdr:cNvCxnSpPr/>
      </xdr:nvCxnSpPr>
      <xdr:spPr>
        <a:xfrm>
          <a:off x="3476625" y="35474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193</xdr:row>
      <xdr:rowOff>127000</xdr:rowOff>
    </xdr:from>
    <xdr:to>
      <xdr:col>5</xdr:col>
      <xdr:colOff>356810</xdr:colOff>
      <xdr:row>193</xdr:row>
      <xdr:rowOff>409912</xdr:rowOff>
    </xdr:to>
    <xdr:cxnSp macro="">
      <xdr:nvCxnSpPr>
        <xdr:cNvPr id="828" name="Straight Connector 827">
          <a:extLst>
            <a:ext uri="{FF2B5EF4-FFF2-40B4-BE49-F238E27FC236}">
              <a16:creationId xmlns:a16="http://schemas.microsoft.com/office/drawing/2014/main" id="{00000000-0008-0000-0700-00003C030000}"/>
            </a:ext>
          </a:extLst>
        </xdr:cNvPr>
        <xdr:cNvCxnSpPr/>
      </xdr:nvCxnSpPr>
      <xdr:spPr>
        <a:xfrm flipH="1" flipV="1">
          <a:off x="3481009" y="35422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193</xdr:row>
      <xdr:rowOff>134252</xdr:rowOff>
    </xdr:from>
    <xdr:to>
      <xdr:col>5</xdr:col>
      <xdr:colOff>1652211</xdr:colOff>
      <xdr:row>193</xdr:row>
      <xdr:rowOff>417164</xdr:rowOff>
    </xdr:to>
    <xdr:cxnSp macro="">
      <xdr:nvCxnSpPr>
        <xdr:cNvPr id="829" name="Straight Connector 828">
          <a:extLst>
            <a:ext uri="{FF2B5EF4-FFF2-40B4-BE49-F238E27FC236}">
              <a16:creationId xmlns:a16="http://schemas.microsoft.com/office/drawing/2014/main" id="{00000000-0008-0000-0700-00003D030000}"/>
            </a:ext>
          </a:extLst>
        </xdr:cNvPr>
        <xdr:cNvCxnSpPr/>
      </xdr:nvCxnSpPr>
      <xdr:spPr>
        <a:xfrm flipH="1" flipV="1">
          <a:off x="3747710" y="35430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194</xdr:row>
      <xdr:rowOff>127000</xdr:rowOff>
    </xdr:from>
    <xdr:to>
      <xdr:col>5</xdr:col>
      <xdr:colOff>356235</xdr:colOff>
      <xdr:row>194</xdr:row>
      <xdr:rowOff>309880</xdr:rowOff>
    </xdr:to>
    <xdr:cxnSp macro="">
      <xdr:nvCxnSpPr>
        <xdr:cNvPr id="830" name="Straight Connector 829">
          <a:extLst>
            <a:ext uri="{FF2B5EF4-FFF2-40B4-BE49-F238E27FC236}">
              <a16:creationId xmlns:a16="http://schemas.microsoft.com/office/drawing/2014/main" id="{00000000-0008-0000-0700-00003E030000}"/>
            </a:ext>
          </a:extLst>
        </xdr:cNvPr>
        <xdr:cNvCxnSpPr/>
      </xdr:nvCxnSpPr>
      <xdr:spPr>
        <a:xfrm flipH="1" flipV="1">
          <a:off x="3480435" y="35605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194</xdr:row>
      <xdr:rowOff>152400</xdr:rowOff>
    </xdr:from>
    <xdr:to>
      <xdr:col>5</xdr:col>
      <xdr:colOff>1676400</xdr:colOff>
      <xdr:row>194</xdr:row>
      <xdr:rowOff>152400</xdr:rowOff>
    </xdr:to>
    <xdr:cxnSp macro="">
      <xdr:nvCxnSpPr>
        <xdr:cNvPr id="831" name="Straight Connector 830">
          <a:extLst>
            <a:ext uri="{FF2B5EF4-FFF2-40B4-BE49-F238E27FC236}">
              <a16:creationId xmlns:a16="http://schemas.microsoft.com/office/drawing/2014/main" id="{00000000-0008-0000-0700-00003F030000}"/>
            </a:ext>
          </a:extLst>
        </xdr:cNvPr>
        <xdr:cNvCxnSpPr/>
      </xdr:nvCxnSpPr>
      <xdr:spPr>
        <a:xfrm>
          <a:off x="3486150" y="35631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194</xdr:row>
      <xdr:rowOff>127000</xdr:rowOff>
    </xdr:from>
    <xdr:to>
      <xdr:col>5</xdr:col>
      <xdr:colOff>356810</xdr:colOff>
      <xdr:row>194</xdr:row>
      <xdr:rowOff>409912</xdr:rowOff>
    </xdr:to>
    <xdr:cxnSp macro="">
      <xdr:nvCxnSpPr>
        <xdr:cNvPr id="832" name="Straight Connector 831">
          <a:extLst>
            <a:ext uri="{FF2B5EF4-FFF2-40B4-BE49-F238E27FC236}">
              <a16:creationId xmlns:a16="http://schemas.microsoft.com/office/drawing/2014/main" id="{00000000-0008-0000-0700-000040030000}"/>
            </a:ext>
          </a:extLst>
        </xdr:cNvPr>
        <xdr:cNvCxnSpPr/>
      </xdr:nvCxnSpPr>
      <xdr:spPr>
        <a:xfrm flipH="1" flipV="1">
          <a:off x="3481009" y="35605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194</xdr:row>
      <xdr:rowOff>134252</xdr:rowOff>
    </xdr:from>
    <xdr:to>
      <xdr:col>5</xdr:col>
      <xdr:colOff>1652211</xdr:colOff>
      <xdr:row>194</xdr:row>
      <xdr:rowOff>417164</xdr:rowOff>
    </xdr:to>
    <xdr:cxnSp macro="">
      <xdr:nvCxnSpPr>
        <xdr:cNvPr id="833" name="Straight Connector 832">
          <a:extLst>
            <a:ext uri="{FF2B5EF4-FFF2-40B4-BE49-F238E27FC236}">
              <a16:creationId xmlns:a16="http://schemas.microsoft.com/office/drawing/2014/main" id="{00000000-0008-0000-0700-000041030000}"/>
            </a:ext>
          </a:extLst>
        </xdr:cNvPr>
        <xdr:cNvCxnSpPr/>
      </xdr:nvCxnSpPr>
      <xdr:spPr>
        <a:xfrm flipH="1" flipV="1">
          <a:off x="3747710" y="35612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195</xdr:row>
      <xdr:rowOff>123824</xdr:rowOff>
    </xdr:from>
    <xdr:to>
      <xdr:col>5</xdr:col>
      <xdr:colOff>1428750</xdr:colOff>
      <xdr:row>195</xdr:row>
      <xdr:rowOff>1219199</xdr:rowOff>
    </xdr:to>
    <xdr:sp macro="" textlink="">
      <xdr:nvSpPr>
        <xdr:cNvPr id="834" name="Rounded Rectangle 833">
          <a:extLst>
            <a:ext uri="{FF2B5EF4-FFF2-40B4-BE49-F238E27FC236}">
              <a16:creationId xmlns:a16="http://schemas.microsoft.com/office/drawing/2014/main" id="{00000000-0008-0000-0700-000042030000}"/>
            </a:ext>
          </a:extLst>
        </xdr:cNvPr>
        <xdr:cNvSpPr/>
      </xdr:nvSpPr>
      <xdr:spPr>
        <a:xfrm>
          <a:off x="3745230" y="35785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195</xdr:row>
      <xdr:rowOff>238127</xdr:rowOff>
    </xdr:from>
    <xdr:to>
      <xdr:col>5</xdr:col>
      <xdr:colOff>790575</xdr:colOff>
      <xdr:row>195</xdr:row>
      <xdr:rowOff>361950</xdr:rowOff>
    </xdr:to>
    <xdr:cxnSp macro="">
      <xdr:nvCxnSpPr>
        <xdr:cNvPr id="835" name="Straight Connector 834">
          <a:extLst>
            <a:ext uri="{FF2B5EF4-FFF2-40B4-BE49-F238E27FC236}">
              <a16:creationId xmlns:a16="http://schemas.microsoft.com/office/drawing/2014/main" id="{00000000-0008-0000-0700-000043030000}"/>
            </a:ext>
          </a:extLst>
        </xdr:cNvPr>
        <xdr:cNvCxnSpPr/>
      </xdr:nvCxnSpPr>
      <xdr:spPr>
        <a:xfrm flipH="1" flipV="1">
          <a:off x="3749041" y="35846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195</xdr:row>
      <xdr:rowOff>133352</xdr:rowOff>
    </xdr:from>
    <xdr:to>
      <xdr:col>5</xdr:col>
      <xdr:colOff>885825</xdr:colOff>
      <xdr:row>195</xdr:row>
      <xdr:rowOff>257175</xdr:rowOff>
    </xdr:to>
    <xdr:cxnSp macro="">
      <xdr:nvCxnSpPr>
        <xdr:cNvPr id="836" name="Straight Connector 835">
          <a:extLst>
            <a:ext uri="{FF2B5EF4-FFF2-40B4-BE49-F238E27FC236}">
              <a16:creationId xmlns:a16="http://schemas.microsoft.com/office/drawing/2014/main" id="{00000000-0008-0000-0700-000044030000}"/>
            </a:ext>
          </a:extLst>
        </xdr:cNvPr>
        <xdr:cNvCxnSpPr/>
      </xdr:nvCxnSpPr>
      <xdr:spPr>
        <a:xfrm flipH="1" flipV="1">
          <a:off x="3745231" y="35794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193</xdr:row>
      <xdr:rowOff>127000</xdr:rowOff>
    </xdr:from>
    <xdr:to>
      <xdr:col>5</xdr:col>
      <xdr:colOff>356235</xdr:colOff>
      <xdr:row>193</xdr:row>
      <xdr:rowOff>309880</xdr:rowOff>
    </xdr:to>
    <xdr:cxnSp macro="">
      <xdr:nvCxnSpPr>
        <xdr:cNvPr id="837" name="Straight Connector 836">
          <a:extLst>
            <a:ext uri="{FF2B5EF4-FFF2-40B4-BE49-F238E27FC236}">
              <a16:creationId xmlns:a16="http://schemas.microsoft.com/office/drawing/2014/main" id="{00000000-0008-0000-0700-000045030000}"/>
            </a:ext>
          </a:extLst>
        </xdr:cNvPr>
        <xdr:cNvCxnSpPr/>
      </xdr:nvCxnSpPr>
      <xdr:spPr>
        <a:xfrm flipH="1" flipV="1">
          <a:off x="3480435" y="35422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193</xdr:row>
      <xdr:rowOff>400050</xdr:rowOff>
    </xdr:from>
    <xdr:to>
      <xdr:col>5</xdr:col>
      <xdr:colOff>1666875</xdr:colOff>
      <xdr:row>193</xdr:row>
      <xdr:rowOff>400050</xdr:rowOff>
    </xdr:to>
    <xdr:cxnSp macro="">
      <xdr:nvCxnSpPr>
        <xdr:cNvPr id="838" name="Straight Connector 837">
          <a:extLst>
            <a:ext uri="{FF2B5EF4-FFF2-40B4-BE49-F238E27FC236}">
              <a16:creationId xmlns:a16="http://schemas.microsoft.com/office/drawing/2014/main" id="{00000000-0008-0000-0700-000046030000}"/>
            </a:ext>
          </a:extLst>
        </xdr:cNvPr>
        <xdr:cNvCxnSpPr/>
      </xdr:nvCxnSpPr>
      <xdr:spPr>
        <a:xfrm>
          <a:off x="3476625" y="35474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193</xdr:row>
      <xdr:rowOff>127000</xdr:rowOff>
    </xdr:from>
    <xdr:to>
      <xdr:col>5</xdr:col>
      <xdr:colOff>356810</xdr:colOff>
      <xdr:row>193</xdr:row>
      <xdr:rowOff>409912</xdr:rowOff>
    </xdr:to>
    <xdr:cxnSp macro="">
      <xdr:nvCxnSpPr>
        <xdr:cNvPr id="839" name="Straight Connector 838">
          <a:extLst>
            <a:ext uri="{FF2B5EF4-FFF2-40B4-BE49-F238E27FC236}">
              <a16:creationId xmlns:a16="http://schemas.microsoft.com/office/drawing/2014/main" id="{00000000-0008-0000-0700-000047030000}"/>
            </a:ext>
          </a:extLst>
        </xdr:cNvPr>
        <xdr:cNvCxnSpPr/>
      </xdr:nvCxnSpPr>
      <xdr:spPr>
        <a:xfrm flipH="1" flipV="1">
          <a:off x="3481009" y="35422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193</xdr:row>
      <xdr:rowOff>134252</xdr:rowOff>
    </xdr:from>
    <xdr:to>
      <xdr:col>5</xdr:col>
      <xdr:colOff>1652211</xdr:colOff>
      <xdr:row>193</xdr:row>
      <xdr:rowOff>417164</xdr:rowOff>
    </xdr:to>
    <xdr:cxnSp macro="">
      <xdr:nvCxnSpPr>
        <xdr:cNvPr id="840" name="Straight Connector 839">
          <a:extLst>
            <a:ext uri="{FF2B5EF4-FFF2-40B4-BE49-F238E27FC236}">
              <a16:creationId xmlns:a16="http://schemas.microsoft.com/office/drawing/2014/main" id="{00000000-0008-0000-0700-000048030000}"/>
            </a:ext>
          </a:extLst>
        </xdr:cNvPr>
        <xdr:cNvCxnSpPr/>
      </xdr:nvCxnSpPr>
      <xdr:spPr>
        <a:xfrm flipH="1" flipV="1">
          <a:off x="3747710" y="35430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194</xdr:row>
      <xdr:rowOff>127000</xdr:rowOff>
    </xdr:from>
    <xdr:to>
      <xdr:col>5</xdr:col>
      <xdr:colOff>356235</xdr:colOff>
      <xdr:row>194</xdr:row>
      <xdr:rowOff>309880</xdr:rowOff>
    </xdr:to>
    <xdr:cxnSp macro="">
      <xdr:nvCxnSpPr>
        <xdr:cNvPr id="841" name="Straight Connector 840">
          <a:extLst>
            <a:ext uri="{FF2B5EF4-FFF2-40B4-BE49-F238E27FC236}">
              <a16:creationId xmlns:a16="http://schemas.microsoft.com/office/drawing/2014/main" id="{00000000-0008-0000-0700-000049030000}"/>
            </a:ext>
          </a:extLst>
        </xdr:cNvPr>
        <xdr:cNvCxnSpPr/>
      </xdr:nvCxnSpPr>
      <xdr:spPr>
        <a:xfrm flipH="1" flipV="1">
          <a:off x="3480435" y="35605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194</xdr:row>
      <xdr:rowOff>152400</xdr:rowOff>
    </xdr:from>
    <xdr:to>
      <xdr:col>5</xdr:col>
      <xdr:colOff>1676400</xdr:colOff>
      <xdr:row>194</xdr:row>
      <xdr:rowOff>152400</xdr:rowOff>
    </xdr:to>
    <xdr:cxnSp macro="">
      <xdr:nvCxnSpPr>
        <xdr:cNvPr id="842" name="Straight Connector 841">
          <a:extLst>
            <a:ext uri="{FF2B5EF4-FFF2-40B4-BE49-F238E27FC236}">
              <a16:creationId xmlns:a16="http://schemas.microsoft.com/office/drawing/2014/main" id="{00000000-0008-0000-0700-00004A030000}"/>
            </a:ext>
          </a:extLst>
        </xdr:cNvPr>
        <xdr:cNvCxnSpPr/>
      </xdr:nvCxnSpPr>
      <xdr:spPr>
        <a:xfrm>
          <a:off x="3486150" y="35631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194</xdr:row>
      <xdr:rowOff>127000</xdr:rowOff>
    </xdr:from>
    <xdr:to>
      <xdr:col>5</xdr:col>
      <xdr:colOff>356810</xdr:colOff>
      <xdr:row>194</xdr:row>
      <xdr:rowOff>409912</xdr:rowOff>
    </xdr:to>
    <xdr:cxnSp macro="">
      <xdr:nvCxnSpPr>
        <xdr:cNvPr id="843" name="Straight Connector 842">
          <a:extLst>
            <a:ext uri="{FF2B5EF4-FFF2-40B4-BE49-F238E27FC236}">
              <a16:creationId xmlns:a16="http://schemas.microsoft.com/office/drawing/2014/main" id="{00000000-0008-0000-0700-00004B030000}"/>
            </a:ext>
          </a:extLst>
        </xdr:cNvPr>
        <xdr:cNvCxnSpPr/>
      </xdr:nvCxnSpPr>
      <xdr:spPr>
        <a:xfrm flipH="1" flipV="1">
          <a:off x="3481009" y="35605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194</xdr:row>
      <xdr:rowOff>134252</xdr:rowOff>
    </xdr:from>
    <xdr:to>
      <xdr:col>5</xdr:col>
      <xdr:colOff>1652211</xdr:colOff>
      <xdr:row>194</xdr:row>
      <xdr:rowOff>417164</xdr:rowOff>
    </xdr:to>
    <xdr:cxnSp macro="">
      <xdr:nvCxnSpPr>
        <xdr:cNvPr id="844" name="Straight Connector 843">
          <a:extLst>
            <a:ext uri="{FF2B5EF4-FFF2-40B4-BE49-F238E27FC236}">
              <a16:creationId xmlns:a16="http://schemas.microsoft.com/office/drawing/2014/main" id="{00000000-0008-0000-0700-00004C030000}"/>
            </a:ext>
          </a:extLst>
        </xdr:cNvPr>
        <xdr:cNvCxnSpPr/>
      </xdr:nvCxnSpPr>
      <xdr:spPr>
        <a:xfrm flipH="1" flipV="1">
          <a:off x="3747710" y="356129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195</xdr:row>
      <xdr:rowOff>123824</xdr:rowOff>
    </xdr:from>
    <xdr:to>
      <xdr:col>5</xdr:col>
      <xdr:colOff>1428750</xdr:colOff>
      <xdr:row>195</xdr:row>
      <xdr:rowOff>1219199</xdr:rowOff>
    </xdr:to>
    <xdr:sp macro="" textlink="">
      <xdr:nvSpPr>
        <xdr:cNvPr id="845" name="Rounded Rectangle 844">
          <a:extLst>
            <a:ext uri="{FF2B5EF4-FFF2-40B4-BE49-F238E27FC236}">
              <a16:creationId xmlns:a16="http://schemas.microsoft.com/office/drawing/2014/main" id="{00000000-0008-0000-0700-00004D030000}"/>
            </a:ext>
          </a:extLst>
        </xdr:cNvPr>
        <xdr:cNvSpPr/>
      </xdr:nvSpPr>
      <xdr:spPr>
        <a:xfrm>
          <a:off x="3745230" y="35785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195</xdr:row>
      <xdr:rowOff>238127</xdr:rowOff>
    </xdr:from>
    <xdr:to>
      <xdr:col>5</xdr:col>
      <xdr:colOff>790575</xdr:colOff>
      <xdr:row>195</xdr:row>
      <xdr:rowOff>361950</xdr:rowOff>
    </xdr:to>
    <xdr:cxnSp macro="">
      <xdr:nvCxnSpPr>
        <xdr:cNvPr id="846" name="Straight Connector 845">
          <a:extLst>
            <a:ext uri="{FF2B5EF4-FFF2-40B4-BE49-F238E27FC236}">
              <a16:creationId xmlns:a16="http://schemas.microsoft.com/office/drawing/2014/main" id="{00000000-0008-0000-0700-00004E030000}"/>
            </a:ext>
          </a:extLst>
        </xdr:cNvPr>
        <xdr:cNvCxnSpPr/>
      </xdr:nvCxnSpPr>
      <xdr:spPr>
        <a:xfrm flipH="1" flipV="1">
          <a:off x="3749041" y="35846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195</xdr:row>
      <xdr:rowOff>133352</xdr:rowOff>
    </xdr:from>
    <xdr:to>
      <xdr:col>5</xdr:col>
      <xdr:colOff>885825</xdr:colOff>
      <xdr:row>195</xdr:row>
      <xdr:rowOff>257175</xdr:rowOff>
    </xdr:to>
    <xdr:cxnSp macro="">
      <xdr:nvCxnSpPr>
        <xdr:cNvPr id="847" name="Straight Connector 846">
          <a:extLst>
            <a:ext uri="{FF2B5EF4-FFF2-40B4-BE49-F238E27FC236}">
              <a16:creationId xmlns:a16="http://schemas.microsoft.com/office/drawing/2014/main" id="{00000000-0008-0000-0700-00004F030000}"/>
            </a:ext>
          </a:extLst>
        </xdr:cNvPr>
        <xdr:cNvCxnSpPr/>
      </xdr:nvCxnSpPr>
      <xdr:spPr>
        <a:xfrm flipH="1" flipV="1">
          <a:off x="3745231" y="35794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193</xdr:row>
      <xdr:rowOff>127000</xdr:rowOff>
    </xdr:from>
    <xdr:to>
      <xdr:col>5</xdr:col>
      <xdr:colOff>356235</xdr:colOff>
      <xdr:row>193</xdr:row>
      <xdr:rowOff>309880</xdr:rowOff>
    </xdr:to>
    <xdr:cxnSp macro="">
      <xdr:nvCxnSpPr>
        <xdr:cNvPr id="848" name="Straight Connector 847">
          <a:extLst>
            <a:ext uri="{FF2B5EF4-FFF2-40B4-BE49-F238E27FC236}">
              <a16:creationId xmlns:a16="http://schemas.microsoft.com/office/drawing/2014/main" id="{00000000-0008-0000-0700-000050030000}"/>
            </a:ext>
          </a:extLst>
        </xdr:cNvPr>
        <xdr:cNvCxnSpPr/>
      </xdr:nvCxnSpPr>
      <xdr:spPr>
        <a:xfrm flipH="1" flipV="1">
          <a:off x="3480435" y="354228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193</xdr:row>
      <xdr:rowOff>400050</xdr:rowOff>
    </xdr:from>
    <xdr:to>
      <xdr:col>5</xdr:col>
      <xdr:colOff>1666875</xdr:colOff>
      <xdr:row>193</xdr:row>
      <xdr:rowOff>400050</xdr:rowOff>
    </xdr:to>
    <xdr:cxnSp macro="">
      <xdr:nvCxnSpPr>
        <xdr:cNvPr id="849" name="Straight Connector 848">
          <a:extLst>
            <a:ext uri="{FF2B5EF4-FFF2-40B4-BE49-F238E27FC236}">
              <a16:creationId xmlns:a16="http://schemas.microsoft.com/office/drawing/2014/main" id="{00000000-0008-0000-0700-000051030000}"/>
            </a:ext>
          </a:extLst>
        </xdr:cNvPr>
        <xdr:cNvCxnSpPr/>
      </xdr:nvCxnSpPr>
      <xdr:spPr>
        <a:xfrm>
          <a:off x="3476625" y="354749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193</xdr:row>
      <xdr:rowOff>127000</xdr:rowOff>
    </xdr:from>
    <xdr:to>
      <xdr:col>5</xdr:col>
      <xdr:colOff>356810</xdr:colOff>
      <xdr:row>193</xdr:row>
      <xdr:rowOff>409912</xdr:rowOff>
    </xdr:to>
    <xdr:cxnSp macro="">
      <xdr:nvCxnSpPr>
        <xdr:cNvPr id="850" name="Straight Connector 849">
          <a:extLst>
            <a:ext uri="{FF2B5EF4-FFF2-40B4-BE49-F238E27FC236}">
              <a16:creationId xmlns:a16="http://schemas.microsoft.com/office/drawing/2014/main" id="{00000000-0008-0000-0700-000052030000}"/>
            </a:ext>
          </a:extLst>
        </xdr:cNvPr>
        <xdr:cNvCxnSpPr/>
      </xdr:nvCxnSpPr>
      <xdr:spPr>
        <a:xfrm flipH="1" flipV="1">
          <a:off x="3481009" y="354228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193</xdr:row>
      <xdr:rowOff>134252</xdr:rowOff>
    </xdr:from>
    <xdr:to>
      <xdr:col>5</xdr:col>
      <xdr:colOff>1652211</xdr:colOff>
      <xdr:row>193</xdr:row>
      <xdr:rowOff>417164</xdr:rowOff>
    </xdr:to>
    <xdr:cxnSp macro="">
      <xdr:nvCxnSpPr>
        <xdr:cNvPr id="851" name="Straight Connector 850">
          <a:extLst>
            <a:ext uri="{FF2B5EF4-FFF2-40B4-BE49-F238E27FC236}">
              <a16:creationId xmlns:a16="http://schemas.microsoft.com/office/drawing/2014/main" id="{00000000-0008-0000-0700-000053030000}"/>
            </a:ext>
          </a:extLst>
        </xdr:cNvPr>
        <xdr:cNvCxnSpPr/>
      </xdr:nvCxnSpPr>
      <xdr:spPr>
        <a:xfrm flipH="1" flipV="1">
          <a:off x="3747710" y="354300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194</xdr:row>
      <xdr:rowOff>127000</xdr:rowOff>
    </xdr:from>
    <xdr:to>
      <xdr:col>5</xdr:col>
      <xdr:colOff>356235</xdr:colOff>
      <xdr:row>194</xdr:row>
      <xdr:rowOff>309880</xdr:rowOff>
    </xdr:to>
    <xdr:cxnSp macro="">
      <xdr:nvCxnSpPr>
        <xdr:cNvPr id="852" name="Straight Connector 851">
          <a:extLst>
            <a:ext uri="{FF2B5EF4-FFF2-40B4-BE49-F238E27FC236}">
              <a16:creationId xmlns:a16="http://schemas.microsoft.com/office/drawing/2014/main" id="{00000000-0008-0000-0700-000054030000}"/>
            </a:ext>
          </a:extLst>
        </xdr:cNvPr>
        <xdr:cNvCxnSpPr/>
      </xdr:nvCxnSpPr>
      <xdr:spPr>
        <a:xfrm flipH="1" flipV="1">
          <a:off x="3480435" y="35605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194</xdr:row>
      <xdr:rowOff>152400</xdr:rowOff>
    </xdr:from>
    <xdr:to>
      <xdr:col>5</xdr:col>
      <xdr:colOff>1676400</xdr:colOff>
      <xdr:row>194</xdr:row>
      <xdr:rowOff>152400</xdr:rowOff>
    </xdr:to>
    <xdr:cxnSp macro="">
      <xdr:nvCxnSpPr>
        <xdr:cNvPr id="853" name="Straight Connector 852">
          <a:extLst>
            <a:ext uri="{FF2B5EF4-FFF2-40B4-BE49-F238E27FC236}">
              <a16:creationId xmlns:a16="http://schemas.microsoft.com/office/drawing/2014/main" id="{00000000-0008-0000-0700-000055030000}"/>
            </a:ext>
          </a:extLst>
        </xdr:cNvPr>
        <xdr:cNvCxnSpPr/>
      </xdr:nvCxnSpPr>
      <xdr:spPr>
        <a:xfrm>
          <a:off x="3486150" y="356311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194</xdr:row>
      <xdr:rowOff>127000</xdr:rowOff>
    </xdr:from>
    <xdr:to>
      <xdr:col>5</xdr:col>
      <xdr:colOff>356810</xdr:colOff>
      <xdr:row>194</xdr:row>
      <xdr:rowOff>409912</xdr:rowOff>
    </xdr:to>
    <xdr:cxnSp macro="">
      <xdr:nvCxnSpPr>
        <xdr:cNvPr id="854" name="Straight Connector 853">
          <a:extLst>
            <a:ext uri="{FF2B5EF4-FFF2-40B4-BE49-F238E27FC236}">
              <a16:creationId xmlns:a16="http://schemas.microsoft.com/office/drawing/2014/main" id="{00000000-0008-0000-0700-000056030000}"/>
            </a:ext>
          </a:extLst>
        </xdr:cNvPr>
        <xdr:cNvCxnSpPr/>
      </xdr:nvCxnSpPr>
      <xdr:spPr>
        <a:xfrm flipH="1" flipV="1">
          <a:off x="3481009" y="35605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195</xdr:row>
      <xdr:rowOff>123824</xdr:rowOff>
    </xdr:from>
    <xdr:to>
      <xdr:col>5</xdr:col>
      <xdr:colOff>1428750</xdr:colOff>
      <xdr:row>195</xdr:row>
      <xdr:rowOff>1219199</xdr:rowOff>
    </xdr:to>
    <xdr:sp macro="" textlink="">
      <xdr:nvSpPr>
        <xdr:cNvPr id="855" name="Rounded Rectangle 854">
          <a:extLst>
            <a:ext uri="{FF2B5EF4-FFF2-40B4-BE49-F238E27FC236}">
              <a16:creationId xmlns:a16="http://schemas.microsoft.com/office/drawing/2014/main" id="{00000000-0008-0000-0700-000057030000}"/>
            </a:ext>
          </a:extLst>
        </xdr:cNvPr>
        <xdr:cNvSpPr/>
      </xdr:nvSpPr>
      <xdr:spPr>
        <a:xfrm>
          <a:off x="3745230" y="357854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195</xdr:row>
      <xdr:rowOff>238127</xdr:rowOff>
    </xdr:from>
    <xdr:to>
      <xdr:col>5</xdr:col>
      <xdr:colOff>790575</xdr:colOff>
      <xdr:row>195</xdr:row>
      <xdr:rowOff>361950</xdr:rowOff>
    </xdr:to>
    <xdr:cxnSp macro="">
      <xdr:nvCxnSpPr>
        <xdr:cNvPr id="856" name="Straight Connector 855">
          <a:extLst>
            <a:ext uri="{FF2B5EF4-FFF2-40B4-BE49-F238E27FC236}">
              <a16:creationId xmlns:a16="http://schemas.microsoft.com/office/drawing/2014/main" id="{00000000-0008-0000-0700-000058030000}"/>
            </a:ext>
          </a:extLst>
        </xdr:cNvPr>
        <xdr:cNvCxnSpPr/>
      </xdr:nvCxnSpPr>
      <xdr:spPr>
        <a:xfrm flipH="1" flipV="1">
          <a:off x="3749041" y="358463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195</xdr:row>
      <xdr:rowOff>133352</xdr:rowOff>
    </xdr:from>
    <xdr:to>
      <xdr:col>5</xdr:col>
      <xdr:colOff>885825</xdr:colOff>
      <xdr:row>195</xdr:row>
      <xdr:rowOff>257175</xdr:rowOff>
    </xdr:to>
    <xdr:cxnSp macro="">
      <xdr:nvCxnSpPr>
        <xdr:cNvPr id="857" name="Straight Connector 856">
          <a:extLst>
            <a:ext uri="{FF2B5EF4-FFF2-40B4-BE49-F238E27FC236}">
              <a16:creationId xmlns:a16="http://schemas.microsoft.com/office/drawing/2014/main" id="{00000000-0008-0000-0700-000059030000}"/>
            </a:ext>
          </a:extLst>
        </xdr:cNvPr>
        <xdr:cNvCxnSpPr/>
      </xdr:nvCxnSpPr>
      <xdr:spPr>
        <a:xfrm flipH="1" flipV="1">
          <a:off x="3745231" y="357949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200</xdr:row>
      <xdr:rowOff>127000</xdr:rowOff>
    </xdr:from>
    <xdr:to>
      <xdr:col>5</xdr:col>
      <xdr:colOff>356235</xdr:colOff>
      <xdr:row>200</xdr:row>
      <xdr:rowOff>309880</xdr:rowOff>
    </xdr:to>
    <xdr:cxnSp macro="">
      <xdr:nvCxnSpPr>
        <xdr:cNvPr id="858" name="Straight Connector 857">
          <a:extLst>
            <a:ext uri="{FF2B5EF4-FFF2-40B4-BE49-F238E27FC236}">
              <a16:creationId xmlns:a16="http://schemas.microsoft.com/office/drawing/2014/main" id="{00000000-0008-0000-0700-00005A030000}"/>
            </a:ext>
          </a:extLst>
        </xdr:cNvPr>
        <xdr:cNvCxnSpPr/>
      </xdr:nvCxnSpPr>
      <xdr:spPr>
        <a:xfrm flipH="1" flipV="1">
          <a:off x="3480435" y="3670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200</xdr:row>
      <xdr:rowOff>400050</xdr:rowOff>
    </xdr:from>
    <xdr:to>
      <xdr:col>5</xdr:col>
      <xdr:colOff>1666875</xdr:colOff>
      <xdr:row>200</xdr:row>
      <xdr:rowOff>400050</xdr:rowOff>
    </xdr:to>
    <xdr:cxnSp macro="">
      <xdr:nvCxnSpPr>
        <xdr:cNvPr id="859" name="Straight Connector 858">
          <a:extLst>
            <a:ext uri="{FF2B5EF4-FFF2-40B4-BE49-F238E27FC236}">
              <a16:creationId xmlns:a16="http://schemas.microsoft.com/office/drawing/2014/main" id="{00000000-0008-0000-0700-00005B030000}"/>
            </a:ext>
          </a:extLst>
        </xdr:cNvPr>
        <xdr:cNvCxnSpPr/>
      </xdr:nvCxnSpPr>
      <xdr:spPr>
        <a:xfrm>
          <a:off x="3476625" y="36755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200</xdr:row>
      <xdr:rowOff>127000</xdr:rowOff>
    </xdr:from>
    <xdr:to>
      <xdr:col>5</xdr:col>
      <xdr:colOff>356810</xdr:colOff>
      <xdr:row>200</xdr:row>
      <xdr:rowOff>409912</xdr:rowOff>
    </xdr:to>
    <xdr:cxnSp macro="">
      <xdr:nvCxnSpPr>
        <xdr:cNvPr id="860" name="Straight Connector 859">
          <a:extLst>
            <a:ext uri="{FF2B5EF4-FFF2-40B4-BE49-F238E27FC236}">
              <a16:creationId xmlns:a16="http://schemas.microsoft.com/office/drawing/2014/main" id="{00000000-0008-0000-0700-00005C030000}"/>
            </a:ext>
          </a:extLst>
        </xdr:cNvPr>
        <xdr:cNvCxnSpPr/>
      </xdr:nvCxnSpPr>
      <xdr:spPr>
        <a:xfrm flipH="1" flipV="1">
          <a:off x="3481009" y="3670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200</xdr:row>
      <xdr:rowOff>134252</xdr:rowOff>
    </xdr:from>
    <xdr:to>
      <xdr:col>5</xdr:col>
      <xdr:colOff>1652211</xdr:colOff>
      <xdr:row>200</xdr:row>
      <xdr:rowOff>417164</xdr:rowOff>
    </xdr:to>
    <xdr:cxnSp macro="">
      <xdr:nvCxnSpPr>
        <xdr:cNvPr id="861" name="Straight Connector 860">
          <a:extLst>
            <a:ext uri="{FF2B5EF4-FFF2-40B4-BE49-F238E27FC236}">
              <a16:creationId xmlns:a16="http://schemas.microsoft.com/office/drawing/2014/main" id="{00000000-0008-0000-0700-00005D030000}"/>
            </a:ext>
          </a:extLst>
        </xdr:cNvPr>
        <xdr:cNvCxnSpPr/>
      </xdr:nvCxnSpPr>
      <xdr:spPr>
        <a:xfrm flipH="1" flipV="1">
          <a:off x="3747710" y="3671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201</xdr:row>
      <xdr:rowOff>127000</xdr:rowOff>
    </xdr:from>
    <xdr:to>
      <xdr:col>5</xdr:col>
      <xdr:colOff>356235</xdr:colOff>
      <xdr:row>201</xdr:row>
      <xdr:rowOff>309880</xdr:rowOff>
    </xdr:to>
    <xdr:cxnSp macro="">
      <xdr:nvCxnSpPr>
        <xdr:cNvPr id="862" name="Straight Connector 861">
          <a:extLst>
            <a:ext uri="{FF2B5EF4-FFF2-40B4-BE49-F238E27FC236}">
              <a16:creationId xmlns:a16="http://schemas.microsoft.com/office/drawing/2014/main" id="{00000000-0008-0000-0700-00005E030000}"/>
            </a:ext>
          </a:extLst>
        </xdr:cNvPr>
        <xdr:cNvCxnSpPr/>
      </xdr:nvCxnSpPr>
      <xdr:spPr>
        <a:xfrm flipH="1" flipV="1">
          <a:off x="3480435" y="368858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201</xdr:row>
      <xdr:rowOff>152400</xdr:rowOff>
    </xdr:from>
    <xdr:to>
      <xdr:col>5</xdr:col>
      <xdr:colOff>1676400</xdr:colOff>
      <xdr:row>201</xdr:row>
      <xdr:rowOff>152400</xdr:rowOff>
    </xdr:to>
    <xdr:cxnSp macro="">
      <xdr:nvCxnSpPr>
        <xdr:cNvPr id="863" name="Straight Connector 862">
          <a:extLst>
            <a:ext uri="{FF2B5EF4-FFF2-40B4-BE49-F238E27FC236}">
              <a16:creationId xmlns:a16="http://schemas.microsoft.com/office/drawing/2014/main" id="{00000000-0008-0000-0700-00005F030000}"/>
            </a:ext>
          </a:extLst>
        </xdr:cNvPr>
        <xdr:cNvCxnSpPr/>
      </xdr:nvCxnSpPr>
      <xdr:spPr>
        <a:xfrm>
          <a:off x="3486150" y="369112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201</xdr:row>
      <xdr:rowOff>127000</xdr:rowOff>
    </xdr:from>
    <xdr:to>
      <xdr:col>5</xdr:col>
      <xdr:colOff>356810</xdr:colOff>
      <xdr:row>201</xdr:row>
      <xdr:rowOff>409912</xdr:rowOff>
    </xdr:to>
    <xdr:cxnSp macro="">
      <xdr:nvCxnSpPr>
        <xdr:cNvPr id="864" name="Straight Connector 863">
          <a:extLst>
            <a:ext uri="{FF2B5EF4-FFF2-40B4-BE49-F238E27FC236}">
              <a16:creationId xmlns:a16="http://schemas.microsoft.com/office/drawing/2014/main" id="{00000000-0008-0000-0700-000060030000}"/>
            </a:ext>
          </a:extLst>
        </xdr:cNvPr>
        <xdr:cNvCxnSpPr/>
      </xdr:nvCxnSpPr>
      <xdr:spPr>
        <a:xfrm flipH="1" flipV="1">
          <a:off x="3481009" y="368858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201</xdr:row>
      <xdr:rowOff>134252</xdr:rowOff>
    </xdr:from>
    <xdr:to>
      <xdr:col>5</xdr:col>
      <xdr:colOff>1652211</xdr:colOff>
      <xdr:row>201</xdr:row>
      <xdr:rowOff>417164</xdr:rowOff>
    </xdr:to>
    <xdr:cxnSp macro="">
      <xdr:nvCxnSpPr>
        <xdr:cNvPr id="865" name="Straight Connector 864">
          <a:extLst>
            <a:ext uri="{FF2B5EF4-FFF2-40B4-BE49-F238E27FC236}">
              <a16:creationId xmlns:a16="http://schemas.microsoft.com/office/drawing/2014/main" id="{00000000-0008-0000-0700-000061030000}"/>
            </a:ext>
          </a:extLst>
        </xdr:cNvPr>
        <xdr:cNvCxnSpPr/>
      </xdr:nvCxnSpPr>
      <xdr:spPr>
        <a:xfrm flipH="1" flipV="1">
          <a:off x="3747710" y="368931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202</xdr:row>
      <xdr:rowOff>123824</xdr:rowOff>
    </xdr:from>
    <xdr:to>
      <xdr:col>5</xdr:col>
      <xdr:colOff>1428750</xdr:colOff>
      <xdr:row>202</xdr:row>
      <xdr:rowOff>1219199</xdr:rowOff>
    </xdr:to>
    <xdr:sp macro="" textlink="">
      <xdr:nvSpPr>
        <xdr:cNvPr id="866" name="Rounded Rectangle 865">
          <a:extLst>
            <a:ext uri="{FF2B5EF4-FFF2-40B4-BE49-F238E27FC236}">
              <a16:creationId xmlns:a16="http://schemas.microsoft.com/office/drawing/2014/main" id="{00000000-0008-0000-0700-000062030000}"/>
            </a:ext>
          </a:extLst>
        </xdr:cNvPr>
        <xdr:cNvSpPr/>
      </xdr:nvSpPr>
      <xdr:spPr>
        <a:xfrm>
          <a:off x="3745230" y="370655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202</xdr:row>
      <xdr:rowOff>238127</xdr:rowOff>
    </xdr:from>
    <xdr:to>
      <xdr:col>5</xdr:col>
      <xdr:colOff>790575</xdr:colOff>
      <xdr:row>202</xdr:row>
      <xdr:rowOff>361950</xdr:rowOff>
    </xdr:to>
    <xdr:cxnSp macro="">
      <xdr:nvCxnSpPr>
        <xdr:cNvPr id="867" name="Straight Connector 866">
          <a:extLst>
            <a:ext uri="{FF2B5EF4-FFF2-40B4-BE49-F238E27FC236}">
              <a16:creationId xmlns:a16="http://schemas.microsoft.com/office/drawing/2014/main" id="{00000000-0008-0000-0700-000063030000}"/>
            </a:ext>
          </a:extLst>
        </xdr:cNvPr>
        <xdr:cNvCxnSpPr/>
      </xdr:nvCxnSpPr>
      <xdr:spPr>
        <a:xfrm flipH="1" flipV="1">
          <a:off x="3749041" y="371265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202</xdr:row>
      <xdr:rowOff>133352</xdr:rowOff>
    </xdr:from>
    <xdr:to>
      <xdr:col>5</xdr:col>
      <xdr:colOff>885825</xdr:colOff>
      <xdr:row>202</xdr:row>
      <xdr:rowOff>257175</xdr:rowOff>
    </xdr:to>
    <xdr:cxnSp macro="">
      <xdr:nvCxnSpPr>
        <xdr:cNvPr id="868" name="Straight Connector 867">
          <a:extLst>
            <a:ext uri="{FF2B5EF4-FFF2-40B4-BE49-F238E27FC236}">
              <a16:creationId xmlns:a16="http://schemas.microsoft.com/office/drawing/2014/main" id="{00000000-0008-0000-0700-000064030000}"/>
            </a:ext>
          </a:extLst>
        </xdr:cNvPr>
        <xdr:cNvCxnSpPr/>
      </xdr:nvCxnSpPr>
      <xdr:spPr>
        <a:xfrm flipH="1" flipV="1">
          <a:off x="3745231" y="370751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200</xdr:row>
      <xdr:rowOff>127000</xdr:rowOff>
    </xdr:from>
    <xdr:to>
      <xdr:col>5</xdr:col>
      <xdr:colOff>356235</xdr:colOff>
      <xdr:row>200</xdr:row>
      <xdr:rowOff>309880</xdr:rowOff>
    </xdr:to>
    <xdr:cxnSp macro="">
      <xdr:nvCxnSpPr>
        <xdr:cNvPr id="869" name="Straight Connector 868">
          <a:extLst>
            <a:ext uri="{FF2B5EF4-FFF2-40B4-BE49-F238E27FC236}">
              <a16:creationId xmlns:a16="http://schemas.microsoft.com/office/drawing/2014/main" id="{00000000-0008-0000-0700-000065030000}"/>
            </a:ext>
          </a:extLst>
        </xdr:cNvPr>
        <xdr:cNvCxnSpPr/>
      </xdr:nvCxnSpPr>
      <xdr:spPr>
        <a:xfrm flipH="1" flipV="1">
          <a:off x="3480435" y="3670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200</xdr:row>
      <xdr:rowOff>400050</xdr:rowOff>
    </xdr:from>
    <xdr:to>
      <xdr:col>5</xdr:col>
      <xdr:colOff>1666875</xdr:colOff>
      <xdr:row>200</xdr:row>
      <xdr:rowOff>400050</xdr:rowOff>
    </xdr:to>
    <xdr:cxnSp macro="">
      <xdr:nvCxnSpPr>
        <xdr:cNvPr id="870" name="Straight Connector 869">
          <a:extLst>
            <a:ext uri="{FF2B5EF4-FFF2-40B4-BE49-F238E27FC236}">
              <a16:creationId xmlns:a16="http://schemas.microsoft.com/office/drawing/2014/main" id="{00000000-0008-0000-0700-000066030000}"/>
            </a:ext>
          </a:extLst>
        </xdr:cNvPr>
        <xdr:cNvCxnSpPr/>
      </xdr:nvCxnSpPr>
      <xdr:spPr>
        <a:xfrm>
          <a:off x="3476625" y="36755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200</xdr:row>
      <xdr:rowOff>127000</xdr:rowOff>
    </xdr:from>
    <xdr:to>
      <xdr:col>5</xdr:col>
      <xdr:colOff>356810</xdr:colOff>
      <xdr:row>200</xdr:row>
      <xdr:rowOff>409912</xdr:rowOff>
    </xdr:to>
    <xdr:cxnSp macro="">
      <xdr:nvCxnSpPr>
        <xdr:cNvPr id="871" name="Straight Connector 870">
          <a:extLst>
            <a:ext uri="{FF2B5EF4-FFF2-40B4-BE49-F238E27FC236}">
              <a16:creationId xmlns:a16="http://schemas.microsoft.com/office/drawing/2014/main" id="{00000000-0008-0000-0700-000067030000}"/>
            </a:ext>
          </a:extLst>
        </xdr:cNvPr>
        <xdr:cNvCxnSpPr/>
      </xdr:nvCxnSpPr>
      <xdr:spPr>
        <a:xfrm flipH="1" flipV="1">
          <a:off x="3481009" y="3670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200</xdr:row>
      <xdr:rowOff>134252</xdr:rowOff>
    </xdr:from>
    <xdr:to>
      <xdr:col>5</xdr:col>
      <xdr:colOff>1652211</xdr:colOff>
      <xdr:row>200</xdr:row>
      <xdr:rowOff>417164</xdr:rowOff>
    </xdr:to>
    <xdr:cxnSp macro="">
      <xdr:nvCxnSpPr>
        <xdr:cNvPr id="872" name="Straight Connector 871">
          <a:extLst>
            <a:ext uri="{FF2B5EF4-FFF2-40B4-BE49-F238E27FC236}">
              <a16:creationId xmlns:a16="http://schemas.microsoft.com/office/drawing/2014/main" id="{00000000-0008-0000-0700-000068030000}"/>
            </a:ext>
          </a:extLst>
        </xdr:cNvPr>
        <xdr:cNvCxnSpPr/>
      </xdr:nvCxnSpPr>
      <xdr:spPr>
        <a:xfrm flipH="1" flipV="1">
          <a:off x="3747710" y="3671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201</xdr:row>
      <xdr:rowOff>127000</xdr:rowOff>
    </xdr:from>
    <xdr:to>
      <xdr:col>5</xdr:col>
      <xdr:colOff>356235</xdr:colOff>
      <xdr:row>201</xdr:row>
      <xdr:rowOff>309880</xdr:rowOff>
    </xdr:to>
    <xdr:cxnSp macro="">
      <xdr:nvCxnSpPr>
        <xdr:cNvPr id="873" name="Straight Connector 872">
          <a:extLst>
            <a:ext uri="{FF2B5EF4-FFF2-40B4-BE49-F238E27FC236}">
              <a16:creationId xmlns:a16="http://schemas.microsoft.com/office/drawing/2014/main" id="{00000000-0008-0000-0700-000069030000}"/>
            </a:ext>
          </a:extLst>
        </xdr:cNvPr>
        <xdr:cNvCxnSpPr/>
      </xdr:nvCxnSpPr>
      <xdr:spPr>
        <a:xfrm flipH="1" flipV="1">
          <a:off x="3480435" y="368858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201</xdr:row>
      <xdr:rowOff>152400</xdr:rowOff>
    </xdr:from>
    <xdr:to>
      <xdr:col>5</xdr:col>
      <xdr:colOff>1676400</xdr:colOff>
      <xdr:row>201</xdr:row>
      <xdr:rowOff>152400</xdr:rowOff>
    </xdr:to>
    <xdr:cxnSp macro="">
      <xdr:nvCxnSpPr>
        <xdr:cNvPr id="874" name="Straight Connector 873">
          <a:extLst>
            <a:ext uri="{FF2B5EF4-FFF2-40B4-BE49-F238E27FC236}">
              <a16:creationId xmlns:a16="http://schemas.microsoft.com/office/drawing/2014/main" id="{00000000-0008-0000-0700-00006A030000}"/>
            </a:ext>
          </a:extLst>
        </xdr:cNvPr>
        <xdr:cNvCxnSpPr/>
      </xdr:nvCxnSpPr>
      <xdr:spPr>
        <a:xfrm>
          <a:off x="3486150" y="369112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201</xdr:row>
      <xdr:rowOff>127000</xdr:rowOff>
    </xdr:from>
    <xdr:to>
      <xdr:col>5</xdr:col>
      <xdr:colOff>356810</xdr:colOff>
      <xdr:row>201</xdr:row>
      <xdr:rowOff>409912</xdr:rowOff>
    </xdr:to>
    <xdr:cxnSp macro="">
      <xdr:nvCxnSpPr>
        <xdr:cNvPr id="875" name="Straight Connector 874">
          <a:extLst>
            <a:ext uri="{FF2B5EF4-FFF2-40B4-BE49-F238E27FC236}">
              <a16:creationId xmlns:a16="http://schemas.microsoft.com/office/drawing/2014/main" id="{00000000-0008-0000-0700-00006B030000}"/>
            </a:ext>
          </a:extLst>
        </xdr:cNvPr>
        <xdr:cNvCxnSpPr/>
      </xdr:nvCxnSpPr>
      <xdr:spPr>
        <a:xfrm flipH="1" flipV="1">
          <a:off x="3481009" y="368858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201</xdr:row>
      <xdr:rowOff>134252</xdr:rowOff>
    </xdr:from>
    <xdr:to>
      <xdr:col>5</xdr:col>
      <xdr:colOff>1652211</xdr:colOff>
      <xdr:row>201</xdr:row>
      <xdr:rowOff>417164</xdr:rowOff>
    </xdr:to>
    <xdr:cxnSp macro="">
      <xdr:nvCxnSpPr>
        <xdr:cNvPr id="876" name="Straight Connector 875">
          <a:extLst>
            <a:ext uri="{FF2B5EF4-FFF2-40B4-BE49-F238E27FC236}">
              <a16:creationId xmlns:a16="http://schemas.microsoft.com/office/drawing/2014/main" id="{00000000-0008-0000-0700-00006C030000}"/>
            </a:ext>
          </a:extLst>
        </xdr:cNvPr>
        <xdr:cNvCxnSpPr/>
      </xdr:nvCxnSpPr>
      <xdr:spPr>
        <a:xfrm flipH="1" flipV="1">
          <a:off x="3747710" y="368931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202</xdr:row>
      <xdr:rowOff>123824</xdr:rowOff>
    </xdr:from>
    <xdr:to>
      <xdr:col>5</xdr:col>
      <xdr:colOff>1428750</xdr:colOff>
      <xdr:row>202</xdr:row>
      <xdr:rowOff>1219199</xdr:rowOff>
    </xdr:to>
    <xdr:sp macro="" textlink="">
      <xdr:nvSpPr>
        <xdr:cNvPr id="877" name="Rounded Rectangle 876">
          <a:extLst>
            <a:ext uri="{FF2B5EF4-FFF2-40B4-BE49-F238E27FC236}">
              <a16:creationId xmlns:a16="http://schemas.microsoft.com/office/drawing/2014/main" id="{00000000-0008-0000-0700-00006D030000}"/>
            </a:ext>
          </a:extLst>
        </xdr:cNvPr>
        <xdr:cNvSpPr/>
      </xdr:nvSpPr>
      <xdr:spPr>
        <a:xfrm>
          <a:off x="3745230" y="370655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202</xdr:row>
      <xdr:rowOff>238127</xdr:rowOff>
    </xdr:from>
    <xdr:to>
      <xdr:col>5</xdr:col>
      <xdr:colOff>790575</xdr:colOff>
      <xdr:row>202</xdr:row>
      <xdr:rowOff>361950</xdr:rowOff>
    </xdr:to>
    <xdr:cxnSp macro="">
      <xdr:nvCxnSpPr>
        <xdr:cNvPr id="878" name="Straight Connector 877">
          <a:extLst>
            <a:ext uri="{FF2B5EF4-FFF2-40B4-BE49-F238E27FC236}">
              <a16:creationId xmlns:a16="http://schemas.microsoft.com/office/drawing/2014/main" id="{00000000-0008-0000-0700-00006E030000}"/>
            </a:ext>
          </a:extLst>
        </xdr:cNvPr>
        <xdr:cNvCxnSpPr/>
      </xdr:nvCxnSpPr>
      <xdr:spPr>
        <a:xfrm flipH="1" flipV="1">
          <a:off x="3749041" y="371265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202</xdr:row>
      <xdr:rowOff>133352</xdr:rowOff>
    </xdr:from>
    <xdr:to>
      <xdr:col>5</xdr:col>
      <xdr:colOff>885825</xdr:colOff>
      <xdr:row>202</xdr:row>
      <xdr:rowOff>257175</xdr:rowOff>
    </xdr:to>
    <xdr:cxnSp macro="">
      <xdr:nvCxnSpPr>
        <xdr:cNvPr id="879" name="Straight Connector 878">
          <a:extLst>
            <a:ext uri="{FF2B5EF4-FFF2-40B4-BE49-F238E27FC236}">
              <a16:creationId xmlns:a16="http://schemas.microsoft.com/office/drawing/2014/main" id="{00000000-0008-0000-0700-00006F030000}"/>
            </a:ext>
          </a:extLst>
        </xdr:cNvPr>
        <xdr:cNvCxnSpPr/>
      </xdr:nvCxnSpPr>
      <xdr:spPr>
        <a:xfrm flipH="1" flipV="1">
          <a:off x="3745231" y="370751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200</xdr:row>
      <xdr:rowOff>127000</xdr:rowOff>
    </xdr:from>
    <xdr:to>
      <xdr:col>5</xdr:col>
      <xdr:colOff>356235</xdr:colOff>
      <xdr:row>200</xdr:row>
      <xdr:rowOff>309880</xdr:rowOff>
    </xdr:to>
    <xdr:cxnSp macro="">
      <xdr:nvCxnSpPr>
        <xdr:cNvPr id="880" name="Straight Connector 879">
          <a:extLst>
            <a:ext uri="{FF2B5EF4-FFF2-40B4-BE49-F238E27FC236}">
              <a16:creationId xmlns:a16="http://schemas.microsoft.com/office/drawing/2014/main" id="{00000000-0008-0000-0700-000070030000}"/>
            </a:ext>
          </a:extLst>
        </xdr:cNvPr>
        <xdr:cNvCxnSpPr/>
      </xdr:nvCxnSpPr>
      <xdr:spPr>
        <a:xfrm flipH="1" flipV="1">
          <a:off x="3480435" y="3670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200</xdr:row>
      <xdr:rowOff>400050</xdr:rowOff>
    </xdr:from>
    <xdr:to>
      <xdr:col>5</xdr:col>
      <xdr:colOff>1666875</xdr:colOff>
      <xdr:row>200</xdr:row>
      <xdr:rowOff>400050</xdr:rowOff>
    </xdr:to>
    <xdr:cxnSp macro="">
      <xdr:nvCxnSpPr>
        <xdr:cNvPr id="881" name="Straight Connector 880">
          <a:extLst>
            <a:ext uri="{FF2B5EF4-FFF2-40B4-BE49-F238E27FC236}">
              <a16:creationId xmlns:a16="http://schemas.microsoft.com/office/drawing/2014/main" id="{00000000-0008-0000-0700-000071030000}"/>
            </a:ext>
          </a:extLst>
        </xdr:cNvPr>
        <xdr:cNvCxnSpPr/>
      </xdr:nvCxnSpPr>
      <xdr:spPr>
        <a:xfrm>
          <a:off x="3476625" y="36755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200</xdr:row>
      <xdr:rowOff>127000</xdr:rowOff>
    </xdr:from>
    <xdr:to>
      <xdr:col>5</xdr:col>
      <xdr:colOff>356810</xdr:colOff>
      <xdr:row>200</xdr:row>
      <xdr:rowOff>409912</xdr:rowOff>
    </xdr:to>
    <xdr:cxnSp macro="">
      <xdr:nvCxnSpPr>
        <xdr:cNvPr id="882" name="Straight Connector 881">
          <a:extLst>
            <a:ext uri="{FF2B5EF4-FFF2-40B4-BE49-F238E27FC236}">
              <a16:creationId xmlns:a16="http://schemas.microsoft.com/office/drawing/2014/main" id="{00000000-0008-0000-0700-000072030000}"/>
            </a:ext>
          </a:extLst>
        </xdr:cNvPr>
        <xdr:cNvCxnSpPr/>
      </xdr:nvCxnSpPr>
      <xdr:spPr>
        <a:xfrm flipH="1" flipV="1">
          <a:off x="3481009" y="3670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200</xdr:row>
      <xdr:rowOff>134252</xdr:rowOff>
    </xdr:from>
    <xdr:to>
      <xdr:col>5</xdr:col>
      <xdr:colOff>1652211</xdr:colOff>
      <xdr:row>200</xdr:row>
      <xdr:rowOff>417164</xdr:rowOff>
    </xdr:to>
    <xdr:cxnSp macro="">
      <xdr:nvCxnSpPr>
        <xdr:cNvPr id="883" name="Straight Connector 882">
          <a:extLst>
            <a:ext uri="{FF2B5EF4-FFF2-40B4-BE49-F238E27FC236}">
              <a16:creationId xmlns:a16="http://schemas.microsoft.com/office/drawing/2014/main" id="{00000000-0008-0000-0700-000073030000}"/>
            </a:ext>
          </a:extLst>
        </xdr:cNvPr>
        <xdr:cNvCxnSpPr/>
      </xdr:nvCxnSpPr>
      <xdr:spPr>
        <a:xfrm flipH="1" flipV="1">
          <a:off x="3747710" y="3671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201</xdr:row>
      <xdr:rowOff>127000</xdr:rowOff>
    </xdr:from>
    <xdr:to>
      <xdr:col>5</xdr:col>
      <xdr:colOff>356235</xdr:colOff>
      <xdr:row>201</xdr:row>
      <xdr:rowOff>309880</xdr:rowOff>
    </xdr:to>
    <xdr:cxnSp macro="">
      <xdr:nvCxnSpPr>
        <xdr:cNvPr id="884" name="Straight Connector 883">
          <a:extLst>
            <a:ext uri="{FF2B5EF4-FFF2-40B4-BE49-F238E27FC236}">
              <a16:creationId xmlns:a16="http://schemas.microsoft.com/office/drawing/2014/main" id="{00000000-0008-0000-0700-000074030000}"/>
            </a:ext>
          </a:extLst>
        </xdr:cNvPr>
        <xdr:cNvCxnSpPr/>
      </xdr:nvCxnSpPr>
      <xdr:spPr>
        <a:xfrm flipH="1" flipV="1">
          <a:off x="3480435" y="368858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201</xdr:row>
      <xdr:rowOff>152400</xdr:rowOff>
    </xdr:from>
    <xdr:to>
      <xdr:col>5</xdr:col>
      <xdr:colOff>1676400</xdr:colOff>
      <xdr:row>201</xdr:row>
      <xdr:rowOff>152400</xdr:rowOff>
    </xdr:to>
    <xdr:cxnSp macro="">
      <xdr:nvCxnSpPr>
        <xdr:cNvPr id="885" name="Straight Connector 884">
          <a:extLst>
            <a:ext uri="{FF2B5EF4-FFF2-40B4-BE49-F238E27FC236}">
              <a16:creationId xmlns:a16="http://schemas.microsoft.com/office/drawing/2014/main" id="{00000000-0008-0000-0700-000075030000}"/>
            </a:ext>
          </a:extLst>
        </xdr:cNvPr>
        <xdr:cNvCxnSpPr/>
      </xdr:nvCxnSpPr>
      <xdr:spPr>
        <a:xfrm>
          <a:off x="3486150" y="369112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201</xdr:row>
      <xdr:rowOff>127000</xdr:rowOff>
    </xdr:from>
    <xdr:to>
      <xdr:col>5</xdr:col>
      <xdr:colOff>356810</xdr:colOff>
      <xdr:row>201</xdr:row>
      <xdr:rowOff>409912</xdr:rowOff>
    </xdr:to>
    <xdr:cxnSp macro="">
      <xdr:nvCxnSpPr>
        <xdr:cNvPr id="886" name="Straight Connector 885">
          <a:extLst>
            <a:ext uri="{FF2B5EF4-FFF2-40B4-BE49-F238E27FC236}">
              <a16:creationId xmlns:a16="http://schemas.microsoft.com/office/drawing/2014/main" id="{00000000-0008-0000-0700-000076030000}"/>
            </a:ext>
          </a:extLst>
        </xdr:cNvPr>
        <xdr:cNvCxnSpPr/>
      </xdr:nvCxnSpPr>
      <xdr:spPr>
        <a:xfrm flipH="1" flipV="1">
          <a:off x="3481009" y="368858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201</xdr:row>
      <xdr:rowOff>134252</xdr:rowOff>
    </xdr:from>
    <xdr:to>
      <xdr:col>5</xdr:col>
      <xdr:colOff>1652211</xdr:colOff>
      <xdr:row>201</xdr:row>
      <xdr:rowOff>417164</xdr:rowOff>
    </xdr:to>
    <xdr:cxnSp macro="">
      <xdr:nvCxnSpPr>
        <xdr:cNvPr id="887" name="Straight Connector 886">
          <a:extLst>
            <a:ext uri="{FF2B5EF4-FFF2-40B4-BE49-F238E27FC236}">
              <a16:creationId xmlns:a16="http://schemas.microsoft.com/office/drawing/2014/main" id="{00000000-0008-0000-0700-000077030000}"/>
            </a:ext>
          </a:extLst>
        </xdr:cNvPr>
        <xdr:cNvCxnSpPr/>
      </xdr:nvCxnSpPr>
      <xdr:spPr>
        <a:xfrm flipH="1" flipV="1">
          <a:off x="3747710" y="368931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202</xdr:row>
      <xdr:rowOff>123824</xdr:rowOff>
    </xdr:from>
    <xdr:to>
      <xdr:col>5</xdr:col>
      <xdr:colOff>1428750</xdr:colOff>
      <xdr:row>202</xdr:row>
      <xdr:rowOff>1219199</xdr:rowOff>
    </xdr:to>
    <xdr:sp macro="" textlink="">
      <xdr:nvSpPr>
        <xdr:cNvPr id="888" name="Rounded Rectangle 887">
          <a:extLst>
            <a:ext uri="{FF2B5EF4-FFF2-40B4-BE49-F238E27FC236}">
              <a16:creationId xmlns:a16="http://schemas.microsoft.com/office/drawing/2014/main" id="{00000000-0008-0000-0700-000078030000}"/>
            </a:ext>
          </a:extLst>
        </xdr:cNvPr>
        <xdr:cNvSpPr/>
      </xdr:nvSpPr>
      <xdr:spPr>
        <a:xfrm>
          <a:off x="3745230" y="370655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202</xdr:row>
      <xdr:rowOff>238127</xdr:rowOff>
    </xdr:from>
    <xdr:to>
      <xdr:col>5</xdr:col>
      <xdr:colOff>790575</xdr:colOff>
      <xdr:row>202</xdr:row>
      <xdr:rowOff>361950</xdr:rowOff>
    </xdr:to>
    <xdr:cxnSp macro="">
      <xdr:nvCxnSpPr>
        <xdr:cNvPr id="889" name="Straight Connector 888">
          <a:extLst>
            <a:ext uri="{FF2B5EF4-FFF2-40B4-BE49-F238E27FC236}">
              <a16:creationId xmlns:a16="http://schemas.microsoft.com/office/drawing/2014/main" id="{00000000-0008-0000-0700-000079030000}"/>
            </a:ext>
          </a:extLst>
        </xdr:cNvPr>
        <xdr:cNvCxnSpPr/>
      </xdr:nvCxnSpPr>
      <xdr:spPr>
        <a:xfrm flipH="1" flipV="1">
          <a:off x="3749041" y="371265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202</xdr:row>
      <xdr:rowOff>133352</xdr:rowOff>
    </xdr:from>
    <xdr:to>
      <xdr:col>5</xdr:col>
      <xdr:colOff>885825</xdr:colOff>
      <xdr:row>202</xdr:row>
      <xdr:rowOff>257175</xdr:rowOff>
    </xdr:to>
    <xdr:cxnSp macro="">
      <xdr:nvCxnSpPr>
        <xdr:cNvPr id="890" name="Straight Connector 889">
          <a:extLst>
            <a:ext uri="{FF2B5EF4-FFF2-40B4-BE49-F238E27FC236}">
              <a16:creationId xmlns:a16="http://schemas.microsoft.com/office/drawing/2014/main" id="{00000000-0008-0000-0700-00007A030000}"/>
            </a:ext>
          </a:extLst>
        </xdr:cNvPr>
        <xdr:cNvCxnSpPr/>
      </xdr:nvCxnSpPr>
      <xdr:spPr>
        <a:xfrm flipH="1" flipV="1">
          <a:off x="3745231" y="370751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200</xdr:row>
      <xdr:rowOff>127000</xdr:rowOff>
    </xdr:from>
    <xdr:to>
      <xdr:col>5</xdr:col>
      <xdr:colOff>356235</xdr:colOff>
      <xdr:row>200</xdr:row>
      <xdr:rowOff>309880</xdr:rowOff>
    </xdr:to>
    <xdr:cxnSp macro="">
      <xdr:nvCxnSpPr>
        <xdr:cNvPr id="891" name="Straight Connector 890">
          <a:extLst>
            <a:ext uri="{FF2B5EF4-FFF2-40B4-BE49-F238E27FC236}">
              <a16:creationId xmlns:a16="http://schemas.microsoft.com/office/drawing/2014/main" id="{00000000-0008-0000-0700-00007B030000}"/>
            </a:ext>
          </a:extLst>
        </xdr:cNvPr>
        <xdr:cNvCxnSpPr/>
      </xdr:nvCxnSpPr>
      <xdr:spPr>
        <a:xfrm flipH="1" flipV="1">
          <a:off x="3480435" y="367030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200</xdr:row>
      <xdr:rowOff>400050</xdr:rowOff>
    </xdr:from>
    <xdr:to>
      <xdr:col>5</xdr:col>
      <xdr:colOff>1666875</xdr:colOff>
      <xdr:row>200</xdr:row>
      <xdr:rowOff>400050</xdr:rowOff>
    </xdr:to>
    <xdr:cxnSp macro="">
      <xdr:nvCxnSpPr>
        <xdr:cNvPr id="892" name="Straight Connector 891">
          <a:extLst>
            <a:ext uri="{FF2B5EF4-FFF2-40B4-BE49-F238E27FC236}">
              <a16:creationId xmlns:a16="http://schemas.microsoft.com/office/drawing/2014/main" id="{00000000-0008-0000-0700-00007C030000}"/>
            </a:ext>
          </a:extLst>
        </xdr:cNvPr>
        <xdr:cNvCxnSpPr/>
      </xdr:nvCxnSpPr>
      <xdr:spPr>
        <a:xfrm>
          <a:off x="3476625" y="367550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200</xdr:row>
      <xdr:rowOff>127000</xdr:rowOff>
    </xdr:from>
    <xdr:to>
      <xdr:col>5</xdr:col>
      <xdr:colOff>356810</xdr:colOff>
      <xdr:row>200</xdr:row>
      <xdr:rowOff>409912</xdr:rowOff>
    </xdr:to>
    <xdr:cxnSp macro="">
      <xdr:nvCxnSpPr>
        <xdr:cNvPr id="893" name="Straight Connector 892">
          <a:extLst>
            <a:ext uri="{FF2B5EF4-FFF2-40B4-BE49-F238E27FC236}">
              <a16:creationId xmlns:a16="http://schemas.microsoft.com/office/drawing/2014/main" id="{00000000-0008-0000-0700-00007D030000}"/>
            </a:ext>
          </a:extLst>
        </xdr:cNvPr>
        <xdr:cNvCxnSpPr/>
      </xdr:nvCxnSpPr>
      <xdr:spPr>
        <a:xfrm flipH="1" flipV="1">
          <a:off x="3481009" y="367030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200</xdr:row>
      <xdr:rowOff>134252</xdr:rowOff>
    </xdr:from>
    <xdr:to>
      <xdr:col>5</xdr:col>
      <xdr:colOff>1652211</xdr:colOff>
      <xdr:row>200</xdr:row>
      <xdr:rowOff>417164</xdr:rowOff>
    </xdr:to>
    <xdr:cxnSp macro="">
      <xdr:nvCxnSpPr>
        <xdr:cNvPr id="894" name="Straight Connector 893">
          <a:extLst>
            <a:ext uri="{FF2B5EF4-FFF2-40B4-BE49-F238E27FC236}">
              <a16:creationId xmlns:a16="http://schemas.microsoft.com/office/drawing/2014/main" id="{00000000-0008-0000-0700-00007E030000}"/>
            </a:ext>
          </a:extLst>
        </xdr:cNvPr>
        <xdr:cNvCxnSpPr/>
      </xdr:nvCxnSpPr>
      <xdr:spPr>
        <a:xfrm flipH="1" flipV="1">
          <a:off x="3747710" y="367102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201</xdr:row>
      <xdr:rowOff>127000</xdr:rowOff>
    </xdr:from>
    <xdr:to>
      <xdr:col>5</xdr:col>
      <xdr:colOff>356235</xdr:colOff>
      <xdr:row>201</xdr:row>
      <xdr:rowOff>309880</xdr:rowOff>
    </xdr:to>
    <xdr:cxnSp macro="">
      <xdr:nvCxnSpPr>
        <xdr:cNvPr id="895" name="Straight Connector 894">
          <a:extLst>
            <a:ext uri="{FF2B5EF4-FFF2-40B4-BE49-F238E27FC236}">
              <a16:creationId xmlns:a16="http://schemas.microsoft.com/office/drawing/2014/main" id="{00000000-0008-0000-0700-00007F030000}"/>
            </a:ext>
          </a:extLst>
        </xdr:cNvPr>
        <xdr:cNvCxnSpPr/>
      </xdr:nvCxnSpPr>
      <xdr:spPr>
        <a:xfrm flipH="1" flipV="1">
          <a:off x="3480435" y="368858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201</xdr:row>
      <xdr:rowOff>152400</xdr:rowOff>
    </xdr:from>
    <xdr:to>
      <xdr:col>5</xdr:col>
      <xdr:colOff>1676400</xdr:colOff>
      <xdr:row>201</xdr:row>
      <xdr:rowOff>152400</xdr:rowOff>
    </xdr:to>
    <xdr:cxnSp macro="">
      <xdr:nvCxnSpPr>
        <xdr:cNvPr id="896" name="Straight Connector 895">
          <a:extLst>
            <a:ext uri="{FF2B5EF4-FFF2-40B4-BE49-F238E27FC236}">
              <a16:creationId xmlns:a16="http://schemas.microsoft.com/office/drawing/2014/main" id="{00000000-0008-0000-0700-000080030000}"/>
            </a:ext>
          </a:extLst>
        </xdr:cNvPr>
        <xdr:cNvCxnSpPr/>
      </xdr:nvCxnSpPr>
      <xdr:spPr>
        <a:xfrm>
          <a:off x="3486150" y="369112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201</xdr:row>
      <xdr:rowOff>127000</xdr:rowOff>
    </xdr:from>
    <xdr:to>
      <xdr:col>5</xdr:col>
      <xdr:colOff>356810</xdr:colOff>
      <xdr:row>201</xdr:row>
      <xdr:rowOff>409912</xdr:rowOff>
    </xdr:to>
    <xdr:cxnSp macro="">
      <xdr:nvCxnSpPr>
        <xdr:cNvPr id="897" name="Straight Connector 896">
          <a:extLst>
            <a:ext uri="{FF2B5EF4-FFF2-40B4-BE49-F238E27FC236}">
              <a16:creationId xmlns:a16="http://schemas.microsoft.com/office/drawing/2014/main" id="{00000000-0008-0000-0700-000081030000}"/>
            </a:ext>
          </a:extLst>
        </xdr:cNvPr>
        <xdr:cNvCxnSpPr/>
      </xdr:nvCxnSpPr>
      <xdr:spPr>
        <a:xfrm flipH="1" flipV="1">
          <a:off x="3481009" y="368858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202</xdr:row>
      <xdr:rowOff>123824</xdr:rowOff>
    </xdr:from>
    <xdr:to>
      <xdr:col>5</xdr:col>
      <xdr:colOff>1428750</xdr:colOff>
      <xdr:row>202</xdr:row>
      <xdr:rowOff>1219199</xdr:rowOff>
    </xdr:to>
    <xdr:sp macro="" textlink="">
      <xdr:nvSpPr>
        <xdr:cNvPr id="898" name="Rounded Rectangle 897">
          <a:extLst>
            <a:ext uri="{FF2B5EF4-FFF2-40B4-BE49-F238E27FC236}">
              <a16:creationId xmlns:a16="http://schemas.microsoft.com/office/drawing/2014/main" id="{00000000-0008-0000-0700-000082030000}"/>
            </a:ext>
          </a:extLst>
        </xdr:cNvPr>
        <xdr:cNvSpPr/>
      </xdr:nvSpPr>
      <xdr:spPr>
        <a:xfrm>
          <a:off x="3745230" y="370655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202</xdr:row>
      <xdr:rowOff>238127</xdr:rowOff>
    </xdr:from>
    <xdr:to>
      <xdr:col>5</xdr:col>
      <xdr:colOff>790575</xdr:colOff>
      <xdr:row>202</xdr:row>
      <xdr:rowOff>361950</xdr:rowOff>
    </xdr:to>
    <xdr:cxnSp macro="">
      <xdr:nvCxnSpPr>
        <xdr:cNvPr id="899" name="Straight Connector 898">
          <a:extLst>
            <a:ext uri="{FF2B5EF4-FFF2-40B4-BE49-F238E27FC236}">
              <a16:creationId xmlns:a16="http://schemas.microsoft.com/office/drawing/2014/main" id="{00000000-0008-0000-0700-000083030000}"/>
            </a:ext>
          </a:extLst>
        </xdr:cNvPr>
        <xdr:cNvCxnSpPr/>
      </xdr:nvCxnSpPr>
      <xdr:spPr>
        <a:xfrm flipH="1" flipV="1">
          <a:off x="3749041" y="371265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202</xdr:row>
      <xdr:rowOff>133352</xdr:rowOff>
    </xdr:from>
    <xdr:to>
      <xdr:col>5</xdr:col>
      <xdr:colOff>885825</xdr:colOff>
      <xdr:row>202</xdr:row>
      <xdr:rowOff>257175</xdr:rowOff>
    </xdr:to>
    <xdr:cxnSp macro="">
      <xdr:nvCxnSpPr>
        <xdr:cNvPr id="900" name="Straight Connector 899">
          <a:extLst>
            <a:ext uri="{FF2B5EF4-FFF2-40B4-BE49-F238E27FC236}">
              <a16:creationId xmlns:a16="http://schemas.microsoft.com/office/drawing/2014/main" id="{00000000-0008-0000-0700-000084030000}"/>
            </a:ext>
          </a:extLst>
        </xdr:cNvPr>
        <xdr:cNvCxnSpPr/>
      </xdr:nvCxnSpPr>
      <xdr:spPr>
        <a:xfrm flipH="1" flipV="1">
          <a:off x="3745231" y="370751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206</xdr:row>
      <xdr:rowOff>127000</xdr:rowOff>
    </xdr:from>
    <xdr:to>
      <xdr:col>5</xdr:col>
      <xdr:colOff>356235</xdr:colOff>
      <xdr:row>206</xdr:row>
      <xdr:rowOff>309880</xdr:rowOff>
    </xdr:to>
    <xdr:cxnSp macro="">
      <xdr:nvCxnSpPr>
        <xdr:cNvPr id="901" name="Straight Connector 900">
          <a:extLst>
            <a:ext uri="{FF2B5EF4-FFF2-40B4-BE49-F238E27FC236}">
              <a16:creationId xmlns:a16="http://schemas.microsoft.com/office/drawing/2014/main" id="{00000000-0008-0000-0700-000085030000}"/>
            </a:ext>
          </a:extLst>
        </xdr:cNvPr>
        <xdr:cNvCxnSpPr/>
      </xdr:nvCxnSpPr>
      <xdr:spPr>
        <a:xfrm flipH="1" flipV="1">
          <a:off x="3480435" y="3780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206</xdr:row>
      <xdr:rowOff>400050</xdr:rowOff>
    </xdr:from>
    <xdr:to>
      <xdr:col>5</xdr:col>
      <xdr:colOff>1666875</xdr:colOff>
      <xdr:row>206</xdr:row>
      <xdr:rowOff>400050</xdr:rowOff>
    </xdr:to>
    <xdr:cxnSp macro="">
      <xdr:nvCxnSpPr>
        <xdr:cNvPr id="902" name="Straight Connector 901">
          <a:extLst>
            <a:ext uri="{FF2B5EF4-FFF2-40B4-BE49-F238E27FC236}">
              <a16:creationId xmlns:a16="http://schemas.microsoft.com/office/drawing/2014/main" id="{00000000-0008-0000-0700-000086030000}"/>
            </a:ext>
          </a:extLst>
        </xdr:cNvPr>
        <xdr:cNvCxnSpPr/>
      </xdr:nvCxnSpPr>
      <xdr:spPr>
        <a:xfrm>
          <a:off x="3476625" y="378523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206</xdr:row>
      <xdr:rowOff>127000</xdr:rowOff>
    </xdr:from>
    <xdr:to>
      <xdr:col>5</xdr:col>
      <xdr:colOff>356810</xdr:colOff>
      <xdr:row>206</xdr:row>
      <xdr:rowOff>409912</xdr:rowOff>
    </xdr:to>
    <xdr:cxnSp macro="">
      <xdr:nvCxnSpPr>
        <xdr:cNvPr id="903" name="Straight Connector 902">
          <a:extLst>
            <a:ext uri="{FF2B5EF4-FFF2-40B4-BE49-F238E27FC236}">
              <a16:creationId xmlns:a16="http://schemas.microsoft.com/office/drawing/2014/main" id="{00000000-0008-0000-0700-000087030000}"/>
            </a:ext>
          </a:extLst>
        </xdr:cNvPr>
        <xdr:cNvCxnSpPr/>
      </xdr:nvCxnSpPr>
      <xdr:spPr>
        <a:xfrm flipH="1" flipV="1">
          <a:off x="3481009" y="3780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206</xdr:row>
      <xdr:rowOff>134252</xdr:rowOff>
    </xdr:from>
    <xdr:to>
      <xdr:col>5</xdr:col>
      <xdr:colOff>1652211</xdr:colOff>
      <xdr:row>206</xdr:row>
      <xdr:rowOff>417164</xdr:rowOff>
    </xdr:to>
    <xdr:cxnSp macro="">
      <xdr:nvCxnSpPr>
        <xdr:cNvPr id="904" name="Straight Connector 903">
          <a:extLst>
            <a:ext uri="{FF2B5EF4-FFF2-40B4-BE49-F238E27FC236}">
              <a16:creationId xmlns:a16="http://schemas.microsoft.com/office/drawing/2014/main" id="{00000000-0008-0000-0700-000088030000}"/>
            </a:ext>
          </a:extLst>
        </xdr:cNvPr>
        <xdr:cNvCxnSpPr/>
      </xdr:nvCxnSpPr>
      <xdr:spPr>
        <a:xfrm flipH="1" flipV="1">
          <a:off x="3747710" y="3780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207</xdr:row>
      <xdr:rowOff>127000</xdr:rowOff>
    </xdr:from>
    <xdr:to>
      <xdr:col>5</xdr:col>
      <xdr:colOff>356235</xdr:colOff>
      <xdr:row>207</xdr:row>
      <xdr:rowOff>309880</xdr:rowOff>
    </xdr:to>
    <xdr:cxnSp macro="">
      <xdr:nvCxnSpPr>
        <xdr:cNvPr id="905" name="Straight Connector 904">
          <a:extLst>
            <a:ext uri="{FF2B5EF4-FFF2-40B4-BE49-F238E27FC236}">
              <a16:creationId xmlns:a16="http://schemas.microsoft.com/office/drawing/2014/main" id="{00000000-0008-0000-0700-000089030000}"/>
            </a:ext>
          </a:extLst>
        </xdr:cNvPr>
        <xdr:cNvCxnSpPr/>
      </xdr:nvCxnSpPr>
      <xdr:spPr>
        <a:xfrm flipH="1" flipV="1">
          <a:off x="3480435" y="37983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207</xdr:row>
      <xdr:rowOff>152400</xdr:rowOff>
    </xdr:from>
    <xdr:to>
      <xdr:col>5</xdr:col>
      <xdr:colOff>1676400</xdr:colOff>
      <xdr:row>207</xdr:row>
      <xdr:rowOff>152400</xdr:rowOff>
    </xdr:to>
    <xdr:cxnSp macro="">
      <xdr:nvCxnSpPr>
        <xdr:cNvPr id="906" name="Straight Connector 905">
          <a:extLst>
            <a:ext uri="{FF2B5EF4-FFF2-40B4-BE49-F238E27FC236}">
              <a16:creationId xmlns:a16="http://schemas.microsoft.com/office/drawing/2014/main" id="{00000000-0008-0000-0700-00008A030000}"/>
            </a:ext>
          </a:extLst>
        </xdr:cNvPr>
        <xdr:cNvCxnSpPr/>
      </xdr:nvCxnSpPr>
      <xdr:spPr>
        <a:xfrm>
          <a:off x="3486150" y="380085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207</xdr:row>
      <xdr:rowOff>127000</xdr:rowOff>
    </xdr:from>
    <xdr:to>
      <xdr:col>5</xdr:col>
      <xdr:colOff>356810</xdr:colOff>
      <xdr:row>207</xdr:row>
      <xdr:rowOff>409912</xdr:rowOff>
    </xdr:to>
    <xdr:cxnSp macro="">
      <xdr:nvCxnSpPr>
        <xdr:cNvPr id="907" name="Straight Connector 906">
          <a:extLst>
            <a:ext uri="{FF2B5EF4-FFF2-40B4-BE49-F238E27FC236}">
              <a16:creationId xmlns:a16="http://schemas.microsoft.com/office/drawing/2014/main" id="{00000000-0008-0000-0700-00008B030000}"/>
            </a:ext>
          </a:extLst>
        </xdr:cNvPr>
        <xdr:cNvCxnSpPr/>
      </xdr:nvCxnSpPr>
      <xdr:spPr>
        <a:xfrm flipH="1" flipV="1">
          <a:off x="3481009" y="37983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207</xdr:row>
      <xdr:rowOff>134252</xdr:rowOff>
    </xdr:from>
    <xdr:to>
      <xdr:col>5</xdr:col>
      <xdr:colOff>1652211</xdr:colOff>
      <xdr:row>207</xdr:row>
      <xdr:rowOff>417164</xdr:rowOff>
    </xdr:to>
    <xdr:cxnSp macro="">
      <xdr:nvCxnSpPr>
        <xdr:cNvPr id="908" name="Straight Connector 907">
          <a:extLst>
            <a:ext uri="{FF2B5EF4-FFF2-40B4-BE49-F238E27FC236}">
              <a16:creationId xmlns:a16="http://schemas.microsoft.com/office/drawing/2014/main" id="{00000000-0008-0000-0700-00008C030000}"/>
            </a:ext>
          </a:extLst>
        </xdr:cNvPr>
        <xdr:cNvCxnSpPr/>
      </xdr:nvCxnSpPr>
      <xdr:spPr>
        <a:xfrm flipH="1" flipV="1">
          <a:off x="3747710" y="37990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208</xdr:row>
      <xdr:rowOff>123824</xdr:rowOff>
    </xdr:from>
    <xdr:to>
      <xdr:col>5</xdr:col>
      <xdr:colOff>1428750</xdr:colOff>
      <xdr:row>208</xdr:row>
      <xdr:rowOff>1219199</xdr:rowOff>
    </xdr:to>
    <xdr:sp macro="" textlink="">
      <xdr:nvSpPr>
        <xdr:cNvPr id="909" name="Rounded Rectangle 908">
          <a:extLst>
            <a:ext uri="{FF2B5EF4-FFF2-40B4-BE49-F238E27FC236}">
              <a16:creationId xmlns:a16="http://schemas.microsoft.com/office/drawing/2014/main" id="{00000000-0008-0000-0700-00008D030000}"/>
            </a:ext>
          </a:extLst>
        </xdr:cNvPr>
        <xdr:cNvSpPr/>
      </xdr:nvSpPr>
      <xdr:spPr>
        <a:xfrm>
          <a:off x="3745230" y="381628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208</xdr:row>
      <xdr:rowOff>238127</xdr:rowOff>
    </xdr:from>
    <xdr:to>
      <xdr:col>5</xdr:col>
      <xdr:colOff>790575</xdr:colOff>
      <xdr:row>208</xdr:row>
      <xdr:rowOff>361950</xdr:rowOff>
    </xdr:to>
    <xdr:cxnSp macro="">
      <xdr:nvCxnSpPr>
        <xdr:cNvPr id="910" name="Straight Connector 909">
          <a:extLst>
            <a:ext uri="{FF2B5EF4-FFF2-40B4-BE49-F238E27FC236}">
              <a16:creationId xmlns:a16="http://schemas.microsoft.com/office/drawing/2014/main" id="{00000000-0008-0000-0700-00008E030000}"/>
            </a:ext>
          </a:extLst>
        </xdr:cNvPr>
        <xdr:cNvCxnSpPr/>
      </xdr:nvCxnSpPr>
      <xdr:spPr>
        <a:xfrm flipH="1" flipV="1">
          <a:off x="3749041" y="382238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208</xdr:row>
      <xdr:rowOff>133352</xdr:rowOff>
    </xdr:from>
    <xdr:to>
      <xdr:col>5</xdr:col>
      <xdr:colOff>885825</xdr:colOff>
      <xdr:row>208</xdr:row>
      <xdr:rowOff>257175</xdr:rowOff>
    </xdr:to>
    <xdr:cxnSp macro="">
      <xdr:nvCxnSpPr>
        <xdr:cNvPr id="911" name="Straight Connector 910">
          <a:extLst>
            <a:ext uri="{FF2B5EF4-FFF2-40B4-BE49-F238E27FC236}">
              <a16:creationId xmlns:a16="http://schemas.microsoft.com/office/drawing/2014/main" id="{00000000-0008-0000-0700-00008F030000}"/>
            </a:ext>
          </a:extLst>
        </xdr:cNvPr>
        <xdr:cNvCxnSpPr/>
      </xdr:nvCxnSpPr>
      <xdr:spPr>
        <a:xfrm flipH="1" flipV="1">
          <a:off x="3745231" y="381723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206</xdr:row>
      <xdr:rowOff>127000</xdr:rowOff>
    </xdr:from>
    <xdr:to>
      <xdr:col>5</xdr:col>
      <xdr:colOff>356235</xdr:colOff>
      <xdr:row>206</xdr:row>
      <xdr:rowOff>309880</xdr:rowOff>
    </xdr:to>
    <xdr:cxnSp macro="">
      <xdr:nvCxnSpPr>
        <xdr:cNvPr id="912" name="Straight Connector 911">
          <a:extLst>
            <a:ext uri="{FF2B5EF4-FFF2-40B4-BE49-F238E27FC236}">
              <a16:creationId xmlns:a16="http://schemas.microsoft.com/office/drawing/2014/main" id="{00000000-0008-0000-0700-000090030000}"/>
            </a:ext>
          </a:extLst>
        </xdr:cNvPr>
        <xdr:cNvCxnSpPr/>
      </xdr:nvCxnSpPr>
      <xdr:spPr>
        <a:xfrm flipH="1" flipV="1">
          <a:off x="3480435" y="3780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206</xdr:row>
      <xdr:rowOff>400050</xdr:rowOff>
    </xdr:from>
    <xdr:to>
      <xdr:col>5</xdr:col>
      <xdr:colOff>1666875</xdr:colOff>
      <xdr:row>206</xdr:row>
      <xdr:rowOff>400050</xdr:rowOff>
    </xdr:to>
    <xdr:cxnSp macro="">
      <xdr:nvCxnSpPr>
        <xdr:cNvPr id="913" name="Straight Connector 912">
          <a:extLst>
            <a:ext uri="{FF2B5EF4-FFF2-40B4-BE49-F238E27FC236}">
              <a16:creationId xmlns:a16="http://schemas.microsoft.com/office/drawing/2014/main" id="{00000000-0008-0000-0700-000091030000}"/>
            </a:ext>
          </a:extLst>
        </xdr:cNvPr>
        <xdr:cNvCxnSpPr/>
      </xdr:nvCxnSpPr>
      <xdr:spPr>
        <a:xfrm>
          <a:off x="3476625" y="378523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206</xdr:row>
      <xdr:rowOff>127000</xdr:rowOff>
    </xdr:from>
    <xdr:to>
      <xdr:col>5</xdr:col>
      <xdr:colOff>356810</xdr:colOff>
      <xdr:row>206</xdr:row>
      <xdr:rowOff>409912</xdr:rowOff>
    </xdr:to>
    <xdr:cxnSp macro="">
      <xdr:nvCxnSpPr>
        <xdr:cNvPr id="914" name="Straight Connector 913">
          <a:extLst>
            <a:ext uri="{FF2B5EF4-FFF2-40B4-BE49-F238E27FC236}">
              <a16:creationId xmlns:a16="http://schemas.microsoft.com/office/drawing/2014/main" id="{00000000-0008-0000-0700-000092030000}"/>
            </a:ext>
          </a:extLst>
        </xdr:cNvPr>
        <xdr:cNvCxnSpPr/>
      </xdr:nvCxnSpPr>
      <xdr:spPr>
        <a:xfrm flipH="1" flipV="1">
          <a:off x="3481009" y="3780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206</xdr:row>
      <xdr:rowOff>134252</xdr:rowOff>
    </xdr:from>
    <xdr:to>
      <xdr:col>5</xdr:col>
      <xdr:colOff>1652211</xdr:colOff>
      <xdr:row>206</xdr:row>
      <xdr:rowOff>417164</xdr:rowOff>
    </xdr:to>
    <xdr:cxnSp macro="">
      <xdr:nvCxnSpPr>
        <xdr:cNvPr id="915" name="Straight Connector 914">
          <a:extLst>
            <a:ext uri="{FF2B5EF4-FFF2-40B4-BE49-F238E27FC236}">
              <a16:creationId xmlns:a16="http://schemas.microsoft.com/office/drawing/2014/main" id="{00000000-0008-0000-0700-000093030000}"/>
            </a:ext>
          </a:extLst>
        </xdr:cNvPr>
        <xdr:cNvCxnSpPr/>
      </xdr:nvCxnSpPr>
      <xdr:spPr>
        <a:xfrm flipH="1" flipV="1">
          <a:off x="3747710" y="3780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207</xdr:row>
      <xdr:rowOff>127000</xdr:rowOff>
    </xdr:from>
    <xdr:to>
      <xdr:col>5</xdr:col>
      <xdr:colOff>356235</xdr:colOff>
      <xdr:row>207</xdr:row>
      <xdr:rowOff>309880</xdr:rowOff>
    </xdr:to>
    <xdr:cxnSp macro="">
      <xdr:nvCxnSpPr>
        <xdr:cNvPr id="916" name="Straight Connector 915">
          <a:extLst>
            <a:ext uri="{FF2B5EF4-FFF2-40B4-BE49-F238E27FC236}">
              <a16:creationId xmlns:a16="http://schemas.microsoft.com/office/drawing/2014/main" id="{00000000-0008-0000-0700-000094030000}"/>
            </a:ext>
          </a:extLst>
        </xdr:cNvPr>
        <xdr:cNvCxnSpPr/>
      </xdr:nvCxnSpPr>
      <xdr:spPr>
        <a:xfrm flipH="1" flipV="1">
          <a:off x="3480435" y="37983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207</xdr:row>
      <xdr:rowOff>152400</xdr:rowOff>
    </xdr:from>
    <xdr:to>
      <xdr:col>5</xdr:col>
      <xdr:colOff>1676400</xdr:colOff>
      <xdr:row>207</xdr:row>
      <xdr:rowOff>152400</xdr:rowOff>
    </xdr:to>
    <xdr:cxnSp macro="">
      <xdr:nvCxnSpPr>
        <xdr:cNvPr id="917" name="Straight Connector 916">
          <a:extLst>
            <a:ext uri="{FF2B5EF4-FFF2-40B4-BE49-F238E27FC236}">
              <a16:creationId xmlns:a16="http://schemas.microsoft.com/office/drawing/2014/main" id="{00000000-0008-0000-0700-000095030000}"/>
            </a:ext>
          </a:extLst>
        </xdr:cNvPr>
        <xdr:cNvCxnSpPr/>
      </xdr:nvCxnSpPr>
      <xdr:spPr>
        <a:xfrm>
          <a:off x="3486150" y="380085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207</xdr:row>
      <xdr:rowOff>127000</xdr:rowOff>
    </xdr:from>
    <xdr:to>
      <xdr:col>5</xdr:col>
      <xdr:colOff>356810</xdr:colOff>
      <xdr:row>207</xdr:row>
      <xdr:rowOff>409912</xdr:rowOff>
    </xdr:to>
    <xdr:cxnSp macro="">
      <xdr:nvCxnSpPr>
        <xdr:cNvPr id="918" name="Straight Connector 917">
          <a:extLst>
            <a:ext uri="{FF2B5EF4-FFF2-40B4-BE49-F238E27FC236}">
              <a16:creationId xmlns:a16="http://schemas.microsoft.com/office/drawing/2014/main" id="{00000000-0008-0000-0700-000096030000}"/>
            </a:ext>
          </a:extLst>
        </xdr:cNvPr>
        <xdr:cNvCxnSpPr/>
      </xdr:nvCxnSpPr>
      <xdr:spPr>
        <a:xfrm flipH="1" flipV="1">
          <a:off x="3481009" y="37983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207</xdr:row>
      <xdr:rowOff>134252</xdr:rowOff>
    </xdr:from>
    <xdr:to>
      <xdr:col>5</xdr:col>
      <xdr:colOff>1652211</xdr:colOff>
      <xdr:row>207</xdr:row>
      <xdr:rowOff>417164</xdr:rowOff>
    </xdr:to>
    <xdr:cxnSp macro="">
      <xdr:nvCxnSpPr>
        <xdr:cNvPr id="919" name="Straight Connector 918">
          <a:extLst>
            <a:ext uri="{FF2B5EF4-FFF2-40B4-BE49-F238E27FC236}">
              <a16:creationId xmlns:a16="http://schemas.microsoft.com/office/drawing/2014/main" id="{00000000-0008-0000-0700-000097030000}"/>
            </a:ext>
          </a:extLst>
        </xdr:cNvPr>
        <xdr:cNvCxnSpPr/>
      </xdr:nvCxnSpPr>
      <xdr:spPr>
        <a:xfrm flipH="1" flipV="1">
          <a:off x="3747710" y="37990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208</xdr:row>
      <xdr:rowOff>123824</xdr:rowOff>
    </xdr:from>
    <xdr:to>
      <xdr:col>5</xdr:col>
      <xdr:colOff>1428750</xdr:colOff>
      <xdr:row>208</xdr:row>
      <xdr:rowOff>1219199</xdr:rowOff>
    </xdr:to>
    <xdr:sp macro="" textlink="">
      <xdr:nvSpPr>
        <xdr:cNvPr id="920" name="Rounded Rectangle 919">
          <a:extLst>
            <a:ext uri="{FF2B5EF4-FFF2-40B4-BE49-F238E27FC236}">
              <a16:creationId xmlns:a16="http://schemas.microsoft.com/office/drawing/2014/main" id="{00000000-0008-0000-0700-000098030000}"/>
            </a:ext>
          </a:extLst>
        </xdr:cNvPr>
        <xdr:cNvSpPr/>
      </xdr:nvSpPr>
      <xdr:spPr>
        <a:xfrm>
          <a:off x="3745230" y="381628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208</xdr:row>
      <xdr:rowOff>238127</xdr:rowOff>
    </xdr:from>
    <xdr:to>
      <xdr:col>5</xdr:col>
      <xdr:colOff>790575</xdr:colOff>
      <xdr:row>208</xdr:row>
      <xdr:rowOff>361950</xdr:rowOff>
    </xdr:to>
    <xdr:cxnSp macro="">
      <xdr:nvCxnSpPr>
        <xdr:cNvPr id="921" name="Straight Connector 920">
          <a:extLst>
            <a:ext uri="{FF2B5EF4-FFF2-40B4-BE49-F238E27FC236}">
              <a16:creationId xmlns:a16="http://schemas.microsoft.com/office/drawing/2014/main" id="{00000000-0008-0000-0700-000099030000}"/>
            </a:ext>
          </a:extLst>
        </xdr:cNvPr>
        <xdr:cNvCxnSpPr/>
      </xdr:nvCxnSpPr>
      <xdr:spPr>
        <a:xfrm flipH="1" flipV="1">
          <a:off x="3749041" y="382238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208</xdr:row>
      <xdr:rowOff>133352</xdr:rowOff>
    </xdr:from>
    <xdr:to>
      <xdr:col>5</xdr:col>
      <xdr:colOff>885825</xdr:colOff>
      <xdr:row>208</xdr:row>
      <xdr:rowOff>257175</xdr:rowOff>
    </xdr:to>
    <xdr:cxnSp macro="">
      <xdr:nvCxnSpPr>
        <xdr:cNvPr id="922" name="Straight Connector 921">
          <a:extLst>
            <a:ext uri="{FF2B5EF4-FFF2-40B4-BE49-F238E27FC236}">
              <a16:creationId xmlns:a16="http://schemas.microsoft.com/office/drawing/2014/main" id="{00000000-0008-0000-0700-00009A030000}"/>
            </a:ext>
          </a:extLst>
        </xdr:cNvPr>
        <xdr:cNvCxnSpPr/>
      </xdr:nvCxnSpPr>
      <xdr:spPr>
        <a:xfrm flipH="1" flipV="1">
          <a:off x="3745231" y="381723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206</xdr:row>
      <xdr:rowOff>127000</xdr:rowOff>
    </xdr:from>
    <xdr:to>
      <xdr:col>5</xdr:col>
      <xdr:colOff>356235</xdr:colOff>
      <xdr:row>206</xdr:row>
      <xdr:rowOff>309880</xdr:rowOff>
    </xdr:to>
    <xdr:cxnSp macro="">
      <xdr:nvCxnSpPr>
        <xdr:cNvPr id="923" name="Straight Connector 922">
          <a:extLst>
            <a:ext uri="{FF2B5EF4-FFF2-40B4-BE49-F238E27FC236}">
              <a16:creationId xmlns:a16="http://schemas.microsoft.com/office/drawing/2014/main" id="{00000000-0008-0000-0700-00009B030000}"/>
            </a:ext>
          </a:extLst>
        </xdr:cNvPr>
        <xdr:cNvCxnSpPr/>
      </xdr:nvCxnSpPr>
      <xdr:spPr>
        <a:xfrm flipH="1" flipV="1">
          <a:off x="3480435" y="3780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206</xdr:row>
      <xdr:rowOff>400050</xdr:rowOff>
    </xdr:from>
    <xdr:to>
      <xdr:col>5</xdr:col>
      <xdr:colOff>1666875</xdr:colOff>
      <xdr:row>206</xdr:row>
      <xdr:rowOff>400050</xdr:rowOff>
    </xdr:to>
    <xdr:cxnSp macro="">
      <xdr:nvCxnSpPr>
        <xdr:cNvPr id="924" name="Straight Connector 923">
          <a:extLst>
            <a:ext uri="{FF2B5EF4-FFF2-40B4-BE49-F238E27FC236}">
              <a16:creationId xmlns:a16="http://schemas.microsoft.com/office/drawing/2014/main" id="{00000000-0008-0000-0700-00009C030000}"/>
            </a:ext>
          </a:extLst>
        </xdr:cNvPr>
        <xdr:cNvCxnSpPr/>
      </xdr:nvCxnSpPr>
      <xdr:spPr>
        <a:xfrm>
          <a:off x="3476625" y="378523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206</xdr:row>
      <xdr:rowOff>127000</xdr:rowOff>
    </xdr:from>
    <xdr:to>
      <xdr:col>5</xdr:col>
      <xdr:colOff>356810</xdr:colOff>
      <xdr:row>206</xdr:row>
      <xdr:rowOff>409912</xdr:rowOff>
    </xdr:to>
    <xdr:cxnSp macro="">
      <xdr:nvCxnSpPr>
        <xdr:cNvPr id="925" name="Straight Connector 924">
          <a:extLst>
            <a:ext uri="{FF2B5EF4-FFF2-40B4-BE49-F238E27FC236}">
              <a16:creationId xmlns:a16="http://schemas.microsoft.com/office/drawing/2014/main" id="{00000000-0008-0000-0700-00009D030000}"/>
            </a:ext>
          </a:extLst>
        </xdr:cNvPr>
        <xdr:cNvCxnSpPr/>
      </xdr:nvCxnSpPr>
      <xdr:spPr>
        <a:xfrm flipH="1" flipV="1">
          <a:off x="3481009" y="3780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206</xdr:row>
      <xdr:rowOff>134252</xdr:rowOff>
    </xdr:from>
    <xdr:to>
      <xdr:col>5</xdr:col>
      <xdr:colOff>1652211</xdr:colOff>
      <xdr:row>206</xdr:row>
      <xdr:rowOff>417164</xdr:rowOff>
    </xdr:to>
    <xdr:cxnSp macro="">
      <xdr:nvCxnSpPr>
        <xdr:cNvPr id="926" name="Straight Connector 925">
          <a:extLst>
            <a:ext uri="{FF2B5EF4-FFF2-40B4-BE49-F238E27FC236}">
              <a16:creationId xmlns:a16="http://schemas.microsoft.com/office/drawing/2014/main" id="{00000000-0008-0000-0700-00009E030000}"/>
            </a:ext>
          </a:extLst>
        </xdr:cNvPr>
        <xdr:cNvCxnSpPr/>
      </xdr:nvCxnSpPr>
      <xdr:spPr>
        <a:xfrm flipH="1" flipV="1">
          <a:off x="3747710" y="3780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207</xdr:row>
      <xdr:rowOff>127000</xdr:rowOff>
    </xdr:from>
    <xdr:to>
      <xdr:col>5</xdr:col>
      <xdr:colOff>356235</xdr:colOff>
      <xdr:row>207</xdr:row>
      <xdr:rowOff>309880</xdr:rowOff>
    </xdr:to>
    <xdr:cxnSp macro="">
      <xdr:nvCxnSpPr>
        <xdr:cNvPr id="927" name="Straight Connector 926">
          <a:extLst>
            <a:ext uri="{FF2B5EF4-FFF2-40B4-BE49-F238E27FC236}">
              <a16:creationId xmlns:a16="http://schemas.microsoft.com/office/drawing/2014/main" id="{00000000-0008-0000-0700-00009F030000}"/>
            </a:ext>
          </a:extLst>
        </xdr:cNvPr>
        <xdr:cNvCxnSpPr/>
      </xdr:nvCxnSpPr>
      <xdr:spPr>
        <a:xfrm flipH="1" flipV="1">
          <a:off x="3480435" y="37983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207</xdr:row>
      <xdr:rowOff>152400</xdr:rowOff>
    </xdr:from>
    <xdr:to>
      <xdr:col>5</xdr:col>
      <xdr:colOff>1676400</xdr:colOff>
      <xdr:row>207</xdr:row>
      <xdr:rowOff>152400</xdr:rowOff>
    </xdr:to>
    <xdr:cxnSp macro="">
      <xdr:nvCxnSpPr>
        <xdr:cNvPr id="928" name="Straight Connector 927">
          <a:extLst>
            <a:ext uri="{FF2B5EF4-FFF2-40B4-BE49-F238E27FC236}">
              <a16:creationId xmlns:a16="http://schemas.microsoft.com/office/drawing/2014/main" id="{00000000-0008-0000-0700-0000A0030000}"/>
            </a:ext>
          </a:extLst>
        </xdr:cNvPr>
        <xdr:cNvCxnSpPr/>
      </xdr:nvCxnSpPr>
      <xdr:spPr>
        <a:xfrm>
          <a:off x="3486150" y="380085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207</xdr:row>
      <xdr:rowOff>127000</xdr:rowOff>
    </xdr:from>
    <xdr:to>
      <xdr:col>5</xdr:col>
      <xdr:colOff>356810</xdr:colOff>
      <xdr:row>207</xdr:row>
      <xdr:rowOff>409912</xdr:rowOff>
    </xdr:to>
    <xdr:cxnSp macro="">
      <xdr:nvCxnSpPr>
        <xdr:cNvPr id="929" name="Straight Connector 928">
          <a:extLst>
            <a:ext uri="{FF2B5EF4-FFF2-40B4-BE49-F238E27FC236}">
              <a16:creationId xmlns:a16="http://schemas.microsoft.com/office/drawing/2014/main" id="{00000000-0008-0000-0700-0000A1030000}"/>
            </a:ext>
          </a:extLst>
        </xdr:cNvPr>
        <xdr:cNvCxnSpPr/>
      </xdr:nvCxnSpPr>
      <xdr:spPr>
        <a:xfrm flipH="1" flipV="1">
          <a:off x="3481009" y="37983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207</xdr:row>
      <xdr:rowOff>134252</xdr:rowOff>
    </xdr:from>
    <xdr:to>
      <xdr:col>5</xdr:col>
      <xdr:colOff>1652211</xdr:colOff>
      <xdr:row>207</xdr:row>
      <xdr:rowOff>417164</xdr:rowOff>
    </xdr:to>
    <xdr:cxnSp macro="">
      <xdr:nvCxnSpPr>
        <xdr:cNvPr id="930" name="Straight Connector 929">
          <a:extLst>
            <a:ext uri="{FF2B5EF4-FFF2-40B4-BE49-F238E27FC236}">
              <a16:creationId xmlns:a16="http://schemas.microsoft.com/office/drawing/2014/main" id="{00000000-0008-0000-0700-0000A2030000}"/>
            </a:ext>
          </a:extLst>
        </xdr:cNvPr>
        <xdr:cNvCxnSpPr/>
      </xdr:nvCxnSpPr>
      <xdr:spPr>
        <a:xfrm flipH="1" flipV="1">
          <a:off x="3747710" y="379904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208</xdr:row>
      <xdr:rowOff>123824</xdr:rowOff>
    </xdr:from>
    <xdr:to>
      <xdr:col>5</xdr:col>
      <xdr:colOff>1428750</xdr:colOff>
      <xdr:row>208</xdr:row>
      <xdr:rowOff>1219199</xdr:rowOff>
    </xdr:to>
    <xdr:sp macro="" textlink="">
      <xdr:nvSpPr>
        <xdr:cNvPr id="931" name="Rounded Rectangle 930">
          <a:extLst>
            <a:ext uri="{FF2B5EF4-FFF2-40B4-BE49-F238E27FC236}">
              <a16:creationId xmlns:a16="http://schemas.microsoft.com/office/drawing/2014/main" id="{00000000-0008-0000-0700-0000A3030000}"/>
            </a:ext>
          </a:extLst>
        </xdr:cNvPr>
        <xdr:cNvSpPr/>
      </xdr:nvSpPr>
      <xdr:spPr>
        <a:xfrm>
          <a:off x="3745230" y="381628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208</xdr:row>
      <xdr:rowOff>238127</xdr:rowOff>
    </xdr:from>
    <xdr:to>
      <xdr:col>5</xdr:col>
      <xdr:colOff>790575</xdr:colOff>
      <xdr:row>208</xdr:row>
      <xdr:rowOff>361950</xdr:rowOff>
    </xdr:to>
    <xdr:cxnSp macro="">
      <xdr:nvCxnSpPr>
        <xdr:cNvPr id="932" name="Straight Connector 931">
          <a:extLst>
            <a:ext uri="{FF2B5EF4-FFF2-40B4-BE49-F238E27FC236}">
              <a16:creationId xmlns:a16="http://schemas.microsoft.com/office/drawing/2014/main" id="{00000000-0008-0000-0700-0000A4030000}"/>
            </a:ext>
          </a:extLst>
        </xdr:cNvPr>
        <xdr:cNvCxnSpPr/>
      </xdr:nvCxnSpPr>
      <xdr:spPr>
        <a:xfrm flipH="1" flipV="1">
          <a:off x="3749041" y="382238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208</xdr:row>
      <xdr:rowOff>133352</xdr:rowOff>
    </xdr:from>
    <xdr:to>
      <xdr:col>5</xdr:col>
      <xdr:colOff>885825</xdr:colOff>
      <xdr:row>208</xdr:row>
      <xdr:rowOff>257175</xdr:rowOff>
    </xdr:to>
    <xdr:cxnSp macro="">
      <xdr:nvCxnSpPr>
        <xdr:cNvPr id="933" name="Straight Connector 932">
          <a:extLst>
            <a:ext uri="{FF2B5EF4-FFF2-40B4-BE49-F238E27FC236}">
              <a16:creationId xmlns:a16="http://schemas.microsoft.com/office/drawing/2014/main" id="{00000000-0008-0000-0700-0000A5030000}"/>
            </a:ext>
          </a:extLst>
        </xdr:cNvPr>
        <xdr:cNvCxnSpPr/>
      </xdr:nvCxnSpPr>
      <xdr:spPr>
        <a:xfrm flipH="1" flipV="1">
          <a:off x="3745231" y="381723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206</xdr:row>
      <xdr:rowOff>127000</xdr:rowOff>
    </xdr:from>
    <xdr:to>
      <xdr:col>5</xdr:col>
      <xdr:colOff>356235</xdr:colOff>
      <xdr:row>206</xdr:row>
      <xdr:rowOff>309880</xdr:rowOff>
    </xdr:to>
    <xdr:cxnSp macro="">
      <xdr:nvCxnSpPr>
        <xdr:cNvPr id="934" name="Straight Connector 933">
          <a:extLst>
            <a:ext uri="{FF2B5EF4-FFF2-40B4-BE49-F238E27FC236}">
              <a16:creationId xmlns:a16="http://schemas.microsoft.com/office/drawing/2014/main" id="{00000000-0008-0000-0700-0000A6030000}"/>
            </a:ext>
          </a:extLst>
        </xdr:cNvPr>
        <xdr:cNvCxnSpPr/>
      </xdr:nvCxnSpPr>
      <xdr:spPr>
        <a:xfrm flipH="1" flipV="1">
          <a:off x="3480435" y="378002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206</xdr:row>
      <xdr:rowOff>400050</xdr:rowOff>
    </xdr:from>
    <xdr:to>
      <xdr:col>5</xdr:col>
      <xdr:colOff>1666875</xdr:colOff>
      <xdr:row>206</xdr:row>
      <xdr:rowOff>400050</xdr:rowOff>
    </xdr:to>
    <xdr:cxnSp macro="">
      <xdr:nvCxnSpPr>
        <xdr:cNvPr id="935" name="Straight Connector 934">
          <a:extLst>
            <a:ext uri="{FF2B5EF4-FFF2-40B4-BE49-F238E27FC236}">
              <a16:creationId xmlns:a16="http://schemas.microsoft.com/office/drawing/2014/main" id="{00000000-0008-0000-0700-0000A7030000}"/>
            </a:ext>
          </a:extLst>
        </xdr:cNvPr>
        <xdr:cNvCxnSpPr/>
      </xdr:nvCxnSpPr>
      <xdr:spPr>
        <a:xfrm>
          <a:off x="3476625" y="378523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206</xdr:row>
      <xdr:rowOff>127000</xdr:rowOff>
    </xdr:from>
    <xdr:to>
      <xdr:col>5</xdr:col>
      <xdr:colOff>356810</xdr:colOff>
      <xdr:row>206</xdr:row>
      <xdr:rowOff>409912</xdr:rowOff>
    </xdr:to>
    <xdr:cxnSp macro="">
      <xdr:nvCxnSpPr>
        <xdr:cNvPr id="936" name="Straight Connector 935">
          <a:extLst>
            <a:ext uri="{FF2B5EF4-FFF2-40B4-BE49-F238E27FC236}">
              <a16:creationId xmlns:a16="http://schemas.microsoft.com/office/drawing/2014/main" id="{00000000-0008-0000-0700-0000A8030000}"/>
            </a:ext>
          </a:extLst>
        </xdr:cNvPr>
        <xdr:cNvCxnSpPr/>
      </xdr:nvCxnSpPr>
      <xdr:spPr>
        <a:xfrm flipH="1" flipV="1">
          <a:off x="3481009" y="378002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206</xdr:row>
      <xdr:rowOff>134252</xdr:rowOff>
    </xdr:from>
    <xdr:to>
      <xdr:col>5</xdr:col>
      <xdr:colOff>1652211</xdr:colOff>
      <xdr:row>206</xdr:row>
      <xdr:rowOff>417164</xdr:rowOff>
    </xdr:to>
    <xdr:cxnSp macro="">
      <xdr:nvCxnSpPr>
        <xdr:cNvPr id="937" name="Straight Connector 936">
          <a:extLst>
            <a:ext uri="{FF2B5EF4-FFF2-40B4-BE49-F238E27FC236}">
              <a16:creationId xmlns:a16="http://schemas.microsoft.com/office/drawing/2014/main" id="{00000000-0008-0000-0700-0000A9030000}"/>
            </a:ext>
          </a:extLst>
        </xdr:cNvPr>
        <xdr:cNvCxnSpPr/>
      </xdr:nvCxnSpPr>
      <xdr:spPr>
        <a:xfrm flipH="1" flipV="1">
          <a:off x="3747710" y="378075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207</xdr:row>
      <xdr:rowOff>127000</xdr:rowOff>
    </xdr:from>
    <xdr:to>
      <xdr:col>5</xdr:col>
      <xdr:colOff>356235</xdr:colOff>
      <xdr:row>207</xdr:row>
      <xdr:rowOff>309880</xdr:rowOff>
    </xdr:to>
    <xdr:cxnSp macro="">
      <xdr:nvCxnSpPr>
        <xdr:cNvPr id="938" name="Straight Connector 937">
          <a:extLst>
            <a:ext uri="{FF2B5EF4-FFF2-40B4-BE49-F238E27FC236}">
              <a16:creationId xmlns:a16="http://schemas.microsoft.com/office/drawing/2014/main" id="{00000000-0008-0000-0700-0000AA030000}"/>
            </a:ext>
          </a:extLst>
        </xdr:cNvPr>
        <xdr:cNvCxnSpPr/>
      </xdr:nvCxnSpPr>
      <xdr:spPr>
        <a:xfrm flipH="1" flipV="1">
          <a:off x="3480435" y="379831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207</xdr:row>
      <xdr:rowOff>152400</xdr:rowOff>
    </xdr:from>
    <xdr:to>
      <xdr:col>5</xdr:col>
      <xdr:colOff>1676400</xdr:colOff>
      <xdr:row>207</xdr:row>
      <xdr:rowOff>152400</xdr:rowOff>
    </xdr:to>
    <xdr:cxnSp macro="">
      <xdr:nvCxnSpPr>
        <xdr:cNvPr id="939" name="Straight Connector 938">
          <a:extLst>
            <a:ext uri="{FF2B5EF4-FFF2-40B4-BE49-F238E27FC236}">
              <a16:creationId xmlns:a16="http://schemas.microsoft.com/office/drawing/2014/main" id="{00000000-0008-0000-0700-0000AB030000}"/>
            </a:ext>
          </a:extLst>
        </xdr:cNvPr>
        <xdr:cNvCxnSpPr/>
      </xdr:nvCxnSpPr>
      <xdr:spPr>
        <a:xfrm>
          <a:off x="3486150" y="380085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207</xdr:row>
      <xdr:rowOff>127000</xdr:rowOff>
    </xdr:from>
    <xdr:to>
      <xdr:col>5</xdr:col>
      <xdr:colOff>356810</xdr:colOff>
      <xdr:row>207</xdr:row>
      <xdr:rowOff>409912</xdr:rowOff>
    </xdr:to>
    <xdr:cxnSp macro="">
      <xdr:nvCxnSpPr>
        <xdr:cNvPr id="940" name="Straight Connector 939">
          <a:extLst>
            <a:ext uri="{FF2B5EF4-FFF2-40B4-BE49-F238E27FC236}">
              <a16:creationId xmlns:a16="http://schemas.microsoft.com/office/drawing/2014/main" id="{00000000-0008-0000-0700-0000AC030000}"/>
            </a:ext>
          </a:extLst>
        </xdr:cNvPr>
        <xdr:cNvCxnSpPr/>
      </xdr:nvCxnSpPr>
      <xdr:spPr>
        <a:xfrm flipH="1" flipV="1">
          <a:off x="3481009" y="379831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208</xdr:row>
      <xdr:rowOff>123824</xdr:rowOff>
    </xdr:from>
    <xdr:to>
      <xdr:col>5</xdr:col>
      <xdr:colOff>1428750</xdr:colOff>
      <xdr:row>208</xdr:row>
      <xdr:rowOff>1219199</xdr:rowOff>
    </xdr:to>
    <xdr:sp macro="" textlink="">
      <xdr:nvSpPr>
        <xdr:cNvPr id="941" name="Rounded Rectangle 940">
          <a:extLst>
            <a:ext uri="{FF2B5EF4-FFF2-40B4-BE49-F238E27FC236}">
              <a16:creationId xmlns:a16="http://schemas.microsoft.com/office/drawing/2014/main" id="{00000000-0008-0000-0700-0000AD030000}"/>
            </a:ext>
          </a:extLst>
        </xdr:cNvPr>
        <xdr:cNvSpPr/>
      </xdr:nvSpPr>
      <xdr:spPr>
        <a:xfrm>
          <a:off x="3745230" y="381628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208</xdr:row>
      <xdr:rowOff>238127</xdr:rowOff>
    </xdr:from>
    <xdr:to>
      <xdr:col>5</xdr:col>
      <xdr:colOff>790575</xdr:colOff>
      <xdr:row>208</xdr:row>
      <xdr:rowOff>361950</xdr:rowOff>
    </xdr:to>
    <xdr:cxnSp macro="">
      <xdr:nvCxnSpPr>
        <xdr:cNvPr id="942" name="Straight Connector 941">
          <a:extLst>
            <a:ext uri="{FF2B5EF4-FFF2-40B4-BE49-F238E27FC236}">
              <a16:creationId xmlns:a16="http://schemas.microsoft.com/office/drawing/2014/main" id="{00000000-0008-0000-0700-0000AE030000}"/>
            </a:ext>
          </a:extLst>
        </xdr:cNvPr>
        <xdr:cNvCxnSpPr/>
      </xdr:nvCxnSpPr>
      <xdr:spPr>
        <a:xfrm flipH="1" flipV="1">
          <a:off x="3749041" y="382238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208</xdr:row>
      <xdr:rowOff>133352</xdr:rowOff>
    </xdr:from>
    <xdr:to>
      <xdr:col>5</xdr:col>
      <xdr:colOff>885825</xdr:colOff>
      <xdr:row>208</xdr:row>
      <xdr:rowOff>257175</xdr:rowOff>
    </xdr:to>
    <xdr:cxnSp macro="">
      <xdr:nvCxnSpPr>
        <xdr:cNvPr id="943" name="Straight Connector 942">
          <a:extLst>
            <a:ext uri="{FF2B5EF4-FFF2-40B4-BE49-F238E27FC236}">
              <a16:creationId xmlns:a16="http://schemas.microsoft.com/office/drawing/2014/main" id="{00000000-0008-0000-0700-0000AF030000}"/>
            </a:ext>
          </a:extLst>
        </xdr:cNvPr>
        <xdr:cNvCxnSpPr/>
      </xdr:nvCxnSpPr>
      <xdr:spPr>
        <a:xfrm flipH="1" flipV="1">
          <a:off x="3745231" y="381723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212</xdr:row>
      <xdr:rowOff>127000</xdr:rowOff>
    </xdr:from>
    <xdr:to>
      <xdr:col>5</xdr:col>
      <xdr:colOff>356235</xdr:colOff>
      <xdr:row>212</xdr:row>
      <xdr:rowOff>309880</xdr:rowOff>
    </xdr:to>
    <xdr:cxnSp macro="">
      <xdr:nvCxnSpPr>
        <xdr:cNvPr id="944" name="Straight Connector 943">
          <a:extLst>
            <a:ext uri="{FF2B5EF4-FFF2-40B4-BE49-F238E27FC236}">
              <a16:creationId xmlns:a16="http://schemas.microsoft.com/office/drawing/2014/main" id="{00000000-0008-0000-0700-0000B0030000}"/>
            </a:ext>
          </a:extLst>
        </xdr:cNvPr>
        <xdr:cNvCxnSpPr/>
      </xdr:nvCxnSpPr>
      <xdr:spPr>
        <a:xfrm flipH="1" flipV="1">
          <a:off x="3480435" y="3889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212</xdr:row>
      <xdr:rowOff>400050</xdr:rowOff>
    </xdr:from>
    <xdr:to>
      <xdr:col>5</xdr:col>
      <xdr:colOff>1666875</xdr:colOff>
      <xdr:row>212</xdr:row>
      <xdr:rowOff>400050</xdr:rowOff>
    </xdr:to>
    <xdr:cxnSp macro="">
      <xdr:nvCxnSpPr>
        <xdr:cNvPr id="945" name="Straight Connector 944">
          <a:extLst>
            <a:ext uri="{FF2B5EF4-FFF2-40B4-BE49-F238E27FC236}">
              <a16:creationId xmlns:a16="http://schemas.microsoft.com/office/drawing/2014/main" id="{00000000-0008-0000-0700-0000B1030000}"/>
            </a:ext>
          </a:extLst>
        </xdr:cNvPr>
        <xdr:cNvCxnSpPr/>
      </xdr:nvCxnSpPr>
      <xdr:spPr>
        <a:xfrm>
          <a:off x="3476625" y="38949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212</xdr:row>
      <xdr:rowOff>127000</xdr:rowOff>
    </xdr:from>
    <xdr:to>
      <xdr:col>5</xdr:col>
      <xdr:colOff>356810</xdr:colOff>
      <xdr:row>212</xdr:row>
      <xdr:rowOff>409912</xdr:rowOff>
    </xdr:to>
    <xdr:cxnSp macro="">
      <xdr:nvCxnSpPr>
        <xdr:cNvPr id="946" name="Straight Connector 945">
          <a:extLst>
            <a:ext uri="{FF2B5EF4-FFF2-40B4-BE49-F238E27FC236}">
              <a16:creationId xmlns:a16="http://schemas.microsoft.com/office/drawing/2014/main" id="{00000000-0008-0000-0700-0000B2030000}"/>
            </a:ext>
          </a:extLst>
        </xdr:cNvPr>
        <xdr:cNvCxnSpPr/>
      </xdr:nvCxnSpPr>
      <xdr:spPr>
        <a:xfrm flipH="1" flipV="1">
          <a:off x="3481009" y="3889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212</xdr:row>
      <xdr:rowOff>134252</xdr:rowOff>
    </xdr:from>
    <xdr:to>
      <xdr:col>5</xdr:col>
      <xdr:colOff>1652211</xdr:colOff>
      <xdr:row>212</xdr:row>
      <xdr:rowOff>417164</xdr:rowOff>
    </xdr:to>
    <xdr:cxnSp macro="">
      <xdr:nvCxnSpPr>
        <xdr:cNvPr id="947" name="Straight Connector 946">
          <a:extLst>
            <a:ext uri="{FF2B5EF4-FFF2-40B4-BE49-F238E27FC236}">
              <a16:creationId xmlns:a16="http://schemas.microsoft.com/office/drawing/2014/main" id="{00000000-0008-0000-0700-0000B3030000}"/>
            </a:ext>
          </a:extLst>
        </xdr:cNvPr>
        <xdr:cNvCxnSpPr/>
      </xdr:nvCxnSpPr>
      <xdr:spPr>
        <a:xfrm flipH="1" flipV="1">
          <a:off x="3747710" y="3890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213</xdr:row>
      <xdr:rowOff>127000</xdr:rowOff>
    </xdr:from>
    <xdr:to>
      <xdr:col>5</xdr:col>
      <xdr:colOff>356235</xdr:colOff>
      <xdr:row>213</xdr:row>
      <xdr:rowOff>309880</xdr:rowOff>
    </xdr:to>
    <xdr:cxnSp macro="">
      <xdr:nvCxnSpPr>
        <xdr:cNvPr id="948" name="Straight Connector 947">
          <a:extLst>
            <a:ext uri="{FF2B5EF4-FFF2-40B4-BE49-F238E27FC236}">
              <a16:creationId xmlns:a16="http://schemas.microsoft.com/office/drawing/2014/main" id="{00000000-0008-0000-0700-0000B4030000}"/>
            </a:ext>
          </a:extLst>
        </xdr:cNvPr>
        <xdr:cNvCxnSpPr/>
      </xdr:nvCxnSpPr>
      <xdr:spPr>
        <a:xfrm flipH="1" flipV="1">
          <a:off x="3480435" y="39080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213</xdr:row>
      <xdr:rowOff>152400</xdr:rowOff>
    </xdr:from>
    <xdr:to>
      <xdr:col>5</xdr:col>
      <xdr:colOff>1676400</xdr:colOff>
      <xdr:row>213</xdr:row>
      <xdr:rowOff>152400</xdr:rowOff>
    </xdr:to>
    <xdr:cxnSp macro="">
      <xdr:nvCxnSpPr>
        <xdr:cNvPr id="949" name="Straight Connector 948">
          <a:extLst>
            <a:ext uri="{FF2B5EF4-FFF2-40B4-BE49-F238E27FC236}">
              <a16:creationId xmlns:a16="http://schemas.microsoft.com/office/drawing/2014/main" id="{00000000-0008-0000-0700-0000B5030000}"/>
            </a:ext>
          </a:extLst>
        </xdr:cNvPr>
        <xdr:cNvCxnSpPr/>
      </xdr:nvCxnSpPr>
      <xdr:spPr>
        <a:xfrm>
          <a:off x="3486150" y="39105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213</xdr:row>
      <xdr:rowOff>127000</xdr:rowOff>
    </xdr:from>
    <xdr:to>
      <xdr:col>5</xdr:col>
      <xdr:colOff>356810</xdr:colOff>
      <xdr:row>213</xdr:row>
      <xdr:rowOff>409912</xdr:rowOff>
    </xdr:to>
    <xdr:cxnSp macro="">
      <xdr:nvCxnSpPr>
        <xdr:cNvPr id="950" name="Straight Connector 949">
          <a:extLst>
            <a:ext uri="{FF2B5EF4-FFF2-40B4-BE49-F238E27FC236}">
              <a16:creationId xmlns:a16="http://schemas.microsoft.com/office/drawing/2014/main" id="{00000000-0008-0000-0700-0000B6030000}"/>
            </a:ext>
          </a:extLst>
        </xdr:cNvPr>
        <xdr:cNvCxnSpPr/>
      </xdr:nvCxnSpPr>
      <xdr:spPr>
        <a:xfrm flipH="1" flipV="1">
          <a:off x="3481009" y="39080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213</xdr:row>
      <xdr:rowOff>134252</xdr:rowOff>
    </xdr:from>
    <xdr:to>
      <xdr:col>5</xdr:col>
      <xdr:colOff>1652211</xdr:colOff>
      <xdr:row>213</xdr:row>
      <xdr:rowOff>417164</xdr:rowOff>
    </xdr:to>
    <xdr:cxnSp macro="">
      <xdr:nvCxnSpPr>
        <xdr:cNvPr id="951" name="Straight Connector 950">
          <a:extLst>
            <a:ext uri="{FF2B5EF4-FFF2-40B4-BE49-F238E27FC236}">
              <a16:creationId xmlns:a16="http://schemas.microsoft.com/office/drawing/2014/main" id="{00000000-0008-0000-0700-0000B7030000}"/>
            </a:ext>
          </a:extLst>
        </xdr:cNvPr>
        <xdr:cNvCxnSpPr/>
      </xdr:nvCxnSpPr>
      <xdr:spPr>
        <a:xfrm flipH="1" flipV="1">
          <a:off x="3747710" y="39087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214</xdr:row>
      <xdr:rowOff>123824</xdr:rowOff>
    </xdr:from>
    <xdr:to>
      <xdr:col>5</xdr:col>
      <xdr:colOff>1428750</xdr:colOff>
      <xdr:row>214</xdr:row>
      <xdr:rowOff>1219199</xdr:rowOff>
    </xdr:to>
    <xdr:sp macro="" textlink="">
      <xdr:nvSpPr>
        <xdr:cNvPr id="952" name="Rounded Rectangle 951">
          <a:extLst>
            <a:ext uri="{FF2B5EF4-FFF2-40B4-BE49-F238E27FC236}">
              <a16:creationId xmlns:a16="http://schemas.microsoft.com/office/drawing/2014/main" id="{00000000-0008-0000-0700-0000B8030000}"/>
            </a:ext>
          </a:extLst>
        </xdr:cNvPr>
        <xdr:cNvSpPr/>
      </xdr:nvSpPr>
      <xdr:spPr>
        <a:xfrm>
          <a:off x="3745230" y="39260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214</xdr:row>
      <xdr:rowOff>238127</xdr:rowOff>
    </xdr:from>
    <xdr:to>
      <xdr:col>5</xdr:col>
      <xdr:colOff>790575</xdr:colOff>
      <xdr:row>214</xdr:row>
      <xdr:rowOff>361950</xdr:rowOff>
    </xdr:to>
    <xdr:cxnSp macro="">
      <xdr:nvCxnSpPr>
        <xdr:cNvPr id="953" name="Straight Connector 952">
          <a:extLst>
            <a:ext uri="{FF2B5EF4-FFF2-40B4-BE49-F238E27FC236}">
              <a16:creationId xmlns:a16="http://schemas.microsoft.com/office/drawing/2014/main" id="{00000000-0008-0000-0700-0000B9030000}"/>
            </a:ext>
          </a:extLst>
        </xdr:cNvPr>
        <xdr:cNvCxnSpPr/>
      </xdr:nvCxnSpPr>
      <xdr:spPr>
        <a:xfrm flipH="1" flipV="1">
          <a:off x="3749041" y="39321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214</xdr:row>
      <xdr:rowOff>133352</xdr:rowOff>
    </xdr:from>
    <xdr:to>
      <xdr:col>5</xdr:col>
      <xdr:colOff>885825</xdr:colOff>
      <xdr:row>214</xdr:row>
      <xdr:rowOff>257175</xdr:rowOff>
    </xdr:to>
    <xdr:cxnSp macro="">
      <xdr:nvCxnSpPr>
        <xdr:cNvPr id="954" name="Straight Connector 953">
          <a:extLst>
            <a:ext uri="{FF2B5EF4-FFF2-40B4-BE49-F238E27FC236}">
              <a16:creationId xmlns:a16="http://schemas.microsoft.com/office/drawing/2014/main" id="{00000000-0008-0000-0700-0000BA030000}"/>
            </a:ext>
          </a:extLst>
        </xdr:cNvPr>
        <xdr:cNvCxnSpPr/>
      </xdr:nvCxnSpPr>
      <xdr:spPr>
        <a:xfrm flipH="1" flipV="1">
          <a:off x="3745231" y="39269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212</xdr:row>
      <xdr:rowOff>127000</xdr:rowOff>
    </xdr:from>
    <xdr:to>
      <xdr:col>5</xdr:col>
      <xdr:colOff>356235</xdr:colOff>
      <xdr:row>212</xdr:row>
      <xdr:rowOff>309880</xdr:rowOff>
    </xdr:to>
    <xdr:cxnSp macro="">
      <xdr:nvCxnSpPr>
        <xdr:cNvPr id="955" name="Straight Connector 954">
          <a:extLst>
            <a:ext uri="{FF2B5EF4-FFF2-40B4-BE49-F238E27FC236}">
              <a16:creationId xmlns:a16="http://schemas.microsoft.com/office/drawing/2014/main" id="{00000000-0008-0000-0700-0000BB030000}"/>
            </a:ext>
          </a:extLst>
        </xdr:cNvPr>
        <xdr:cNvCxnSpPr/>
      </xdr:nvCxnSpPr>
      <xdr:spPr>
        <a:xfrm flipH="1" flipV="1">
          <a:off x="3480435" y="3889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212</xdr:row>
      <xdr:rowOff>400050</xdr:rowOff>
    </xdr:from>
    <xdr:to>
      <xdr:col>5</xdr:col>
      <xdr:colOff>1666875</xdr:colOff>
      <xdr:row>212</xdr:row>
      <xdr:rowOff>400050</xdr:rowOff>
    </xdr:to>
    <xdr:cxnSp macro="">
      <xdr:nvCxnSpPr>
        <xdr:cNvPr id="956" name="Straight Connector 955">
          <a:extLst>
            <a:ext uri="{FF2B5EF4-FFF2-40B4-BE49-F238E27FC236}">
              <a16:creationId xmlns:a16="http://schemas.microsoft.com/office/drawing/2014/main" id="{00000000-0008-0000-0700-0000BC030000}"/>
            </a:ext>
          </a:extLst>
        </xdr:cNvPr>
        <xdr:cNvCxnSpPr/>
      </xdr:nvCxnSpPr>
      <xdr:spPr>
        <a:xfrm>
          <a:off x="3476625" y="38949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212</xdr:row>
      <xdr:rowOff>127000</xdr:rowOff>
    </xdr:from>
    <xdr:to>
      <xdr:col>5</xdr:col>
      <xdr:colOff>356810</xdr:colOff>
      <xdr:row>212</xdr:row>
      <xdr:rowOff>409912</xdr:rowOff>
    </xdr:to>
    <xdr:cxnSp macro="">
      <xdr:nvCxnSpPr>
        <xdr:cNvPr id="957" name="Straight Connector 956">
          <a:extLst>
            <a:ext uri="{FF2B5EF4-FFF2-40B4-BE49-F238E27FC236}">
              <a16:creationId xmlns:a16="http://schemas.microsoft.com/office/drawing/2014/main" id="{00000000-0008-0000-0700-0000BD030000}"/>
            </a:ext>
          </a:extLst>
        </xdr:cNvPr>
        <xdr:cNvCxnSpPr/>
      </xdr:nvCxnSpPr>
      <xdr:spPr>
        <a:xfrm flipH="1" flipV="1">
          <a:off x="3481009" y="3889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212</xdr:row>
      <xdr:rowOff>134252</xdr:rowOff>
    </xdr:from>
    <xdr:to>
      <xdr:col>5</xdr:col>
      <xdr:colOff>1652211</xdr:colOff>
      <xdr:row>212</xdr:row>
      <xdr:rowOff>417164</xdr:rowOff>
    </xdr:to>
    <xdr:cxnSp macro="">
      <xdr:nvCxnSpPr>
        <xdr:cNvPr id="958" name="Straight Connector 957">
          <a:extLst>
            <a:ext uri="{FF2B5EF4-FFF2-40B4-BE49-F238E27FC236}">
              <a16:creationId xmlns:a16="http://schemas.microsoft.com/office/drawing/2014/main" id="{00000000-0008-0000-0700-0000BE030000}"/>
            </a:ext>
          </a:extLst>
        </xdr:cNvPr>
        <xdr:cNvCxnSpPr/>
      </xdr:nvCxnSpPr>
      <xdr:spPr>
        <a:xfrm flipH="1" flipV="1">
          <a:off x="3747710" y="3890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213</xdr:row>
      <xdr:rowOff>127000</xdr:rowOff>
    </xdr:from>
    <xdr:to>
      <xdr:col>5</xdr:col>
      <xdr:colOff>356235</xdr:colOff>
      <xdr:row>213</xdr:row>
      <xdr:rowOff>309880</xdr:rowOff>
    </xdr:to>
    <xdr:cxnSp macro="">
      <xdr:nvCxnSpPr>
        <xdr:cNvPr id="959" name="Straight Connector 958">
          <a:extLst>
            <a:ext uri="{FF2B5EF4-FFF2-40B4-BE49-F238E27FC236}">
              <a16:creationId xmlns:a16="http://schemas.microsoft.com/office/drawing/2014/main" id="{00000000-0008-0000-0700-0000BF030000}"/>
            </a:ext>
          </a:extLst>
        </xdr:cNvPr>
        <xdr:cNvCxnSpPr/>
      </xdr:nvCxnSpPr>
      <xdr:spPr>
        <a:xfrm flipH="1" flipV="1">
          <a:off x="3480435" y="39080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213</xdr:row>
      <xdr:rowOff>152400</xdr:rowOff>
    </xdr:from>
    <xdr:to>
      <xdr:col>5</xdr:col>
      <xdr:colOff>1676400</xdr:colOff>
      <xdr:row>213</xdr:row>
      <xdr:rowOff>152400</xdr:rowOff>
    </xdr:to>
    <xdr:cxnSp macro="">
      <xdr:nvCxnSpPr>
        <xdr:cNvPr id="960" name="Straight Connector 959">
          <a:extLst>
            <a:ext uri="{FF2B5EF4-FFF2-40B4-BE49-F238E27FC236}">
              <a16:creationId xmlns:a16="http://schemas.microsoft.com/office/drawing/2014/main" id="{00000000-0008-0000-0700-0000C0030000}"/>
            </a:ext>
          </a:extLst>
        </xdr:cNvPr>
        <xdr:cNvCxnSpPr/>
      </xdr:nvCxnSpPr>
      <xdr:spPr>
        <a:xfrm>
          <a:off x="3486150" y="39105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213</xdr:row>
      <xdr:rowOff>127000</xdr:rowOff>
    </xdr:from>
    <xdr:to>
      <xdr:col>5</xdr:col>
      <xdr:colOff>356810</xdr:colOff>
      <xdr:row>213</xdr:row>
      <xdr:rowOff>409912</xdr:rowOff>
    </xdr:to>
    <xdr:cxnSp macro="">
      <xdr:nvCxnSpPr>
        <xdr:cNvPr id="961" name="Straight Connector 960">
          <a:extLst>
            <a:ext uri="{FF2B5EF4-FFF2-40B4-BE49-F238E27FC236}">
              <a16:creationId xmlns:a16="http://schemas.microsoft.com/office/drawing/2014/main" id="{00000000-0008-0000-0700-0000C1030000}"/>
            </a:ext>
          </a:extLst>
        </xdr:cNvPr>
        <xdr:cNvCxnSpPr/>
      </xdr:nvCxnSpPr>
      <xdr:spPr>
        <a:xfrm flipH="1" flipV="1">
          <a:off x="3481009" y="39080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213</xdr:row>
      <xdr:rowOff>134252</xdr:rowOff>
    </xdr:from>
    <xdr:to>
      <xdr:col>5</xdr:col>
      <xdr:colOff>1652211</xdr:colOff>
      <xdr:row>213</xdr:row>
      <xdr:rowOff>417164</xdr:rowOff>
    </xdr:to>
    <xdr:cxnSp macro="">
      <xdr:nvCxnSpPr>
        <xdr:cNvPr id="962" name="Straight Connector 961">
          <a:extLst>
            <a:ext uri="{FF2B5EF4-FFF2-40B4-BE49-F238E27FC236}">
              <a16:creationId xmlns:a16="http://schemas.microsoft.com/office/drawing/2014/main" id="{00000000-0008-0000-0700-0000C2030000}"/>
            </a:ext>
          </a:extLst>
        </xdr:cNvPr>
        <xdr:cNvCxnSpPr/>
      </xdr:nvCxnSpPr>
      <xdr:spPr>
        <a:xfrm flipH="1" flipV="1">
          <a:off x="3747710" y="39087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214</xdr:row>
      <xdr:rowOff>123824</xdr:rowOff>
    </xdr:from>
    <xdr:to>
      <xdr:col>5</xdr:col>
      <xdr:colOff>1428750</xdr:colOff>
      <xdr:row>214</xdr:row>
      <xdr:rowOff>1219199</xdr:rowOff>
    </xdr:to>
    <xdr:sp macro="" textlink="">
      <xdr:nvSpPr>
        <xdr:cNvPr id="963" name="Rounded Rectangle 962">
          <a:extLst>
            <a:ext uri="{FF2B5EF4-FFF2-40B4-BE49-F238E27FC236}">
              <a16:creationId xmlns:a16="http://schemas.microsoft.com/office/drawing/2014/main" id="{00000000-0008-0000-0700-0000C3030000}"/>
            </a:ext>
          </a:extLst>
        </xdr:cNvPr>
        <xdr:cNvSpPr/>
      </xdr:nvSpPr>
      <xdr:spPr>
        <a:xfrm>
          <a:off x="3745230" y="39260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214</xdr:row>
      <xdr:rowOff>238127</xdr:rowOff>
    </xdr:from>
    <xdr:to>
      <xdr:col>5</xdr:col>
      <xdr:colOff>790575</xdr:colOff>
      <xdr:row>214</xdr:row>
      <xdr:rowOff>361950</xdr:rowOff>
    </xdr:to>
    <xdr:cxnSp macro="">
      <xdr:nvCxnSpPr>
        <xdr:cNvPr id="964" name="Straight Connector 963">
          <a:extLst>
            <a:ext uri="{FF2B5EF4-FFF2-40B4-BE49-F238E27FC236}">
              <a16:creationId xmlns:a16="http://schemas.microsoft.com/office/drawing/2014/main" id="{00000000-0008-0000-0700-0000C4030000}"/>
            </a:ext>
          </a:extLst>
        </xdr:cNvPr>
        <xdr:cNvCxnSpPr/>
      </xdr:nvCxnSpPr>
      <xdr:spPr>
        <a:xfrm flipH="1" flipV="1">
          <a:off x="3749041" y="39321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214</xdr:row>
      <xdr:rowOff>133352</xdr:rowOff>
    </xdr:from>
    <xdr:to>
      <xdr:col>5</xdr:col>
      <xdr:colOff>885825</xdr:colOff>
      <xdr:row>214</xdr:row>
      <xdr:rowOff>257175</xdr:rowOff>
    </xdr:to>
    <xdr:cxnSp macro="">
      <xdr:nvCxnSpPr>
        <xdr:cNvPr id="965" name="Straight Connector 964">
          <a:extLst>
            <a:ext uri="{FF2B5EF4-FFF2-40B4-BE49-F238E27FC236}">
              <a16:creationId xmlns:a16="http://schemas.microsoft.com/office/drawing/2014/main" id="{00000000-0008-0000-0700-0000C5030000}"/>
            </a:ext>
          </a:extLst>
        </xdr:cNvPr>
        <xdr:cNvCxnSpPr/>
      </xdr:nvCxnSpPr>
      <xdr:spPr>
        <a:xfrm flipH="1" flipV="1">
          <a:off x="3745231" y="39269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212</xdr:row>
      <xdr:rowOff>127000</xdr:rowOff>
    </xdr:from>
    <xdr:to>
      <xdr:col>5</xdr:col>
      <xdr:colOff>356235</xdr:colOff>
      <xdr:row>212</xdr:row>
      <xdr:rowOff>309880</xdr:rowOff>
    </xdr:to>
    <xdr:cxnSp macro="">
      <xdr:nvCxnSpPr>
        <xdr:cNvPr id="966" name="Straight Connector 965">
          <a:extLst>
            <a:ext uri="{FF2B5EF4-FFF2-40B4-BE49-F238E27FC236}">
              <a16:creationId xmlns:a16="http://schemas.microsoft.com/office/drawing/2014/main" id="{00000000-0008-0000-0700-0000C6030000}"/>
            </a:ext>
          </a:extLst>
        </xdr:cNvPr>
        <xdr:cNvCxnSpPr/>
      </xdr:nvCxnSpPr>
      <xdr:spPr>
        <a:xfrm flipH="1" flipV="1">
          <a:off x="3480435" y="3889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212</xdr:row>
      <xdr:rowOff>400050</xdr:rowOff>
    </xdr:from>
    <xdr:to>
      <xdr:col>5</xdr:col>
      <xdr:colOff>1666875</xdr:colOff>
      <xdr:row>212</xdr:row>
      <xdr:rowOff>400050</xdr:rowOff>
    </xdr:to>
    <xdr:cxnSp macro="">
      <xdr:nvCxnSpPr>
        <xdr:cNvPr id="967" name="Straight Connector 966">
          <a:extLst>
            <a:ext uri="{FF2B5EF4-FFF2-40B4-BE49-F238E27FC236}">
              <a16:creationId xmlns:a16="http://schemas.microsoft.com/office/drawing/2014/main" id="{00000000-0008-0000-0700-0000C7030000}"/>
            </a:ext>
          </a:extLst>
        </xdr:cNvPr>
        <xdr:cNvCxnSpPr/>
      </xdr:nvCxnSpPr>
      <xdr:spPr>
        <a:xfrm>
          <a:off x="3476625" y="38949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212</xdr:row>
      <xdr:rowOff>127000</xdr:rowOff>
    </xdr:from>
    <xdr:to>
      <xdr:col>5</xdr:col>
      <xdr:colOff>356810</xdr:colOff>
      <xdr:row>212</xdr:row>
      <xdr:rowOff>409912</xdr:rowOff>
    </xdr:to>
    <xdr:cxnSp macro="">
      <xdr:nvCxnSpPr>
        <xdr:cNvPr id="968" name="Straight Connector 967">
          <a:extLst>
            <a:ext uri="{FF2B5EF4-FFF2-40B4-BE49-F238E27FC236}">
              <a16:creationId xmlns:a16="http://schemas.microsoft.com/office/drawing/2014/main" id="{00000000-0008-0000-0700-0000C8030000}"/>
            </a:ext>
          </a:extLst>
        </xdr:cNvPr>
        <xdr:cNvCxnSpPr/>
      </xdr:nvCxnSpPr>
      <xdr:spPr>
        <a:xfrm flipH="1" flipV="1">
          <a:off x="3481009" y="3889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212</xdr:row>
      <xdr:rowOff>134252</xdr:rowOff>
    </xdr:from>
    <xdr:to>
      <xdr:col>5</xdr:col>
      <xdr:colOff>1652211</xdr:colOff>
      <xdr:row>212</xdr:row>
      <xdr:rowOff>417164</xdr:rowOff>
    </xdr:to>
    <xdr:cxnSp macro="">
      <xdr:nvCxnSpPr>
        <xdr:cNvPr id="969" name="Straight Connector 968">
          <a:extLst>
            <a:ext uri="{FF2B5EF4-FFF2-40B4-BE49-F238E27FC236}">
              <a16:creationId xmlns:a16="http://schemas.microsoft.com/office/drawing/2014/main" id="{00000000-0008-0000-0700-0000C9030000}"/>
            </a:ext>
          </a:extLst>
        </xdr:cNvPr>
        <xdr:cNvCxnSpPr/>
      </xdr:nvCxnSpPr>
      <xdr:spPr>
        <a:xfrm flipH="1" flipV="1">
          <a:off x="3747710" y="3890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213</xdr:row>
      <xdr:rowOff>127000</xdr:rowOff>
    </xdr:from>
    <xdr:to>
      <xdr:col>5</xdr:col>
      <xdr:colOff>356235</xdr:colOff>
      <xdr:row>213</xdr:row>
      <xdr:rowOff>309880</xdr:rowOff>
    </xdr:to>
    <xdr:cxnSp macro="">
      <xdr:nvCxnSpPr>
        <xdr:cNvPr id="970" name="Straight Connector 969">
          <a:extLst>
            <a:ext uri="{FF2B5EF4-FFF2-40B4-BE49-F238E27FC236}">
              <a16:creationId xmlns:a16="http://schemas.microsoft.com/office/drawing/2014/main" id="{00000000-0008-0000-0700-0000CA030000}"/>
            </a:ext>
          </a:extLst>
        </xdr:cNvPr>
        <xdr:cNvCxnSpPr/>
      </xdr:nvCxnSpPr>
      <xdr:spPr>
        <a:xfrm flipH="1" flipV="1">
          <a:off x="3480435" y="39080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213</xdr:row>
      <xdr:rowOff>152400</xdr:rowOff>
    </xdr:from>
    <xdr:to>
      <xdr:col>5</xdr:col>
      <xdr:colOff>1676400</xdr:colOff>
      <xdr:row>213</xdr:row>
      <xdr:rowOff>152400</xdr:rowOff>
    </xdr:to>
    <xdr:cxnSp macro="">
      <xdr:nvCxnSpPr>
        <xdr:cNvPr id="971" name="Straight Connector 970">
          <a:extLst>
            <a:ext uri="{FF2B5EF4-FFF2-40B4-BE49-F238E27FC236}">
              <a16:creationId xmlns:a16="http://schemas.microsoft.com/office/drawing/2014/main" id="{00000000-0008-0000-0700-0000CB030000}"/>
            </a:ext>
          </a:extLst>
        </xdr:cNvPr>
        <xdr:cNvCxnSpPr/>
      </xdr:nvCxnSpPr>
      <xdr:spPr>
        <a:xfrm>
          <a:off x="3486150" y="39105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213</xdr:row>
      <xdr:rowOff>127000</xdr:rowOff>
    </xdr:from>
    <xdr:to>
      <xdr:col>5</xdr:col>
      <xdr:colOff>356810</xdr:colOff>
      <xdr:row>213</xdr:row>
      <xdr:rowOff>409912</xdr:rowOff>
    </xdr:to>
    <xdr:cxnSp macro="">
      <xdr:nvCxnSpPr>
        <xdr:cNvPr id="972" name="Straight Connector 971">
          <a:extLst>
            <a:ext uri="{FF2B5EF4-FFF2-40B4-BE49-F238E27FC236}">
              <a16:creationId xmlns:a16="http://schemas.microsoft.com/office/drawing/2014/main" id="{00000000-0008-0000-0700-0000CC030000}"/>
            </a:ext>
          </a:extLst>
        </xdr:cNvPr>
        <xdr:cNvCxnSpPr/>
      </xdr:nvCxnSpPr>
      <xdr:spPr>
        <a:xfrm flipH="1" flipV="1">
          <a:off x="3481009" y="39080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213</xdr:row>
      <xdr:rowOff>134252</xdr:rowOff>
    </xdr:from>
    <xdr:to>
      <xdr:col>5</xdr:col>
      <xdr:colOff>1652211</xdr:colOff>
      <xdr:row>213</xdr:row>
      <xdr:rowOff>417164</xdr:rowOff>
    </xdr:to>
    <xdr:cxnSp macro="">
      <xdr:nvCxnSpPr>
        <xdr:cNvPr id="973" name="Straight Connector 972">
          <a:extLst>
            <a:ext uri="{FF2B5EF4-FFF2-40B4-BE49-F238E27FC236}">
              <a16:creationId xmlns:a16="http://schemas.microsoft.com/office/drawing/2014/main" id="{00000000-0008-0000-0700-0000CD030000}"/>
            </a:ext>
          </a:extLst>
        </xdr:cNvPr>
        <xdr:cNvCxnSpPr/>
      </xdr:nvCxnSpPr>
      <xdr:spPr>
        <a:xfrm flipH="1" flipV="1">
          <a:off x="3747710" y="390876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214</xdr:row>
      <xdr:rowOff>123824</xdr:rowOff>
    </xdr:from>
    <xdr:to>
      <xdr:col>5</xdr:col>
      <xdr:colOff>1428750</xdr:colOff>
      <xdr:row>214</xdr:row>
      <xdr:rowOff>1219199</xdr:rowOff>
    </xdr:to>
    <xdr:sp macro="" textlink="">
      <xdr:nvSpPr>
        <xdr:cNvPr id="974" name="Rounded Rectangle 973">
          <a:extLst>
            <a:ext uri="{FF2B5EF4-FFF2-40B4-BE49-F238E27FC236}">
              <a16:creationId xmlns:a16="http://schemas.microsoft.com/office/drawing/2014/main" id="{00000000-0008-0000-0700-0000CE030000}"/>
            </a:ext>
          </a:extLst>
        </xdr:cNvPr>
        <xdr:cNvSpPr/>
      </xdr:nvSpPr>
      <xdr:spPr>
        <a:xfrm>
          <a:off x="3745230" y="39260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214</xdr:row>
      <xdr:rowOff>238127</xdr:rowOff>
    </xdr:from>
    <xdr:to>
      <xdr:col>5</xdr:col>
      <xdr:colOff>790575</xdr:colOff>
      <xdr:row>214</xdr:row>
      <xdr:rowOff>361950</xdr:rowOff>
    </xdr:to>
    <xdr:cxnSp macro="">
      <xdr:nvCxnSpPr>
        <xdr:cNvPr id="975" name="Straight Connector 974">
          <a:extLst>
            <a:ext uri="{FF2B5EF4-FFF2-40B4-BE49-F238E27FC236}">
              <a16:creationId xmlns:a16="http://schemas.microsoft.com/office/drawing/2014/main" id="{00000000-0008-0000-0700-0000CF030000}"/>
            </a:ext>
          </a:extLst>
        </xdr:cNvPr>
        <xdr:cNvCxnSpPr/>
      </xdr:nvCxnSpPr>
      <xdr:spPr>
        <a:xfrm flipH="1" flipV="1">
          <a:off x="3749041" y="39321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214</xdr:row>
      <xdr:rowOff>133352</xdr:rowOff>
    </xdr:from>
    <xdr:to>
      <xdr:col>5</xdr:col>
      <xdr:colOff>885825</xdr:colOff>
      <xdr:row>214</xdr:row>
      <xdr:rowOff>257175</xdr:rowOff>
    </xdr:to>
    <xdr:cxnSp macro="">
      <xdr:nvCxnSpPr>
        <xdr:cNvPr id="976" name="Straight Connector 975">
          <a:extLst>
            <a:ext uri="{FF2B5EF4-FFF2-40B4-BE49-F238E27FC236}">
              <a16:creationId xmlns:a16="http://schemas.microsoft.com/office/drawing/2014/main" id="{00000000-0008-0000-0700-0000D0030000}"/>
            </a:ext>
          </a:extLst>
        </xdr:cNvPr>
        <xdr:cNvCxnSpPr/>
      </xdr:nvCxnSpPr>
      <xdr:spPr>
        <a:xfrm flipH="1" flipV="1">
          <a:off x="3745231" y="39269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212</xdr:row>
      <xdr:rowOff>127000</xdr:rowOff>
    </xdr:from>
    <xdr:to>
      <xdr:col>5</xdr:col>
      <xdr:colOff>356235</xdr:colOff>
      <xdr:row>212</xdr:row>
      <xdr:rowOff>309880</xdr:rowOff>
    </xdr:to>
    <xdr:cxnSp macro="">
      <xdr:nvCxnSpPr>
        <xdr:cNvPr id="977" name="Straight Connector 976">
          <a:extLst>
            <a:ext uri="{FF2B5EF4-FFF2-40B4-BE49-F238E27FC236}">
              <a16:creationId xmlns:a16="http://schemas.microsoft.com/office/drawing/2014/main" id="{00000000-0008-0000-0700-0000D1030000}"/>
            </a:ext>
          </a:extLst>
        </xdr:cNvPr>
        <xdr:cNvCxnSpPr/>
      </xdr:nvCxnSpPr>
      <xdr:spPr>
        <a:xfrm flipH="1" flipV="1">
          <a:off x="3480435" y="388975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212</xdr:row>
      <xdr:rowOff>400050</xdr:rowOff>
    </xdr:from>
    <xdr:to>
      <xdr:col>5</xdr:col>
      <xdr:colOff>1666875</xdr:colOff>
      <xdr:row>212</xdr:row>
      <xdr:rowOff>400050</xdr:rowOff>
    </xdr:to>
    <xdr:cxnSp macro="">
      <xdr:nvCxnSpPr>
        <xdr:cNvPr id="978" name="Straight Connector 977">
          <a:extLst>
            <a:ext uri="{FF2B5EF4-FFF2-40B4-BE49-F238E27FC236}">
              <a16:creationId xmlns:a16="http://schemas.microsoft.com/office/drawing/2014/main" id="{00000000-0008-0000-0700-0000D2030000}"/>
            </a:ext>
          </a:extLst>
        </xdr:cNvPr>
        <xdr:cNvCxnSpPr/>
      </xdr:nvCxnSpPr>
      <xdr:spPr>
        <a:xfrm>
          <a:off x="3476625" y="389496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212</xdr:row>
      <xdr:rowOff>127000</xdr:rowOff>
    </xdr:from>
    <xdr:to>
      <xdr:col>5</xdr:col>
      <xdr:colOff>356810</xdr:colOff>
      <xdr:row>212</xdr:row>
      <xdr:rowOff>409912</xdr:rowOff>
    </xdr:to>
    <xdr:cxnSp macro="">
      <xdr:nvCxnSpPr>
        <xdr:cNvPr id="979" name="Straight Connector 978">
          <a:extLst>
            <a:ext uri="{FF2B5EF4-FFF2-40B4-BE49-F238E27FC236}">
              <a16:creationId xmlns:a16="http://schemas.microsoft.com/office/drawing/2014/main" id="{00000000-0008-0000-0700-0000D3030000}"/>
            </a:ext>
          </a:extLst>
        </xdr:cNvPr>
        <xdr:cNvCxnSpPr/>
      </xdr:nvCxnSpPr>
      <xdr:spPr>
        <a:xfrm flipH="1" flipV="1">
          <a:off x="3481009" y="388975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212</xdr:row>
      <xdr:rowOff>134252</xdr:rowOff>
    </xdr:from>
    <xdr:to>
      <xdr:col>5</xdr:col>
      <xdr:colOff>1652211</xdr:colOff>
      <xdr:row>212</xdr:row>
      <xdr:rowOff>417164</xdr:rowOff>
    </xdr:to>
    <xdr:cxnSp macro="">
      <xdr:nvCxnSpPr>
        <xdr:cNvPr id="980" name="Straight Connector 979">
          <a:extLst>
            <a:ext uri="{FF2B5EF4-FFF2-40B4-BE49-F238E27FC236}">
              <a16:creationId xmlns:a16="http://schemas.microsoft.com/office/drawing/2014/main" id="{00000000-0008-0000-0700-0000D4030000}"/>
            </a:ext>
          </a:extLst>
        </xdr:cNvPr>
        <xdr:cNvCxnSpPr/>
      </xdr:nvCxnSpPr>
      <xdr:spPr>
        <a:xfrm flipH="1" flipV="1">
          <a:off x="3747710" y="389048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213</xdr:row>
      <xdr:rowOff>127000</xdr:rowOff>
    </xdr:from>
    <xdr:to>
      <xdr:col>5</xdr:col>
      <xdr:colOff>356235</xdr:colOff>
      <xdr:row>213</xdr:row>
      <xdr:rowOff>309880</xdr:rowOff>
    </xdr:to>
    <xdr:cxnSp macro="">
      <xdr:nvCxnSpPr>
        <xdr:cNvPr id="981" name="Straight Connector 980">
          <a:extLst>
            <a:ext uri="{FF2B5EF4-FFF2-40B4-BE49-F238E27FC236}">
              <a16:creationId xmlns:a16="http://schemas.microsoft.com/office/drawing/2014/main" id="{00000000-0008-0000-0700-0000D5030000}"/>
            </a:ext>
          </a:extLst>
        </xdr:cNvPr>
        <xdr:cNvCxnSpPr/>
      </xdr:nvCxnSpPr>
      <xdr:spPr>
        <a:xfrm flipH="1" flipV="1">
          <a:off x="3480435" y="390804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213</xdr:row>
      <xdr:rowOff>152400</xdr:rowOff>
    </xdr:from>
    <xdr:to>
      <xdr:col>5</xdr:col>
      <xdr:colOff>1676400</xdr:colOff>
      <xdr:row>213</xdr:row>
      <xdr:rowOff>152400</xdr:rowOff>
    </xdr:to>
    <xdr:cxnSp macro="">
      <xdr:nvCxnSpPr>
        <xdr:cNvPr id="982" name="Straight Connector 981">
          <a:extLst>
            <a:ext uri="{FF2B5EF4-FFF2-40B4-BE49-F238E27FC236}">
              <a16:creationId xmlns:a16="http://schemas.microsoft.com/office/drawing/2014/main" id="{00000000-0008-0000-0700-0000D6030000}"/>
            </a:ext>
          </a:extLst>
        </xdr:cNvPr>
        <xdr:cNvCxnSpPr/>
      </xdr:nvCxnSpPr>
      <xdr:spPr>
        <a:xfrm>
          <a:off x="3486150" y="391058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213</xdr:row>
      <xdr:rowOff>127000</xdr:rowOff>
    </xdr:from>
    <xdr:to>
      <xdr:col>5</xdr:col>
      <xdr:colOff>356810</xdr:colOff>
      <xdr:row>213</xdr:row>
      <xdr:rowOff>409912</xdr:rowOff>
    </xdr:to>
    <xdr:cxnSp macro="">
      <xdr:nvCxnSpPr>
        <xdr:cNvPr id="983" name="Straight Connector 982">
          <a:extLst>
            <a:ext uri="{FF2B5EF4-FFF2-40B4-BE49-F238E27FC236}">
              <a16:creationId xmlns:a16="http://schemas.microsoft.com/office/drawing/2014/main" id="{00000000-0008-0000-0700-0000D7030000}"/>
            </a:ext>
          </a:extLst>
        </xdr:cNvPr>
        <xdr:cNvCxnSpPr/>
      </xdr:nvCxnSpPr>
      <xdr:spPr>
        <a:xfrm flipH="1" flipV="1">
          <a:off x="3481009" y="390804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214</xdr:row>
      <xdr:rowOff>123824</xdr:rowOff>
    </xdr:from>
    <xdr:to>
      <xdr:col>5</xdr:col>
      <xdr:colOff>1428750</xdr:colOff>
      <xdr:row>214</xdr:row>
      <xdr:rowOff>1219199</xdr:rowOff>
    </xdr:to>
    <xdr:sp macro="" textlink="">
      <xdr:nvSpPr>
        <xdr:cNvPr id="984" name="Rounded Rectangle 983">
          <a:extLst>
            <a:ext uri="{FF2B5EF4-FFF2-40B4-BE49-F238E27FC236}">
              <a16:creationId xmlns:a16="http://schemas.microsoft.com/office/drawing/2014/main" id="{00000000-0008-0000-0700-0000D8030000}"/>
            </a:ext>
          </a:extLst>
        </xdr:cNvPr>
        <xdr:cNvSpPr/>
      </xdr:nvSpPr>
      <xdr:spPr>
        <a:xfrm>
          <a:off x="3745230" y="392601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214</xdr:row>
      <xdr:rowOff>238127</xdr:rowOff>
    </xdr:from>
    <xdr:to>
      <xdr:col>5</xdr:col>
      <xdr:colOff>790575</xdr:colOff>
      <xdr:row>214</xdr:row>
      <xdr:rowOff>361950</xdr:rowOff>
    </xdr:to>
    <xdr:cxnSp macro="">
      <xdr:nvCxnSpPr>
        <xdr:cNvPr id="985" name="Straight Connector 984">
          <a:extLst>
            <a:ext uri="{FF2B5EF4-FFF2-40B4-BE49-F238E27FC236}">
              <a16:creationId xmlns:a16="http://schemas.microsoft.com/office/drawing/2014/main" id="{00000000-0008-0000-0700-0000D9030000}"/>
            </a:ext>
          </a:extLst>
        </xdr:cNvPr>
        <xdr:cNvCxnSpPr/>
      </xdr:nvCxnSpPr>
      <xdr:spPr>
        <a:xfrm flipH="1" flipV="1">
          <a:off x="3749041" y="393211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214</xdr:row>
      <xdr:rowOff>133352</xdr:rowOff>
    </xdr:from>
    <xdr:to>
      <xdr:col>5</xdr:col>
      <xdr:colOff>885825</xdr:colOff>
      <xdr:row>214</xdr:row>
      <xdr:rowOff>257175</xdr:rowOff>
    </xdr:to>
    <xdr:cxnSp macro="">
      <xdr:nvCxnSpPr>
        <xdr:cNvPr id="986" name="Straight Connector 985">
          <a:extLst>
            <a:ext uri="{FF2B5EF4-FFF2-40B4-BE49-F238E27FC236}">
              <a16:creationId xmlns:a16="http://schemas.microsoft.com/office/drawing/2014/main" id="{00000000-0008-0000-0700-0000DA030000}"/>
            </a:ext>
          </a:extLst>
        </xdr:cNvPr>
        <xdr:cNvCxnSpPr/>
      </xdr:nvCxnSpPr>
      <xdr:spPr>
        <a:xfrm flipH="1" flipV="1">
          <a:off x="3745231" y="392696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219</xdr:row>
      <xdr:rowOff>127000</xdr:rowOff>
    </xdr:from>
    <xdr:to>
      <xdr:col>5</xdr:col>
      <xdr:colOff>356235</xdr:colOff>
      <xdr:row>219</xdr:row>
      <xdr:rowOff>309880</xdr:rowOff>
    </xdr:to>
    <xdr:cxnSp macro="">
      <xdr:nvCxnSpPr>
        <xdr:cNvPr id="987" name="Straight Connector 986">
          <a:extLst>
            <a:ext uri="{FF2B5EF4-FFF2-40B4-BE49-F238E27FC236}">
              <a16:creationId xmlns:a16="http://schemas.microsoft.com/office/drawing/2014/main" id="{00000000-0008-0000-0700-0000DB030000}"/>
            </a:ext>
          </a:extLst>
        </xdr:cNvPr>
        <xdr:cNvCxnSpPr/>
      </xdr:nvCxnSpPr>
      <xdr:spPr>
        <a:xfrm flipH="1" flipV="1">
          <a:off x="3480435" y="401777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219</xdr:row>
      <xdr:rowOff>400050</xdr:rowOff>
    </xdr:from>
    <xdr:to>
      <xdr:col>5</xdr:col>
      <xdr:colOff>1666875</xdr:colOff>
      <xdr:row>219</xdr:row>
      <xdr:rowOff>400050</xdr:rowOff>
    </xdr:to>
    <xdr:cxnSp macro="">
      <xdr:nvCxnSpPr>
        <xdr:cNvPr id="988" name="Straight Connector 987">
          <a:extLst>
            <a:ext uri="{FF2B5EF4-FFF2-40B4-BE49-F238E27FC236}">
              <a16:creationId xmlns:a16="http://schemas.microsoft.com/office/drawing/2014/main" id="{00000000-0008-0000-0700-0000DC030000}"/>
            </a:ext>
          </a:extLst>
        </xdr:cNvPr>
        <xdr:cNvCxnSpPr/>
      </xdr:nvCxnSpPr>
      <xdr:spPr>
        <a:xfrm>
          <a:off x="3476625" y="4022979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219</xdr:row>
      <xdr:rowOff>127000</xdr:rowOff>
    </xdr:from>
    <xdr:to>
      <xdr:col>5</xdr:col>
      <xdr:colOff>356810</xdr:colOff>
      <xdr:row>219</xdr:row>
      <xdr:rowOff>409912</xdr:rowOff>
    </xdr:to>
    <xdr:cxnSp macro="">
      <xdr:nvCxnSpPr>
        <xdr:cNvPr id="989" name="Straight Connector 988">
          <a:extLst>
            <a:ext uri="{FF2B5EF4-FFF2-40B4-BE49-F238E27FC236}">
              <a16:creationId xmlns:a16="http://schemas.microsoft.com/office/drawing/2014/main" id="{00000000-0008-0000-0700-0000DD030000}"/>
            </a:ext>
          </a:extLst>
        </xdr:cNvPr>
        <xdr:cNvCxnSpPr/>
      </xdr:nvCxnSpPr>
      <xdr:spPr>
        <a:xfrm flipH="1" flipV="1">
          <a:off x="3481009" y="401777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1661160</xdr:colOff>
      <xdr:row>219</xdr:row>
      <xdr:rowOff>153035</xdr:rowOff>
    </xdr:from>
    <xdr:to>
      <xdr:col>5</xdr:col>
      <xdr:colOff>1661161</xdr:colOff>
      <xdr:row>219</xdr:row>
      <xdr:rowOff>435947</xdr:rowOff>
    </xdr:to>
    <xdr:cxnSp macro="">
      <xdr:nvCxnSpPr>
        <xdr:cNvPr id="990" name="Straight Connector 989">
          <a:extLst>
            <a:ext uri="{FF2B5EF4-FFF2-40B4-BE49-F238E27FC236}">
              <a16:creationId xmlns:a16="http://schemas.microsoft.com/office/drawing/2014/main" id="{00000000-0008-0000-0700-0000DE030000}"/>
            </a:ext>
          </a:extLst>
        </xdr:cNvPr>
        <xdr:cNvCxnSpPr/>
      </xdr:nvCxnSpPr>
      <xdr:spPr>
        <a:xfrm flipH="1" flipV="1">
          <a:off x="3749040" y="40203755"/>
          <a:ext cx="1" cy="3145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220</xdr:row>
      <xdr:rowOff>190500</xdr:rowOff>
    </xdr:from>
    <xdr:to>
      <xdr:col>5</xdr:col>
      <xdr:colOff>1628775</xdr:colOff>
      <xdr:row>220</xdr:row>
      <xdr:rowOff>190500</xdr:rowOff>
    </xdr:to>
    <xdr:cxnSp macro="">
      <xdr:nvCxnSpPr>
        <xdr:cNvPr id="991" name="Straight Connector 990">
          <a:extLst>
            <a:ext uri="{FF2B5EF4-FFF2-40B4-BE49-F238E27FC236}">
              <a16:creationId xmlns:a16="http://schemas.microsoft.com/office/drawing/2014/main" id="{00000000-0008-0000-0700-0000DF030000}"/>
            </a:ext>
          </a:extLst>
        </xdr:cNvPr>
        <xdr:cNvCxnSpPr/>
      </xdr:nvCxnSpPr>
      <xdr:spPr>
        <a:xfrm>
          <a:off x="3438525" y="4041648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223</xdr:row>
      <xdr:rowOff>123824</xdr:rowOff>
    </xdr:from>
    <xdr:to>
      <xdr:col>5</xdr:col>
      <xdr:colOff>1428750</xdr:colOff>
      <xdr:row>223</xdr:row>
      <xdr:rowOff>1219199</xdr:rowOff>
    </xdr:to>
    <xdr:sp macro="" textlink="">
      <xdr:nvSpPr>
        <xdr:cNvPr id="992" name="Rounded Rectangle 991">
          <a:extLst>
            <a:ext uri="{FF2B5EF4-FFF2-40B4-BE49-F238E27FC236}">
              <a16:creationId xmlns:a16="http://schemas.microsoft.com/office/drawing/2014/main" id="{00000000-0008-0000-0700-0000E0030000}"/>
            </a:ext>
          </a:extLst>
        </xdr:cNvPr>
        <xdr:cNvSpPr/>
      </xdr:nvSpPr>
      <xdr:spPr>
        <a:xfrm>
          <a:off x="3745230" y="409060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223</xdr:row>
      <xdr:rowOff>238127</xdr:rowOff>
    </xdr:from>
    <xdr:to>
      <xdr:col>5</xdr:col>
      <xdr:colOff>790575</xdr:colOff>
      <xdr:row>223</xdr:row>
      <xdr:rowOff>361950</xdr:rowOff>
    </xdr:to>
    <xdr:cxnSp macro="">
      <xdr:nvCxnSpPr>
        <xdr:cNvPr id="993" name="Straight Connector 992">
          <a:extLst>
            <a:ext uri="{FF2B5EF4-FFF2-40B4-BE49-F238E27FC236}">
              <a16:creationId xmlns:a16="http://schemas.microsoft.com/office/drawing/2014/main" id="{00000000-0008-0000-0700-0000E1030000}"/>
            </a:ext>
          </a:extLst>
        </xdr:cNvPr>
        <xdr:cNvCxnSpPr/>
      </xdr:nvCxnSpPr>
      <xdr:spPr>
        <a:xfrm flipH="1" flipV="1">
          <a:off x="3749041" y="409670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223</xdr:row>
      <xdr:rowOff>133352</xdr:rowOff>
    </xdr:from>
    <xdr:to>
      <xdr:col>5</xdr:col>
      <xdr:colOff>885825</xdr:colOff>
      <xdr:row>223</xdr:row>
      <xdr:rowOff>257175</xdr:rowOff>
    </xdr:to>
    <xdr:cxnSp macro="">
      <xdr:nvCxnSpPr>
        <xdr:cNvPr id="994" name="Straight Connector 993">
          <a:extLst>
            <a:ext uri="{FF2B5EF4-FFF2-40B4-BE49-F238E27FC236}">
              <a16:creationId xmlns:a16="http://schemas.microsoft.com/office/drawing/2014/main" id="{00000000-0008-0000-0700-0000E2030000}"/>
            </a:ext>
          </a:extLst>
        </xdr:cNvPr>
        <xdr:cNvCxnSpPr/>
      </xdr:nvCxnSpPr>
      <xdr:spPr>
        <a:xfrm flipH="1" flipV="1">
          <a:off x="3745231" y="409155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221</xdr:row>
      <xdr:rowOff>174625</xdr:rowOff>
    </xdr:from>
    <xdr:to>
      <xdr:col>5</xdr:col>
      <xdr:colOff>327661</xdr:colOff>
      <xdr:row>221</xdr:row>
      <xdr:rowOff>457537</xdr:rowOff>
    </xdr:to>
    <xdr:cxnSp macro="">
      <xdr:nvCxnSpPr>
        <xdr:cNvPr id="995" name="Straight Connector 994">
          <a:extLst>
            <a:ext uri="{FF2B5EF4-FFF2-40B4-BE49-F238E27FC236}">
              <a16:creationId xmlns:a16="http://schemas.microsoft.com/office/drawing/2014/main" id="{00000000-0008-0000-0700-0000E3030000}"/>
            </a:ext>
          </a:extLst>
        </xdr:cNvPr>
        <xdr:cNvCxnSpPr/>
      </xdr:nvCxnSpPr>
      <xdr:spPr>
        <a:xfrm flipH="1" flipV="1">
          <a:off x="3451860" y="4059110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221</xdr:row>
      <xdr:rowOff>200025</xdr:rowOff>
    </xdr:from>
    <xdr:to>
      <xdr:col>5</xdr:col>
      <xdr:colOff>1638300</xdr:colOff>
      <xdr:row>221</xdr:row>
      <xdr:rowOff>200025</xdr:rowOff>
    </xdr:to>
    <xdr:cxnSp macro="">
      <xdr:nvCxnSpPr>
        <xdr:cNvPr id="996" name="Straight Connector 995">
          <a:extLst>
            <a:ext uri="{FF2B5EF4-FFF2-40B4-BE49-F238E27FC236}">
              <a16:creationId xmlns:a16="http://schemas.microsoft.com/office/drawing/2014/main" id="{00000000-0008-0000-0700-0000E4030000}"/>
            </a:ext>
          </a:extLst>
        </xdr:cNvPr>
        <xdr:cNvCxnSpPr/>
      </xdr:nvCxnSpPr>
      <xdr:spPr>
        <a:xfrm>
          <a:off x="3448050" y="4060126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222</xdr:row>
      <xdr:rowOff>174625</xdr:rowOff>
    </xdr:from>
    <xdr:to>
      <xdr:col>5</xdr:col>
      <xdr:colOff>327661</xdr:colOff>
      <xdr:row>222</xdr:row>
      <xdr:rowOff>457537</xdr:rowOff>
    </xdr:to>
    <xdr:cxnSp macro="">
      <xdr:nvCxnSpPr>
        <xdr:cNvPr id="997" name="Straight Connector 996">
          <a:extLst>
            <a:ext uri="{FF2B5EF4-FFF2-40B4-BE49-F238E27FC236}">
              <a16:creationId xmlns:a16="http://schemas.microsoft.com/office/drawing/2014/main" id="{00000000-0008-0000-0700-0000E5030000}"/>
            </a:ext>
          </a:extLst>
        </xdr:cNvPr>
        <xdr:cNvCxnSpPr/>
      </xdr:nvCxnSpPr>
      <xdr:spPr>
        <a:xfrm flipH="1" flipV="1">
          <a:off x="3451860" y="4077398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222</xdr:row>
      <xdr:rowOff>200025</xdr:rowOff>
    </xdr:from>
    <xdr:to>
      <xdr:col>5</xdr:col>
      <xdr:colOff>1638300</xdr:colOff>
      <xdr:row>222</xdr:row>
      <xdr:rowOff>200025</xdr:rowOff>
    </xdr:to>
    <xdr:cxnSp macro="">
      <xdr:nvCxnSpPr>
        <xdr:cNvPr id="998" name="Straight Connector 997">
          <a:extLst>
            <a:ext uri="{FF2B5EF4-FFF2-40B4-BE49-F238E27FC236}">
              <a16:creationId xmlns:a16="http://schemas.microsoft.com/office/drawing/2014/main" id="{00000000-0008-0000-0700-0000E6030000}"/>
            </a:ext>
          </a:extLst>
        </xdr:cNvPr>
        <xdr:cNvCxnSpPr/>
      </xdr:nvCxnSpPr>
      <xdr:spPr>
        <a:xfrm>
          <a:off x="3448050" y="4078414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1623060</xdr:colOff>
      <xdr:row>221</xdr:row>
      <xdr:rowOff>182245</xdr:rowOff>
    </xdr:from>
    <xdr:to>
      <xdr:col>5</xdr:col>
      <xdr:colOff>1623061</xdr:colOff>
      <xdr:row>221</xdr:row>
      <xdr:rowOff>465157</xdr:rowOff>
    </xdr:to>
    <xdr:cxnSp macro="">
      <xdr:nvCxnSpPr>
        <xdr:cNvPr id="999" name="Straight Connector 998">
          <a:extLst>
            <a:ext uri="{FF2B5EF4-FFF2-40B4-BE49-F238E27FC236}">
              <a16:creationId xmlns:a16="http://schemas.microsoft.com/office/drawing/2014/main" id="{00000000-0008-0000-0700-0000E7030000}"/>
            </a:ext>
          </a:extLst>
        </xdr:cNvPr>
        <xdr:cNvCxnSpPr/>
      </xdr:nvCxnSpPr>
      <xdr:spPr>
        <a:xfrm flipH="1" flipV="1">
          <a:off x="3749040" y="40598725"/>
          <a:ext cx="1" cy="97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227</xdr:row>
      <xdr:rowOff>127000</xdr:rowOff>
    </xdr:from>
    <xdr:to>
      <xdr:col>5</xdr:col>
      <xdr:colOff>356235</xdr:colOff>
      <xdr:row>227</xdr:row>
      <xdr:rowOff>309880</xdr:rowOff>
    </xdr:to>
    <xdr:cxnSp macro="">
      <xdr:nvCxnSpPr>
        <xdr:cNvPr id="1000" name="Straight Connector 999">
          <a:extLst>
            <a:ext uri="{FF2B5EF4-FFF2-40B4-BE49-F238E27FC236}">
              <a16:creationId xmlns:a16="http://schemas.microsoft.com/office/drawing/2014/main" id="{00000000-0008-0000-0700-0000E8030000}"/>
            </a:ext>
          </a:extLst>
        </xdr:cNvPr>
        <xdr:cNvCxnSpPr/>
      </xdr:nvCxnSpPr>
      <xdr:spPr>
        <a:xfrm flipH="1" flipV="1">
          <a:off x="3480435" y="416407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227</xdr:row>
      <xdr:rowOff>400050</xdr:rowOff>
    </xdr:from>
    <xdr:to>
      <xdr:col>5</xdr:col>
      <xdr:colOff>1666875</xdr:colOff>
      <xdr:row>227</xdr:row>
      <xdr:rowOff>400050</xdr:rowOff>
    </xdr:to>
    <xdr:cxnSp macro="">
      <xdr:nvCxnSpPr>
        <xdr:cNvPr id="1001" name="Straight Connector 1000">
          <a:extLst>
            <a:ext uri="{FF2B5EF4-FFF2-40B4-BE49-F238E27FC236}">
              <a16:creationId xmlns:a16="http://schemas.microsoft.com/office/drawing/2014/main" id="{00000000-0008-0000-0700-0000E9030000}"/>
            </a:ext>
          </a:extLst>
        </xdr:cNvPr>
        <xdr:cNvCxnSpPr/>
      </xdr:nvCxnSpPr>
      <xdr:spPr>
        <a:xfrm>
          <a:off x="3476625" y="416928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227</xdr:row>
      <xdr:rowOff>127000</xdr:rowOff>
    </xdr:from>
    <xdr:to>
      <xdr:col>5</xdr:col>
      <xdr:colOff>356810</xdr:colOff>
      <xdr:row>227</xdr:row>
      <xdr:rowOff>409912</xdr:rowOff>
    </xdr:to>
    <xdr:cxnSp macro="">
      <xdr:nvCxnSpPr>
        <xdr:cNvPr id="1002" name="Straight Connector 1001">
          <a:extLst>
            <a:ext uri="{FF2B5EF4-FFF2-40B4-BE49-F238E27FC236}">
              <a16:creationId xmlns:a16="http://schemas.microsoft.com/office/drawing/2014/main" id="{00000000-0008-0000-0700-0000EA030000}"/>
            </a:ext>
          </a:extLst>
        </xdr:cNvPr>
        <xdr:cNvCxnSpPr/>
      </xdr:nvCxnSpPr>
      <xdr:spPr>
        <a:xfrm flipH="1" flipV="1">
          <a:off x="3481009" y="416407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1661160</xdr:colOff>
      <xdr:row>227</xdr:row>
      <xdr:rowOff>153035</xdr:rowOff>
    </xdr:from>
    <xdr:to>
      <xdr:col>5</xdr:col>
      <xdr:colOff>1661161</xdr:colOff>
      <xdr:row>227</xdr:row>
      <xdr:rowOff>435947</xdr:rowOff>
    </xdr:to>
    <xdr:cxnSp macro="">
      <xdr:nvCxnSpPr>
        <xdr:cNvPr id="1003" name="Straight Connector 1002">
          <a:extLst>
            <a:ext uri="{FF2B5EF4-FFF2-40B4-BE49-F238E27FC236}">
              <a16:creationId xmlns:a16="http://schemas.microsoft.com/office/drawing/2014/main" id="{00000000-0008-0000-0700-0000EB030000}"/>
            </a:ext>
          </a:extLst>
        </xdr:cNvPr>
        <xdr:cNvCxnSpPr/>
      </xdr:nvCxnSpPr>
      <xdr:spPr>
        <a:xfrm flipH="1" flipV="1">
          <a:off x="3749040" y="41666795"/>
          <a:ext cx="1" cy="3145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228</xdr:row>
      <xdr:rowOff>190500</xdr:rowOff>
    </xdr:from>
    <xdr:to>
      <xdr:col>5</xdr:col>
      <xdr:colOff>1628775</xdr:colOff>
      <xdr:row>228</xdr:row>
      <xdr:rowOff>190500</xdr:rowOff>
    </xdr:to>
    <xdr:cxnSp macro="">
      <xdr:nvCxnSpPr>
        <xdr:cNvPr id="1004" name="Straight Connector 1003">
          <a:extLst>
            <a:ext uri="{FF2B5EF4-FFF2-40B4-BE49-F238E27FC236}">
              <a16:creationId xmlns:a16="http://schemas.microsoft.com/office/drawing/2014/main" id="{00000000-0008-0000-0700-0000EC030000}"/>
            </a:ext>
          </a:extLst>
        </xdr:cNvPr>
        <xdr:cNvCxnSpPr/>
      </xdr:nvCxnSpPr>
      <xdr:spPr>
        <a:xfrm>
          <a:off x="3438525" y="41879520"/>
          <a:ext cx="3086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231</xdr:row>
      <xdr:rowOff>123824</xdr:rowOff>
    </xdr:from>
    <xdr:to>
      <xdr:col>5</xdr:col>
      <xdr:colOff>1428750</xdr:colOff>
      <xdr:row>231</xdr:row>
      <xdr:rowOff>1219199</xdr:rowOff>
    </xdr:to>
    <xdr:sp macro="" textlink="">
      <xdr:nvSpPr>
        <xdr:cNvPr id="1005" name="Rounded Rectangle 1004">
          <a:extLst>
            <a:ext uri="{FF2B5EF4-FFF2-40B4-BE49-F238E27FC236}">
              <a16:creationId xmlns:a16="http://schemas.microsoft.com/office/drawing/2014/main" id="{00000000-0008-0000-0700-0000ED030000}"/>
            </a:ext>
          </a:extLst>
        </xdr:cNvPr>
        <xdr:cNvSpPr/>
      </xdr:nvSpPr>
      <xdr:spPr>
        <a:xfrm>
          <a:off x="3745230" y="4236910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231</xdr:row>
      <xdr:rowOff>238127</xdr:rowOff>
    </xdr:from>
    <xdr:to>
      <xdr:col>5</xdr:col>
      <xdr:colOff>790575</xdr:colOff>
      <xdr:row>231</xdr:row>
      <xdr:rowOff>361950</xdr:rowOff>
    </xdr:to>
    <xdr:cxnSp macro="">
      <xdr:nvCxnSpPr>
        <xdr:cNvPr id="1006" name="Straight Connector 1005">
          <a:extLst>
            <a:ext uri="{FF2B5EF4-FFF2-40B4-BE49-F238E27FC236}">
              <a16:creationId xmlns:a16="http://schemas.microsoft.com/office/drawing/2014/main" id="{00000000-0008-0000-0700-0000EE030000}"/>
            </a:ext>
          </a:extLst>
        </xdr:cNvPr>
        <xdr:cNvCxnSpPr/>
      </xdr:nvCxnSpPr>
      <xdr:spPr>
        <a:xfrm flipH="1" flipV="1">
          <a:off x="3749041" y="4243006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231</xdr:row>
      <xdr:rowOff>133352</xdr:rowOff>
    </xdr:from>
    <xdr:to>
      <xdr:col>5</xdr:col>
      <xdr:colOff>885825</xdr:colOff>
      <xdr:row>231</xdr:row>
      <xdr:rowOff>257175</xdr:rowOff>
    </xdr:to>
    <xdr:cxnSp macro="">
      <xdr:nvCxnSpPr>
        <xdr:cNvPr id="1007" name="Straight Connector 1006">
          <a:extLst>
            <a:ext uri="{FF2B5EF4-FFF2-40B4-BE49-F238E27FC236}">
              <a16:creationId xmlns:a16="http://schemas.microsoft.com/office/drawing/2014/main" id="{00000000-0008-0000-0700-0000EF030000}"/>
            </a:ext>
          </a:extLst>
        </xdr:cNvPr>
        <xdr:cNvCxnSpPr/>
      </xdr:nvCxnSpPr>
      <xdr:spPr>
        <a:xfrm flipH="1" flipV="1">
          <a:off x="3745231" y="4237863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229</xdr:row>
      <xdr:rowOff>174625</xdr:rowOff>
    </xdr:from>
    <xdr:to>
      <xdr:col>5</xdr:col>
      <xdr:colOff>327661</xdr:colOff>
      <xdr:row>229</xdr:row>
      <xdr:rowOff>457537</xdr:rowOff>
    </xdr:to>
    <xdr:cxnSp macro="">
      <xdr:nvCxnSpPr>
        <xdr:cNvPr id="1008" name="Straight Connector 1007">
          <a:extLst>
            <a:ext uri="{FF2B5EF4-FFF2-40B4-BE49-F238E27FC236}">
              <a16:creationId xmlns:a16="http://schemas.microsoft.com/office/drawing/2014/main" id="{00000000-0008-0000-0700-0000F0030000}"/>
            </a:ext>
          </a:extLst>
        </xdr:cNvPr>
        <xdr:cNvCxnSpPr/>
      </xdr:nvCxnSpPr>
      <xdr:spPr>
        <a:xfrm flipH="1" flipV="1">
          <a:off x="3451860" y="4205414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229</xdr:row>
      <xdr:rowOff>200025</xdr:rowOff>
    </xdr:from>
    <xdr:to>
      <xdr:col>5</xdr:col>
      <xdr:colOff>1638300</xdr:colOff>
      <xdr:row>229</xdr:row>
      <xdr:rowOff>200025</xdr:rowOff>
    </xdr:to>
    <xdr:cxnSp macro="">
      <xdr:nvCxnSpPr>
        <xdr:cNvPr id="1009" name="Straight Connector 1008">
          <a:extLst>
            <a:ext uri="{FF2B5EF4-FFF2-40B4-BE49-F238E27FC236}">
              <a16:creationId xmlns:a16="http://schemas.microsoft.com/office/drawing/2014/main" id="{00000000-0008-0000-0700-0000F1030000}"/>
            </a:ext>
          </a:extLst>
        </xdr:cNvPr>
        <xdr:cNvCxnSpPr/>
      </xdr:nvCxnSpPr>
      <xdr:spPr>
        <a:xfrm>
          <a:off x="3448050" y="4206430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327660</xdr:colOff>
      <xdr:row>230</xdr:row>
      <xdr:rowOff>174625</xdr:rowOff>
    </xdr:from>
    <xdr:to>
      <xdr:col>5</xdr:col>
      <xdr:colOff>327661</xdr:colOff>
      <xdr:row>230</xdr:row>
      <xdr:rowOff>457537</xdr:rowOff>
    </xdr:to>
    <xdr:cxnSp macro="">
      <xdr:nvCxnSpPr>
        <xdr:cNvPr id="1010" name="Straight Connector 1009">
          <a:extLst>
            <a:ext uri="{FF2B5EF4-FFF2-40B4-BE49-F238E27FC236}">
              <a16:creationId xmlns:a16="http://schemas.microsoft.com/office/drawing/2014/main" id="{00000000-0008-0000-0700-0000F2030000}"/>
            </a:ext>
          </a:extLst>
        </xdr:cNvPr>
        <xdr:cNvCxnSpPr/>
      </xdr:nvCxnSpPr>
      <xdr:spPr>
        <a:xfrm flipH="1" flipV="1">
          <a:off x="3451860" y="42237025"/>
          <a:ext cx="1" cy="85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230</xdr:row>
      <xdr:rowOff>200025</xdr:rowOff>
    </xdr:from>
    <xdr:to>
      <xdr:col>5</xdr:col>
      <xdr:colOff>1638300</xdr:colOff>
      <xdr:row>230</xdr:row>
      <xdr:rowOff>200025</xdr:rowOff>
    </xdr:to>
    <xdr:cxnSp macro="">
      <xdr:nvCxnSpPr>
        <xdr:cNvPr id="1011" name="Straight Connector 1010">
          <a:extLst>
            <a:ext uri="{FF2B5EF4-FFF2-40B4-BE49-F238E27FC236}">
              <a16:creationId xmlns:a16="http://schemas.microsoft.com/office/drawing/2014/main" id="{00000000-0008-0000-0700-0000F3030000}"/>
            </a:ext>
          </a:extLst>
        </xdr:cNvPr>
        <xdr:cNvCxnSpPr/>
      </xdr:nvCxnSpPr>
      <xdr:spPr>
        <a:xfrm>
          <a:off x="3448050" y="42247185"/>
          <a:ext cx="3009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1623060</xdr:colOff>
      <xdr:row>229</xdr:row>
      <xdr:rowOff>182245</xdr:rowOff>
    </xdr:from>
    <xdr:to>
      <xdr:col>5</xdr:col>
      <xdr:colOff>1623061</xdr:colOff>
      <xdr:row>229</xdr:row>
      <xdr:rowOff>465157</xdr:rowOff>
    </xdr:to>
    <xdr:cxnSp macro="">
      <xdr:nvCxnSpPr>
        <xdr:cNvPr id="1012" name="Straight Connector 1011">
          <a:extLst>
            <a:ext uri="{FF2B5EF4-FFF2-40B4-BE49-F238E27FC236}">
              <a16:creationId xmlns:a16="http://schemas.microsoft.com/office/drawing/2014/main" id="{00000000-0008-0000-0700-0000F4030000}"/>
            </a:ext>
          </a:extLst>
        </xdr:cNvPr>
        <xdr:cNvCxnSpPr/>
      </xdr:nvCxnSpPr>
      <xdr:spPr>
        <a:xfrm flipH="1" flipV="1">
          <a:off x="3749040" y="42061765"/>
          <a:ext cx="1" cy="97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235</xdr:row>
      <xdr:rowOff>127000</xdr:rowOff>
    </xdr:from>
    <xdr:to>
      <xdr:col>5</xdr:col>
      <xdr:colOff>356235</xdr:colOff>
      <xdr:row>235</xdr:row>
      <xdr:rowOff>309880</xdr:rowOff>
    </xdr:to>
    <xdr:cxnSp macro="">
      <xdr:nvCxnSpPr>
        <xdr:cNvPr id="1013" name="Straight Connector 1012">
          <a:extLst>
            <a:ext uri="{FF2B5EF4-FFF2-40B4-BE49-F238E27FC236}">
              <a16:creationId xmlns:a16="http://schemas.microsoft.com/office/drawing/2014/main" id="{00000000-0008-0000-0700-0000F5030000}"/>
            </a:ext>
          </a:extLst>
        </xdr:cNvPr>
        <xdr:cNvCxnSpPr/>
      </xdr:nvCxnSpPr>
      <xdr:spPr>
        <a:xfrm flipH="1" flipV="1">
          <a:off x="3480435" y="431038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235</xdr:row>
      <xdr:rowOff>400050</xdr:rowOff>
    </xdr:from>
    <xdr:to>
      <xdr:col>5</xdr:col>
      <xdr:colOff>1666875</xdr:colOff>
      <xdr:row>235</xdr:row>
      <xdr:rowOff>400050</xdr:rowOff>
    </xdr:to>
    <xdr:cxnSp macro="">
      <xdr:nvCxnSpPr>
        <xdr:cNvPr id="1014" name="Straight Connector 1013">
          <a:extLst>
            <a:ext uri="{FF2B5EF4-FFF2-40B4-BE49-F238E27FC236}">
              <a16:creationId xmlns:a16="http://schemas.microsoft.com/office/drawing/2014/main" id="{00000000-0008-0000-0700-0000F6030000}"/>
            </a:ext>
          </a:extLst>
        </xdr:cNvPr>
        <xdr:cNvCxnSpPr/>
      </xdr:nvCxnSpPr>
      <xdr:spPr>
        <a:xfrm>
          <a:off x="3476625" y="431558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235</xdr:row>
      <xdr:rowOff>127000</xdr:rowOff>
    </xdr:from>
    <xdr:to>
      <xdr:col>5</xdr:col>
      <xdr:colOff>356810</xdr:colOff>
      <xdr:row>235</xdr:row>
      <xdr:rowOff>409912</xdr:rowOff>
    </xdr:to>
    <xdr:cxnSp macro="">
      <xdr:nvCxnSpPr>
        <xdr:cNvPr id="1015" name="Straight Connector 1014">
          <a:extLst>
            <a:ext uri="{FF2B5EF4-FFF2-40B4-BE49-F238E27FC236}">
              <a16:creationId xmlns:a16="http://schemas.microsoft.com/office/drawing/2014/main" id="{00000000-0008-0000-0700-0000F7030000}"/>
            </a:ext>
          </a:extLst>
        </xdr:cNvPr>
        <xdr:cNvCxnSpPr/>
      </xdr:nvCxnSpPr>
      <xdr:spPr>
        <a:xfrm flipH="1" flipV="1">
          <a:off x="3481009" y="431038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235</xdr:row>
      <xdr:rowOff>134252</xdr:rowOff>
    </xdr:from>
    <xdr:to>
      <xdr:col>5</xdr:col>
      <xdr:colOff>1652211</xdr:colOff>
      <xdr:row>235</xdr:row>
      <xdr:rowOff>417164</xdr:rowOff>
    </xdr:to>
    <xdr:cxnSp macro="">
      <xdr:nvCxnSpPr>
        <xdr:cNvPr id="1016" name="Straight Connector 1015">
          <a:extLst>
            <a:ext uri="{FF2B5EF4-FFF2-40B4-BE49-F238E27FC236}">
              <a16:creationId xmlns:a16="http://schemas.microsoft.com/office/drawing/2014/main" id="{00000000-0008-0000-0700-0000F8030000}"/>
            </a:ext>
          </a:extLst>
        </xdr:cNvPr>
        <xdr:cNvCxnSpPr/>
      </xdr:nvCxnSpPr>
      <xdr:spPr>
        <a:xfrm flipH="1" flipV="1">
          <a:off x="3747710" y="431110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236</xdr:row>
      <xdr:rowOff>127000</xdr:rowOff>
    </xdr:from>
    <xdr:to>
      <xdr:col>5</xdr:col>
      <xdr:colOff>356235</xdr:colOff>
      <xdr:row>236</xdr:row>
      <xdr:rowOff>309880</xdr:rowOff>
    </xdr:to>
    <xdr:cxnSp macro="">
      <xdr:nvCxnSpPr>
        <xdr:cNvPr id="1017" name="Straight Connector 1016">
          <a:extLst>
            <a:ext uri="{FF2B5EF4-FFF2-40B4-BE49-F238E27FC236}">
              <a16:creationId xmlns:a16="http://schemas.microsoft.com/office/drawing/2014/main" id="{00000000-0008-0000-0700-0000F9030000}"/>
            </a:ext>
          </a:extLst>
        </xdr:cNvPr>
        <xdr:cNvCxnSpPr/>
      </xdr:nvCxnSpPr>
      <xdr:spPr>
        <a:xfrm flipH="1" flipV="1">
          <a:off x="3480435" y="43286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236</xdr:row>
      <xdr:rowOff>152400</xdr:rowOff>
    </xdr:from>
    <xdr:to>
      <xdr:col>5</xdr:col>
      <xdr:colOff>1676400</xdr:colOff>
      <xdr:row>236</xdr:row>
      <xdr:rowOff>152400</xdr:rowOff>
    </xdr:to>
    <xdr:cxnSp macro="">
      <xdr:nvCxnSpPr>
        <xdr:cNvPr id="1018" name="Straight Connector 1017">
          <a:extLst>
            <a:ext uri="{FF2B5EF4-FFF2-40B4-BE49-F238E27FC236}">
              <a16:creationId xmlns:a16="http://schemas.microsoft.com/office/drawing/2014/main" id="{00000000-0008-0000-0700-0000FA030000}"/>
            </a:ext>
          </a:extLst>
        </xdr:cNvPr>
        <xdr:cNvCxnSpPr/>
      </xdr:nvCxnSpPr>
      <xdr:spPr>
        <a:xfrm>
          <a:off x="3486150" y="433120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236</xdr:row>
      <xdr:rowOff>127000</xdr:rowOff>
    </xdr:from>
    <xdr:to>
      <xdr:col>5</xdr:col>
      <xdr:colOff>356810</xdr:colOff>
      <xdr:row>236</xdr:row>
      <xdr:rowOff>409912</xdr:rowOff>
    </xdr:to>
    <xdr:cxnSp macro="">
      <xdr:nvCxnSpPr>
        <xdr:cNvPr id="1019" name="Straight Connector 1018">
          <a:extLst>
            <a:ext uri="{FF2B5EF4-FFF2-40B4-BE49-F238E27FC236}">
              <a16:creationId xmlns:a16="http://schemas.microsoft.com/office/drawing/2014/main" id="{00000000-0008-0000-0700-0000FB030000}"/>
            </a:ext>
          </a:extLst>
        </xdr:cNvPr>
        <xdr:cNvCxnSpPr/>
      </xdr:nvCxnSpPr>
      <xdr:spPr>
        <a:xfrm flipH="1" flipV="1">
          <a:off x="3481009" y="43286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236</xdr:row>
      <xdr:rowOff>134252</xdr:rowOff>
    </xdr:from>
    <xdr:to>
      <xdr:col>5</xdr:col>
      <xdr:colOff>1652211</xdr:colOff>
      <xdr:row>236</xdr:row>
      <xdr:rowOff>417164</xdr:rowOff>
    </xdr:to>
    <xdr:cxnSp macro="">
      <xdr:nvCxnSpPr>
        <xdr:cNvPr id="1020" name="Straight Connector 1019">
          <a:extLst>
            <a:ext uri="{FF2B5EF4-FFF2-40B4-BE49-F238E27FC236}">
              <a16:creationId xmlns:a16="http://schemas.microsoft.com/office/drawing/2014/main" id="{00000000-0008-0000-0700-0000FC030000}"/>
            </a:ext>
          </a:extLst>
        </xdr:cNvPr>
        <xdr:cNvCxnSpPr/>
      </xdr:nvCxnSpPr>
      <xdr:spPr>
        <a:xfrm flipH="1" flipV="1">
          <a:off x="3747710" y="43293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237</xdr:row>
      <xdr:rowOff>123824</xdr:rowOff>
    </xdr:from>
    <xdr:to>
      <xdr:col>5</xdr:col>
      <xdr:colOff>1428750</xdr:colOff>
      <xdr:row>237</xdr:row>
      <xdr:rowOff>1219199</xdr:rowOff>
    </xdr:to>
    <xdr:sp macro="" textlink="">
      <xdr:nvSpPr>
        <xdr:cNvPr id="1021" name="Rounded Rectangle 1020">
          <a:extLst>
            <a:ext uri="{FF2B5EF4-FFF2-40B4-BE49-F238E27FC236}">
              <a16:creationId xmlns:a16="http://schemas.microsoft.com/office/drawing/2014/main" id="{00000000-0008-0000-0700-0000FD030000}"/>
            </a:ext>
          </a:extLst>
        </xdr:cNvPr>
        <xdr:cNvSpPr/>
      </xdr:nvSpPr>
      <xdr:spPr>
        <a:xfrm>
          <a:off x="3745230" y="434663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237</xdr:row>
      <xdr:rowOff>238127</xdr:rowOff>
    </xdr:from>
    <xdr:to>
      <xdr:col>5</xdr:col>
      <xdr:colOff>790575</xdr:colOff>
      <xdr:row>237</xdr:row>
      <xdr:rowOff>361950</xdr:rowOff>
    </xdr:to>
    <xdr:cxnSp macro="">
      <xdr:nvCxnSpPr>
        <xdr:cNvPr id="1022" name="Straight Connector 1021">
          <a:extLst>
            <a:ext uri="{FF2B5EF4-FFF2-40B4-BE49-F238E27FC236}">
              <a16:creationId xmlns:a16="http://schemas.microsoft.com/office/drawing/2014/main" id="{00000000-0008-0000-0700-0000FE030000}"/>
            </a:ext>
          </a:extLst>
        </xdr:cNvPr>
        <xdr:cNvCxnSpPr/>
      </xdr:nvCxnSpPr>
      <xdr:spPr>
        <a:xfrm flipH="1" flipV="1">
          <a:off x="3749041" y="435273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237</xdr:row>
      <xdr:rowOff>133352</xdr:rowOff>
    </xdr:from>
    <xdr:to>
      <xdr:col>5</xdr:col>
      <xdr:colOff>885825</xdr:colOff>
      <xdr:row>237</xdr:row>
      <xdr:rowOff>257175</xdr:rowOff>
    </xdr:to>
    <xdr:cxnSp macro="">
      <xdr:nvCxnSpPr>
        <xdr:cNvPr id="1023" name="Straight Connector 1022">
          <a:extLst>
            <a:ext uri="{FF2B5EF4-FFF2-40B4-BE49-F238E27FC236}">
              <a16:creationId xmlns:a16="http://schemas.microsoft.com/office/drawing/2014/main" id="{00000000-0008-0000-0700-0000FF030000}"/>
            </a:ext>
          </a:extLst>
        </xdr:cNvPr>
        <xdr:cNvCxnSpPr/>
      </xdr:nvCxnSpPr>
      <xdr:spPr>
        <a:xfrm flipH="1" flipV="1">
          <a:off x="3745231" y="434759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235</xdr:row>
      <xdr:rowOff>127000</xdr:rowOff>
    </xdr:from>
    <xdr:to>
      <xdr:col>5</xdr:col>
      <xdr:colOff>356235</xdr:colOff>
      <xdr:row>235</xdr:row>
      <xdr:rowOff>309880</xdr:rowOff>
    </xdr:to>
    <xdr:cxnSp macro="">
      <xdr:nvCxnSpPr>
        <xdr:cNvPr id="1024" name="Straight Connector 1023">
          <a:extLst>
            <a:ext uri="{FF2B5EF4-FFF2-40B4-BE49-F238E27FC236}">
              <a16:creationId xmlns:a16="http://schemas.microsoft.com/office/drawing/2014/main" id="{00000000-0008-0000-0700-000000040000}"/>
            </a:ext>
          </a:extLst>
        </xdr:cNvPr>
        <xdr:cNvCxnSpPr/>
      </xdr:nvCxnSpPr>
      <xdr:spPr>
        <a:xfrm flipH="1" flipV="1">
          <a:off x="3480435" y="431038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235</xdr:row>
      <xdr:rowOff>400050</xdr:rowOff>
    </xdr:from>
    <xdr:to>
      <xdr:col>5</xdr:col>
      <xdr:colOff>1666875</xdr:colOff>
      <xdr:row>235</xdr:row>
      <xdr:rowOff>400050</xdr:rowOff>
    </xdr:to>
    <xdr:cxnSp macro="">
      <xdr:nvCxnSpPr>
        <xdr:cNvPr id="1025" name="Straight Connector 1024">
          <a:extLst>
            <a:ext uri="{FF2B5EF4-FFF2-40B4-BE49-F238E27FC236}">
              <a16:creationId xmlns:a16="http://schemas.microsoft.com/office/drawing/2014/main" id="{00000000-0008-0000-0700-000001040000}"/>
            </a:ext>
          </a:extLst>
        </xdr:cNvPr>
        <xdr:cNvCxnSpPr/>
      </xdr:nvCxnSpPr>
      <xdr:spPr>
        <a:xfrm>
          <a:off x="3476625" y="431558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235</xdr:row>
      <xdr:rowOff>127000</xdr:rowOff>
    </xdr:from>
    <xdr:to>
      <xdr:col>5</xdr:col>
      <xdr:colOff>356810</xdr:colOff>
      <xdr:row>235</xdr:row>
      <xdr:rowOff>409912</xdr:rowOff>
    </xdr:to>
    <xdr:cxnSp macro="">
      <xdr:nvCxnSpPr>
        <xdr:cNvPr id="1026" name="Straight Connector 1025">
          <a:extLst>
            <a:ext uri="{FF2B5EF4-FFF2-40B4-BE49-F238E27FC236}">
              <a16:creationId xmlns:a16="http://schemas.microsoft.com/office/drawing/2014/main" id="{00000000-0008-0000-0700-000002040000}"/>
            </a:ext>
          </a:extLst>
        </xdr:cNvPr>
        <xdr:cNvCxnSpPr/>
      </xdr:nvCxnSpPr>
      <xdr:spPr>
        <a:xfrm flipH="1" flipV="1">
          <a:off x="3481009" y="431038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235</xdr:row>
      <xdr:rowOff>134252</xdr:rowOff>
    </xdr:from>
    <xdr:to>
      <xdr:col>5</xdr:col>
      <xdr:colOff>1652211</xdr:colOff>
      <xdr:row>235</xdr:row>
      <xdr:rowOff>417164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id="{00000000-0008-0000-0700-000003040000}"/>
            </a:ext>
          </a:extLst>
        </xdr:cNvPr>
        <xdr:cNvCxnSpPr/>
      </xdr:nvCxnSpPr>
      <xdr:spPr>
        <a:xfrm flipH="1" flipV="1">
          <a:off x="3747710" y="431110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236</xdr:row>
      <xdr:rowOff>127000</xdr:rowOff>
    </xdr:from>
    <xdr:to>
      <xdr:col>5</xdr:col>
      <xdr:colOff>356235</xdr:colOff>
      <xdr:row>236</xdr:row>
      <xdr:rowOff>309880</xdr:rowOff>
    </xdr:to>
    <xdr:cxnSp macro="">
      <xdr:nvCxnSpPr>
        <xdr:cNvPr id="1028" name="Straight Connector 1027">
          <a:extLst>
            <a:ext uri="{FF2B5EF4-FFF2-40B4-BE49-F238E27FC236}">
              <a16:creationId xmlns:a16="http://schemas.microsoft.com/office/drawing/2014/main" id="{00000000-0008-0000-0700-000004040000}"/>
            </a:ext>
          </a:extLst>
        </xdr:cNvPr>
        <xdr:cNvCxnSpPr/>
      </xdr:nvCxnSpPr>
      <xdr:spPr>
        <a:xfrm flipH="1" flipV="1">
          <a:off x="3480435" y="43286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236</xdr:row>
      <xdr:rowOff>152400</xdr:rowOff>
    </xdr:from>
    <xdr:to>
      <xdr:col>5</xdr:col>
      <xdr:colOff>1676400</xdr:colOff>
      <xdr:row>236</xdr:row>
      <xdr:rowOff>152400</xdr:rowOff>
    </xdr:to>
    <xdr:cxnSp macro="">
      <xdr:nvCxnSpPr>
        <xdr:cNvPr id="1029" name="Straight Connector 1028">
          <a:extLst>
            <a:ext uri="{FF2B5EF4-FFF2-40B4-BE49-F238E27FC236}">
              <a16:creationId xmlns:a16="http://schemas.microsoft.com/office/drawing/2014/main" id="{00000000-0008-0000-0700-000005040000}"/>
            </a:ext>
          </a:extLst>
        </xdr:cNvPr>
        <xdr:cNvCxnSpPr/>
      </xdr:nvCxnSpPr>
      <xdr:spPr>
        <a:xfrm>
          <a:off x="3486150" y="433120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236</xdr:row>
      <xdr:rowOff>127000</xdr:rowOff>
    </xdr:from>
    <xdr:to>
      <xdr:col>5</xdr:col>
      <xdr:colOff>356810</xdr:colOff>
      <xdr:row>236</xdr:row>
      <xdr:rowOff>409912</xdr:rowOff>
    </xdr:to>
    <xdr:cxnSp macro="">
      <xdr:nvCxnSpPr>
        <xdr:cNvPr id="1030" name="Straight Connector 1029">
          <a:extLst>
            <a:ext uri="{FF2B5EF4-FFF2-40B4-BE49-F238E27FC236}">
              <a16:creationId xmlns:a16="http://schemas.microsoft.com/office/drawing/2014/main" id="{00000000-0008-0000-0700-000006040000}"/>
            </a:ext>
          </a:extLst>
        </xdr:cNvPr>
        <xdr:cNvCxnSpPr/>
      </xdr:nvCxnSpPr>
      <xdr:spPr>
        <a:xfrm flipH="1" flipV="1">
          <a:off x="3481009" y="43286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236</xdr:row>
      <xdr:rowOff>134252</xdr:rowOff>
    </xdr:from>
    <xdr:to>
      <xdr:col>5</xdr:col>
      <xdr:colOff>1652211</xdr:colOff>
      <xdr:row>236</xdr:row>
      <xdr:rowOff>417164</xdr:rowOff>
    </xdr:to>
    <xdr:cxnSp macro="">
      <xdr:nvCxnSpPr>
        <xdr:cNvPr id="1031" name="Straight Connector 1030">
          <a:extLst>
            <a:ext uri="{FF2B5EF4-FFF2-40B4-BE49-F238E27FC236}">
              <a16:creationId xmlns:a16="http://schemas.microsoft.com/office/drawing/2014/main" id="{00000000-0008-0000-0700-000007040000}"/>
            </a:ext>
          </a:extLst>
        </xdr:cNvPr>
        <xdr:cNvCxnSpPr/>
      </xdr:nvCxnSpPr>
      <xdr:spPr>
        <a:xfrm flipH="1" flipV="1">
          <a:off x="3747710" y="43293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237</xdr:row>
      <xdr:rowOff>123824</xdr:rowOff>
    </xdr:from>
    <xdr:to>
      <xdr:col>5</xdr:col>
      <xdr:colOff>1428750</xdr:colOff>
      <xdr:row>237</xdr:row>
      <xdr:rowOff>1219199</xdr:rowOff>
    </xdr:to>
    <xdr:sp macro="" textlink="">
      <xdr:nvSpPr>
        <xdr:cNvPr id="1032" name="Rounded Rectangle 1031">
          <a:extLst>
            <a:ext uri="{FF2B5EF4-FFF2-40B4-BE49-F238E27FC236}">
              <a16:creationId xmlns:a16="http://schemas.microsoft.com/office/drawing/2014/main" id="{00000000-0008-0000-0700-000008040000}"/>
            </a:ext>
          </a:extLst>
        </xdr:cNvPr>
        <xdr:cNvSpPr/>
      </xdr:nvSpPr>
      <xdr:spPr>
        <a:xfrm>
          <a:off x="3745230" y="434663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237</xdr:row>
      <xdr:rowOff>238127</xdr:rowOff>
    </xdr:from>
    <xdr:to>
      <xdr:col>5</xdr:col>
      <xdr:colOff>790575</xdr:colOff>
      <xdr:row>237</xdr:row>
      <xdr:rowOff>361950</xdr:rowOff>
    </xdr:to>
    <xdr:cxnSp macro="">
      <xdr:nvCxnSpPr>
        <xdr:cNvPr id="1033" name="Straight Connector 1032">
          <a:extLst>
            <a:ext uri="{FF2B5EF4-FFF2-40B4-BE49-F238E27FC236}">
              <a16:creationId xmlns:a16="http://schemas.microsoft.com/office/drawing/2014/main" id="{00000000-0008-0000-0700-000009040000}"/>
            </a:ext>
          </a:extLst>
        </xdr:cNvPr>
        <xdr:cNvCxnSpPr/>
      </xdr:nvCxnSpPr>
      <xdr:spPr>
        <a:xfrm flipH="1" flipV="1">
          <a:off x="3749041" y="435273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237</xdr:row>
      <xdr:rowOff>133352</xdr:rowOff>
    </xdr:from>
    <xdr:to>
      <xdr:col>5</xdr:col>
      <xdr:colOff>885825</xdr:colOff>
      <xdr:row>237</xdr:row>
      <xdr:rowOff>257175</xdr:rowOff>
    </xdr:to>
    <xdr:cxnSp macro="">
      <xdr:nvCxnSpPr>
        <xdr:cNvPr id="1034" name="Straight Connector 1033">
          <a:extLst>
            <a:ext uri="{FF2B5EF4-FFF2-40B4-BE49-F238E27FC236}">
              <a16:creationId xmlns:a16="http://schemas.microsoft.com/office/drawing/2014/main" id="{00000000-0008-0000-0700-00000A040000}"/>
            </a:ext>
          </a:extLst>
        </xdr:cNvPr>
        <xdr:cNvCxnSpPr/>
      </xdr:nvCxnSpPr>
      <xdr:spPr>
        <a:xfrm flipH="1" flipV="1">
          <a:off x="3745231" y="434759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235</xdr:row>
      <xdr:rowOff>127000</xdr:rowOff>
    </xdr:from>
    <xdr:to>
      <xdr:col>5</xdr:col>
      <xdr:colOff>356235</xdr:colOff>
      <xdr:row>235</xdr:row>
      <xdr:rowOff>309880</xdr:rowOff>
    </xdr:to>
    <xdr:cxnSp macro="">
      <xdr:nvCxnSpPr>
        <xdr:cNvPr id="1035" name="Straight Connector 1034">
          <a:extLst>
            <a:ext uri="{FF2B5EF4-FFF2-40B4-BE49-F238E27FC236}">
              <a16:creationId xmlns:a16="http://schemas.microsoft.com/office/drawing/2014/main" id="{00000000-0008-0000-0700-00000B040000}"/>
            </a:ext>
          </a:extLst>
        </xdr:cNvPr>
        <xdr:cNvCxnSpPr/>
      </xdr:nvCxnSpPr>
      <xdr:spPr>
        <a:xfrm flipH="1" flipV="1">
          <a:off x="3480435" y="431038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235</xdr:row>
      <xdr:rowOff>400050</xdr:rowOff>
    </xdr:from>
    <xdr:to>
      <xdr:col>5</xdr:col>
      <xdr:colOff>1666875</xdr:colOff>
      <xdr:row>235</xdr:row>
      <xdr:rowOff>400050</xdr:rowOff>
    </xdr:to>
    <xdr:cxnSp macro="">
      <xdr:nvCxnSpPr>
        <xdr:cNvPr id="1036" name="Straight Connector 1035">
          <a:extLst>
            <a:ext uri="{FF2B5EF4-FFF2-40B4-BE49-F238E27FC236}">
              <a16:creationId xmlns:a16="http://schemas.microsoft.com/office/drawing/2014/main" id="{00000000-0008-0000-0700-00000C040000}"/>
            </a:ext>
          </a:extLst>
        </xdr:cNvPr>
        <xdr:cNvCxnSpPr/>
      </xdr:nvCxnSpPr>
      <xdr:spPr>
        <a:xfrm>
          <a:off x="3476625" y="431558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235</xdr:row>
      <xdr:rowOff>127000</xdr:rowOff>
    </xdr:from>
    <xdr:to>
      <xdr:col>5</xdr:col>
      <xdr:colOff>356810</xdr:colOff>
      <xdr:row>235</xdr:row>
      <xdr:rowOff>409912</xdr:rowOff>
    </xdr:to>
    <xdr:cxnSp macro="">
      <xdr:nvCxnSpPr>
        <xdr:cNvPr id="1037" name="Straight Connector 1036">
          <a:extLst>
            <a:ext uri="{FF2B5EF4-FFF2-40B4-BE49-F238E27FC236}">
              <a16:creationId xmlns:a16="http://schemas.microsoft.com/office/drawing/2014/main" id="{00000000-0008-0000-0700-00000D040000}"/>
            </a:ext>
          </a:extLst>
        </xdr:cNvPr>
        <xdr:cNvCxnSpPr/>
      </xdr:nvCxnSpPr>
      <xdr:spPr>
        <a:xfrm flipH="1" flipV="1">
          <a:off x="3481009" y="431038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235</xdr:row>
      <xdr:rowOff>134252</xdr:rowOff>
    </xdr:from>
    <xdr:to>
      <xdr:col>5</xdr:col>
      <xdr:colOff>1652211</xdr:colOff>
      <xdr:row>235</xdr:row>
      <xdr:rowOff>417164</xdr:rowOff>
    </xdr:to>
    <xdr:cxnSp macro="">
      <xdr:nvCxnSpPr>
        <xdr:cNvPr id="1038" name="Straight Connector 1037">
          <a:extLst>
            <a:ext uri="{FF2B5EF4-FFF2-40B4-BE49-F238E27FC236}">
              <a16:creationId xmlns:a16="http://schemas.microsoft.com/office/drawing/2014/main" id="{00000000-0008-0000-0700-00000E040000}"/>
            </a:ext>
          </a:extLst>
        </xdr:cNvPr>
        <xdr:cNvCxnSpPr/>
      </xdr:nvCxnSpPr>
      <xdr:spPr>
        <a:xfrm flipH="1" flipV="1">
          <a:off x="3747710" y="431110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236</xdr:row>
      <xdr:rowOff>127000</xdr:rowOff>
    </xdr:from>
    <xdr:to>
      <xdr:col>5</xdr:col>
      <xdr:colOff>356235</xdr:colOff>
      <xdr:row>236</xdr:row>
      <xdr:rowOff>309880</xdr:rowOff>
    </xdr:to>
    <xdr:cxnSp macro="">
      <xdr:nvCxnSpPr>
        <xdr:cNvPr id="1039" name="Straight Connector 1038">
          <a:extLst>
            <a:ext uri="{FF2B5EF4-FFF2-40B4-BE49-F238E27FC236}">
              <a16:creationId xmlns:a16="http://schemas.microsoft.com/office/drawing/2014/main" id="{00000000-0008-0000-0700-00000F040000}"/>
            </a:ext>
          </a:extLst>
        </xdr:cNvPr>
        <xdr:cNvCxnSpPr/>
      </xdr:nvCxnSpPr>
      <xdr:spPr>
        <a:xfrm flipH="1" flipV="1">
          <a:off x="3480435" y="43286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236</xdr:row>
      <xdr:rowOff>152400</xdr:rowOff>
    </xdr:from>
    <xdr:to>
      <xdr:col>5</xdr:col>
      <xdr:colOff>1676400</xdr:colOff>
      <xdr:row>236</xdr:row>
      <xdr:rowOff>152400</xdr:rowOff>
    </xdr:to>
    <xdr:cxnSp macro="">
      <xdr:nvCxnSpPr>
        <xdr:cNvPr id="1040" name="Straight Connector 1039">
          <a:extLst>
            <a:ext uri="{FF2B5EF4-FFF2-40B4-BE49-F238E27FC236}">
              <a16:creationId xmlns:a16="http://schemas.microsoft.com/office/drawing/2014/main" id="{00000000-0008-0000-0700-000010040000}"/>
            </a:ext>
          </a:extLst>
        </xdr:cNvPr>
        <xdr:cNvCxnSpPr/>
      </xdr:nvCxnSpPr>
      <xdr:spPr>
        <a:xfrm>
          <a:off x="3486150" y="433120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236</xdr:row>
      <xdr:rowOff>127000</xdr:rowOff>
    </xdr:from>
    <xdr:to>
      <xdr:col>5</xdr:col>
      <xdr:colOff>356810</xdr:colOff>
      <xdr:row>236</xdr:row>
      <xdr:rowOff>409912</xdr:rowOff>
    </xdr:to>
    <xdr:cxnSp macro="">
      <xdr:nvCxnSpPr>
        <xdr:cNvPr id="1041" name="Straight Connector 1040">
          <a:extLst>
            <a:ext uri="{FF2B5EF4-FFF2-40B4-BE49-F238E27FC236}">
              <a16:creationId xmlns:a16="http://schemas.microsoft.com/office/drawing/2014/main" id="{00000000-0008-0000-0700-000011040000}"/>
            </a:ext>
          </a:extLst>
        </xdr:cNvPr>
        <xdr:cNvCxnSpPr/>
      </xdr:nvCxnSpPr>
      <xdr:spPr>
        <a:xfrm flipH="1" flipV="1">
          <a:off x="3481009" y="43286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236</xdr:row>
      <xdr:rowOff>134252</xdr:rowOff>
    </xdr:from>
    <xdr:to>
      <xdr:col>5</xdr:col>
      <xdr:colOff>1652211</xdr:colOff>
      <xdr:row>236</xdr:row>
      <xdr:rowOff>417164</xdr:rowOff>
    </xdr:to>
    <xdr:cxnSp macro="">
      <xdr:nvCxnSpPr>
        <xdr:cNvPr id="1042" name="Straight Connector 1041">
          <a:extLst>
            <a:ext uri="{FF2B5EF4-FFF2-40B4-BE49-F238E27FC236}">
              <a16:creationId xmlns:a16="http://schemas.microsoft.com/office/drawing/2014/main" id="{00000000-0008-0000-0700-000012040000}"/>
            </a:ext>
          </a:extLst>
        </xdr:cNvPr>
        <xdr:cNvCxnSpPr/>
      </xdr:nvCxnSpPr>
      <xdr:spPr>
        <a:xfrm flipH="1" flipV="1">
          <a:off x="3747710" y="432939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237</xdr:row>
      <xdr:rowOff>123824</xdr:rowOff>
    </xdr:from>
    <xdr:to>
      <xdr:col>5</xdr:col>
      <xdr:colOff>1428750</xdr:colOff>
      <xdr:row>237</xdr:row>
      <xdr:rowOff>1219199</xdr:rowOff>
    </xdr:to>
    <xdr:sp macro="" textlink="">
      <xdr:nvSpPr>
        <xdr:cNvPr id="1043" name="Rounded Rectangle 1042">
          <a:extLst>
            <a:ext uri="{FF2B5EF4-FFF2-40B4-BE49-F238E27FC236}">
              <a16:creationId xmlns:a16="http://schemas.microsoft.com/office/drawing/2014/main" id="{00000000-0008-0000-0700-000013040000}"/>
            </a:ext>
          </a:extLst>
        </xdr:cNvPr>
        <xdr:cNvSpPr/>
      </xdr:nvSpPr>
      <xdr:spPr>
        <a:xfrm>
          <a:off x="3745230" y="434663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237</xdr:row>
      <xdr:rowOff>238127</xdr:rowOff>
    </xdr:from>
    <xdr:to>
      <xdr:col>5</xdr:col>
      <xdr:colOff>790575</xdr:colOff>
      <xdr:row>237</xdr:row>
      <xdr:rowOff>361950</xdr:rowOff>
    </xdr:to>
    <xdr:cxnSp macro="">
      <xdr:nvCxnSpPr>
        <xdr:cNvPr id="1044" name="Straight Connector 1043">
          <a:extLst>
            <a:ext uri="{FF2B5EF4-FFF2-40B4-BE49-F238E27FC236}">
              <a16:creationId xmlns:a16="http://schemas.microsoft.com/office/drawing/2014/main" id="{00000000-0008-0000-0700-000014040000}"/>
            </a:ext>
          </a:extLst>
        </xdr:cNvPr>
        <xdr:cNvCxnSpPr/>
      </xdr:nvCxnSpPr>
      <xdr:spPr>
        <a:xfrm flipH="1" flipV="1">
          <a:off x="3749041" y="435273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237</xdr:row>
      <xdr:rowOff>133352</xdr:rowOff>
    </xdr:from>
    <xdr:to>
      <xdr:col>5</xdr:col>
      <xdr:colOff>885825</xdr:colOff>
      <xdr:row>237</xdr:row>
      <xdr:rowOff>257175</xdr:rowOff>
    </xdr:to>
    <xdr:cxnSp macro="">
      <xdr:nvCxnSpPr>
        <xdr:cNvPr id="1045" name="Straight Connector 1044">
          <a:extLst>
            <a:ext uri="{FF2B5EF4-FFF2-40B4-BE49-F238E27FC236}">
              <a16:creationId xmlns:a16="http://schemas.microsoft.com/office/drawing/2014/main" id="{00000000-0008-0000-0700-000015040000}"/>
            </a:ext>
          </a:extLst>
        </xdr:cNvPr>
        <xdr:cNvCxnSpPr/>
      </xdr:nvCxnSpPr>
      <xdr:spPr>
        <a:xfrm flipH="1" flipV="1">
          <a:off x="3745231" y="434759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235</xdr:row>
      <xdr:rowOff>127000</xdr:rowOff>
    </xdr:from>
    <xdr:to>
      <xdr:col>5</xdr:col>
      <xdr:colOff>356235</xdr:colOff>
      <xdr:row>235</xdr:row>
      <xdr:rowOff>309880</xdr:rowOff>
    </xdr:to>
    <xdr:cxnSp macro="">
      <xdr:nvCxnSpPr>
        <xdr:cNvPr id="1046" name="Straight Connector 1045">
          <a:extLst>
            <a:ext uri="{FF2B5EF4-FFF2-40B4-BE49-F238E27FC236}">
              <a16:creationId xmlns:a16="http://schemas.microsoft.com/office/drawing/2014/main" id="{00000000-0008-0000-0700-000016040000}"/>
            </a:ext>
          </a:extLst>
        </xdr:cNvPr>
        <xdr:cNvCxnSpPr/>
      </xdr:nvCxnSpPr>
      <xdr:spPr>
        <a:xfrm flipH="1" flipV="1">
          <a:off x="3480435" y="4310380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235</xdr:row>
      <xdr:rowOff>400050</xdr:rowOff>
    </xdr:from>
    <xdr:to>
      <xdr:col>5</xdr:col>
      <xdr:colOff>1666875</xdr:colOff>
      <xdr:row>235</xdr:row>
      <xdr:rowOff>400050</xdr:rowOff>
    </xdr:to>
    <xdr:cxnSp macro="">
      <xdr:nvCxnSpPr>
        <xdr:cNvPr id="1047" name="Straight Connector 1046">
          <a:extLst>
            <a:ext uri="{FF2B5EF4-FFF2-40B4-BE49-F238E27FC236}">
              <a16:creationId xmlns:a16="http://schemas.microsoft.com/office/drawing/2014/main" id="{00000000-0008-0000-0700-000017040000}"/>
            </a:ext>
          </a:extLst>
        </xdr:cNvPr>
        <xdr:cNvCxnSpPr/>
      </xdr:nvCxnSpPr>
      <xdr:spPr>
        <a:xfrm>
          <a:off x="3476625" y="4315587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235</xdr:row>
      <xdr:rowOff>127000</xdr:rowOff>
    </xdr:from>
    <xdr:to>
      <xdr:col>5</xdr:col>
      <xdr:colOff>356810</xdr:colOff>
      <xdr:row>235</xdr:row>
      <xdr:rowOff>409912</xdr:rowOff>
    </xdr:to>
    <xdr:cxnSp macro="">
      <xdr:nvCxnSpPr>
        <xdr:cNvPr id="1048" name="Straight Connector 1047">
          <a:extLst>
            <a:ext uri="{FF2B5EF4-FFF2-40B4-BE49-F238E27FC236}">
              <a16:creationId xmlns:a16="http://schemas.microsoft.com/office/drawing/2014/main" id="{00000000-0008-0000-0700-000018040000}"/>
            </a:ext>
          </a:extLst>
        </xdr:cNvPr>
        <xdr:cNvCxnSpPr/>
      </xdr:nvCxnSpPr>
      <xdr:spPr>
        <a:xfrm flipH="1" flipV="1">
          <a:off x="3481009" y="4310380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235</xdr:row>
      <xdr:rowOff>134252</xdr:rowOff>
    </xdr:from>
    <xdr:to>
      <xdr:col>5</xdr:col>
      <xdr:colOff>1652211</xdr:colOff>
      <xdr:row>235</xdr:row>
      <xdr:rowOff>417164</xdr:rowOff>
    </xdr:to>
    <xdr:cxnSp macro="">
      <xdr:nvCxnSpPr>
        <xdr:cNvPr id="1049" name="Straight Connector 1048">
          <a:extLst>
            <a:ext uri="{FF2B5EF4-FFF2-40B4-BE49-F238E27FC236}">
              <a16:creationId xmlns:a16="http://schemas.microsoft.com/office/drawing/2014/main" id="{00000000-0008-0000-0700-000019040000}"/>
            </a:ext>
          </a:extLst>
        </xdr:cNvPr>
        <xdr:cNvCxnSpPr/>
      </xdr:nvCxnSpPr>
      <xdr:spPr>
        <a:xfrm flipH="1" flipV="1">
          <a:off x="3747710" y="4311105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236</xdr:row>
      <xdr:rowOff>127000</xdr:rowOff>
    </xdr:from>
    <xdr:to>
      <xdr:col>5</xdr:col>
      <xdr:colOff>356235</xdr:colOff>
      <xdr:row>236</xdr:row>
      <xdr:rowOff>309880</xdr:rowOff>
    </xdr:to>
    <xdr:cxnSp macro="">
      <xdr:nvCxnSpPr>
        <xdr:cNvPr id="1050" name="Straight Connector 1049">
          <a:extLst>
            <a:ext uri="{FF2B5EF4-FFF2-40B4-BE49-F238E27FC236}">
              <a16:creationId xmlns:a16="http://schemas.microsoft.com/office/drawing/2014/main" id="{00000000-0008-0000-0700-00001A040000}"/>
            </a:ext>
          </a:extLst>
        </xdr:cNvPr>
        <xdr:cNvCxnSpPr/>
      </xdr:nvCxnSpPr>
      <xdr:spPr>
        <a:xfrm flipH="1" flipV="1">
          <a:off x="3480435" y="432866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236</xdr:row>
      <xdr:rowOff>152400</xdr:rowOff>
    </xdr:from>
    <xdr:to>
      <xdr:col>5</xdr:col>
      <xdr:colOff>1676400</xdr:colOff>
      <xdr:row>236</xdr:row>
      <xdr:rowOff>152400</xdr:rowOff>
    </xdr:to>
    <xdr:cxnSp macro="">
      <xdr:nvCxnSpPr>
        <xdr:cNvPr id="1051" name="Straight Connector 1050">
          <a:extLst>
            <a:ext uri="{FF2B5EF4-FFF2-40B4-BE49-F238E27FC236}">
              <a16:creationId xmlns:a16="http://schemas.microsoft.com/office/drawing/2014/main" id="{00000000-0008-0000-0700-00001B040000}"/>
            </a:ext>
          </a:extLst>
        </xdr:cNvPr>
        <xdr:cNvCxnSpPr/>
      </xdr:nvCxnSpPr>
      <xdr:spPr>
        <a:xfrm>
          <a:off x="3486150" y="4331208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236</xdr:row>
      <xdr:rowOff>127000</xdr:rowOff>
    </xdr:from>
    <xdr:to>
      <xdr:col>5</xdr:col>
      <xdr:colOff>356810</xdr:colOff>
      <xdr:row>236</xdr:row>
      <xdr:rowOff>409912</xdr:rowOff>
    </xdr:to>
    <xdr:cxnSp macro="">
      <xdr:nvCxnSpPr>
        <xdr:cNvPr id="1052" name="Straight Connector 1051">
          <a:extLst>
            <a:ext uri="{FF2B5EF4-FFF2-40B4-BE49-F238E27FC236}">
              <a16:creationId xmlns:a16="http://schemas.microsoft.com/office/drawing/2014/main" id="{00000000-0008-0000-0700-00001C040000}"/>
            </a:ext>
          </a:extLst>
        </xdr:cNvPr>
        <xdr:cNvCxnSpPr/>
      </xdr:nvCxnSpPr>
      <xdr:spPr>
        <a:xfrm flipH="1" flipV="1">
          <a:off x="3481009" y="432866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237</xdr:row>
      <xdr:rowOff>123824</xdr:rowOff>
    </xdr:from>
    <xdr:to>
      <xdr:col>5</xdr:col>
      <xdr:colOff>1428750</xdr:colOff>
      <xdr:row>237</xdr:row>
      <xdr:rowOff>1219199</xdr:rowOff>
    </xdr:to>
    <xdr:sp macro="" textlink="">
      <xdr:nvSpPr>
        <xdr:cNvPr id="1053" name="Rounded Rectangle 1052">
          <a:extLst>
            <a:ext uri="{FF2B5EF4-FFF2-40B4-BE49-F238E27FC236}">
              <a16:creationId xmlns:a16="http://schemas.microsoft.com/office/drawing/2014/main" id="{00000000-0008-0000-0700-00001D040000}"/>
            </a:ext>
          </a:extLst>
        </xdr:cNvPr>
        <xdr:cNvSpPr/>
      </xdr:nvSpPr>
      <xdr:spPr>
        <a:xfrm>
          <a:off x="3745230" y="4346638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237</xdr:row>
      <xdr:rowOff>238127</xdr:rowOff>
    </xdr:from>
    <xdr:to>
      <xdr:col>5</xdr:col>
      <xdr:colOff>790575</xdr:colOff>
      <xdr:row>237</xdr:row>
      <xdr:rowOff>361950</xdr:rowOff>
    </xdr:to>
    <xdr:cxnSp macro="">
      <xdr:nvCxnSpPr>
        <xdr:cNvPr id="1054" name="Straight Connector 1053">
          <a:extLst>
            <a:ext uri="{FF2B5EF4-FFF2-40B4-BE49-F238E27FC236}">
              <a16:creationId xmlns:a16="http://schemas.microsoft.com/office/drawing/2014/main" id="{00000000-0008-0000-0700-00001E040000}"/>
            </a:ext>
          </a:extLst>
        </xdr:cNvPr>
        <xdr:cNvCxnSpPr/>
      </xdr:nvCxnSpPr>
      <xdr:spPr>
        <a:xfrm flipH="1" flipV="1">
          <a:off x="3749041" y="4352734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237</xdr:row>
      <xdr:rowOff>133352</xdr:rowOff>
    </xdr:from>
    <xdr:to>
      <xdr:col>5</xdr:col>
      <xdr:colOff>885825</xdr:colOff>
      <xdr:row>237</xdr:row>
      <xdr:rowOff>257175</xdr:rowOff>
    </xdr:to>
    <xdr:cxnSp macro="">
      <xdr:nvCxnSpPr>
        <xdr:cNvPr id="1055" name="Straight Connector 1054">
          <a:extLst>
            <a:ext uri="{FF2B5EF4-FFF2-40B4-BE49-F238E27FC236}">
              <a16:creationId xmlns:a16="http://schemas.microsoft.com/office/drawing/2014/main" id="{00000000-0008-0000-0700-00001F040000}"/>
            </a:ext>
          </a:extLst>
        </xdr:cNvPr>
        <xdr:cNvCxnSpPr/>
      </xdr:nvCxnSpPr>
      <xdr:spPr>
        <a:xfrm flipH="1" flipV="1">
          <a:off x="3745231" y="4347591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241</xdr:row>
      <xdr:rowOff>127000</xdr:rowOff>
    </xdr:from>
    <xdr:to>
      <xdr:col>5</xdr:col>
      <xdr:colOff>356235</xdr:colOff>
      <xdr:row>241</xdr:row>
      <xdr:rowOff>309880</xdr:rowOff>
    </xdr:to>
    <xdr:cxnSp macro="">
      <xdr:nvCxnSpPr>
        <xdr:cNvPr id="1056" name="Straight Connector 1055">
          <a:extLst>
            <a:ext uri="{FF2B5EF4-FFF2-40B4-BE49-F238E27FC236}">
              <a16:creationId xmlns:a16="http://schemas.microsoft.com/office/drawing/2014/main" id="{00000000-0008-0000-0700-000020040000}"/>
            </a:ext>
          </a:extLst>
        </xdr:cNvPr>
        <xdr:cNvCxnSpPr/>
      </xdr:nvCxnSpPr>
      <xdr:spPr>
        <a:xfrm flipH="1" flipV="1">
          <a:off x="3480435" y="442010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241</xdr:row>
      <xdr:rowOff>400050</xdr:rowOff>
    </xdr:from>
    <xdr:to>
      <xdr:col>5</xdr:col>
      <xdr:colOff>1666875</xdr:colOff>
      <xdr:row>241</xdr:row>
      <xdr:rowOff>400050</xdr:rowOff>
    </xdr:to>
    <xdr:cxnSp macro="">
      <xdr:nvCxnSpPr>
        <xdr:cNvPr id="1057" name="Straight Connector 1056">
          <a:extLst>
            <a:ext uri="{FF2B5EF4-FFF2-40B4-BE49-F238E27FC236}">
              <a16:creationId xmlns:a16="http://schemas.microsoft.com/office/drawing/2014/main" id="{00000000-0008-0000-0700-000021040000}"/>
            </a:ext>
          </a:extLst>
        </xdr:cNvPr>
        <xdr:cNvCxnSpPr/>
      </xdr:nvCxnSpPr>
      <xdr:spPr>
        <a:xfrm>
          <a:off x="3476625" y="442531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241</xdr:row>
      <xdr:rowOff>127000</xdr:rowOff>
    </xdr:from>
    <xdr:to>
      <xdr:col>5</xdr:col>
      <xdr:colOff>356810</xdr:colOff>
      <xdr:row>241</xdr:row>
      <xdr:rowOff>409912</xdr:rowOff>
    </xdr:to>
    <xdr:cxnSp macro="">
      <xdr:nvCxnSpPr>
        <xdr:cNvPr id="1058" name="Straight Connector 1057">
          <a:extLst>
            <a:ext uri="{FF2B5EF4-FFF2-40B4-BE49-F238E27FC236}">
              <a16:creationId xmlns:a16="http://schemas.microsoft.com/office/drawing/2014/main" id="{00000000-0008-0000-0700-000022040000}"/>
            </a:ext>
          </a:extLst>
        </xdr:cNvPr>
        <xdr:cNvCxnSpPr/>
      </xdr:nvCxnSpPr>
      <xdr:spPr>
        <a:xfrm flipH="1" flipV="1">
          <a:off x="3481009" y="44201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241</xdr:row>
      <xdr:rowOff>134252</xdr:rowOff>
    </xdr:from>
    <xdr:to>
      <xdr:col>5</xdr:col>
      <xdr:colOff>1652211</xdr:colOff>
      <xdr:row>241</xdr:row>
      <xdr:rowOff>417164</xdr:rowOff>
    </xdr:to>
    <xdr:cxnSp macro="">
      <xdr:nvCxnSpPr>
        <xdr:cNvPr id="1059" name="Straight Connector 1058">
          <a:extLst>
            <a:ext uri="{FF2B5EF4-FFF2-40B4-BE49-F238E27FC236}">
              <a16:creationId xmlns:a16="http://schemas.microsoft.com/office/drawing/2014/main" id="{00000000-0008-0000-0700-000023040000}"/>
            </a:ext>
          </a:extLst>
        </xdr:cNvPr>
        <xdr:cNvCxnSpPr/>
      </xdr:nvCxnSpPr>
      <xdr:spPr>
        <a:xfrm flipH="1" flipV="1">
          <a:off x="3747710" y="442083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242</xdr:row>
      <xdr:rowOff>127000</xdr:rowOff>
    </xdr:from>
    <xdr:to>
      <xdr:col>5</xdr:col>
      <xdr:colOff>356235</xdr:colOff>
      <xdr:row>242</xdr:row>
      <xdr:rowOff>309880</xdr:rowOff>
    </xdr:to>
    <xdr:cxnSp macro="">
      <xdr:nvCxnSpPr>
        <xdr:cNvPr id="1060" name="Straight Connector 1059">
          <a:extLst>
            <a:ext uri="{FF2B5EF4-FFF2-40B4-BE49-F238E27FC236}">
              <a16:creationId xmlns:a16="http://schemas.microsoft.com/office/drawing/2014/main" id="{00000000-0008-0000-0700-000024040000}"/>
            </a:ext>
          </a:extLst>
        </xdr:cNvPr>
        <xdr:cNvCxnSpPr/>
      </xdr:nvCxnSpPr>
      <xdr:spPr>
        <a:xfrm flipH="1" flipV="1">
          <a:off x="3480435" y="4438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242</xdr:row>
      <xdr:rowOff>152400</xdr:rowOff>
    </xdr:from>
    <xdr:to>
      <xdr:col>5</xdr:col>
      <xdr:colOff>1676400</xdr:colOff>
      <xdr:row>242</xdr:row>
      <xdr:rowOff>152400</xdr:rowOff>
    </xdr:to>
    <xdr:cxnSp macro="">
      <xdr:nvCxnSpPr>
        <xdr:cNvPr id="1061" name="Straight Connector 1060">
          <a:extLst>
            <a:ext uri="{FF2B5EF4-FFF2-40B4-BE49-F238E27FC236}">
              <a16:creationId xmlns:a16="http://schemas.microsoft.com/office/drawing/2014/main" id="{00000000-0008-0000-0700-000025040000}"/>
            </a:ext>
          </a:extLst>
        </xdr:cNvPr>
        <xdr:cNvCxnSpPr/>
      </xdr:nvCxnSpPr>
      <xdr:spPr>
        <a:xfrm>
          <a:off x="3486150" y="444093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242</xdr:row>
      <xdr:rowOff>127000</xdr:rowOff>
    </xdr:from>
    <xdr:to>
      <xdr:col>5</xdr:col>
      <xdr:colOff>356810</xdr:colOff>
      <xdr:row>242</xdr:row>
      <xdr:rowOff>409912</xdr:rowOff>
    </xdr:to>
    <xdr:cxnSp macro="">
      <xdr:nvCxnSpPr>
        <xdr:cNvPr id="1062" name="Straight Connector 1061">
          <a:extLst>
            <a:ext uri="{FF2B5EF4-FFF2-40B4-BE49-F238E27FC236}">
              <a16:creationId xmlns:a16="http://schemas.microsoft.com/office/drawing/2014/main" id="{00000000-0008-0000-0700-000026040000}"/>
            </a:ext>
          </a:extLst>
        </xdr:cNvPr>
        <xdr:cNvCxnSpPr/>
      </xdr:nvCxnSpPr>
      <xdr:spPr>
        <a:xfrm flipH="1" flipV="1">
          <a:off x="3481009" y="4438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242</xdr:row>
      <xdr:rowOff>134252</xdr:rowOff>
    </xdr:from>
    <xdr:to>
      <xdr:col>5</xdr:col>
      <xdr:colOff>1652211</xdr:colOff>
      <xdr:row>242</xdr:row>
      <xdr:rowOff>417164</xdr:rowOff>
    </xdr:to>
    <xdr:cxnSp macro="">
      <xdr:nvCxnSpPr>
        <xdr:cNvPr id="1063" name="Straight Connector 1062">
          <a:extLst>
            <a:ext uri="{FF2B5EF4-FFF2-40B4-BE49-F238E27FC236}">
              <a16:creationId xmlns:a16="http://schemas.microsoft.com/office/drawing/2014/main" id="{00000000-0008-0000-0700-000027040000}"/>
            </a:ext>
          </a:extLst>
        </xdr:cNvPr>
        <xdr:cNvCxnSpPr/>
      </xdr:nvCxnSpPr>
      <xdr:spPr>
        <a:xfrm flipH="1" flipV="1">
          <a:off x="3747710" y="4439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243</xdr:row>
      <xdr:rowOff>123824</xdr:rowOff>
    </xdr:from>
    <xdr:to>
      <xdr:col>5</xdr:col>
      <xdr:colOff>1428750</xdr:colOff>
      <xdr:row>243</xdr:row>
      <xdr:rowOff>1219199</xdr:rowOff>
    </xdr:to>
    <xdr:sp macro="" textlink="">
      <xdr:nvSpPr>
        <xdr:cNvPr id="1064" name="Rounded Rectangle 1063">
          <a:extLst>
            <a:ext uri="{FF2B5EF4-FFF2-40B4-BE49-F238E27FC236}">
              <a16:creationId xmlns:a16="http://schemas.microsoft.com/office/drawing/2014/main" id="{00000000-0008-0000-0700-000028040000}"/>
            </a:ext>
          </a:extLst>
        </xdr:cNvPr>
        <xdr:cNvSpPr/>
      </xdr:nvSpPr>
      <xdr:spPr>
        <a:xfrm>
          <a:off x="3745230" y="445636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243</xdr:row>
      <xdr:rowOff>238127</xdr:rowOff>
    </xdr:from>
    <xdr:to>
      <xdr:col>5</xdr:col>
      <xdr:colOff>790575</xdr:colOff>
      <xdr:row>243</xdr:row>
      <xdr:rowOff>361950</xdr:rowOff>
    </xdr:to>
    <xdr:cxnSp macro="">
      <xdr:nvCxnSpPr>
        <xdr:cNvPr id="1065" name="Straight Connector 1064">
          <a:extLst>
            <a:ext uri="{FF2B5EF4-FFF2-40B4-BE49-F238E27FC236}">
              <a16:creationId xmlns:a16="http://schemas.microsoft.com/office/drawing/2014/main" id="{00000000-0008-0000-0700-000029040000}"/>
            </a:ext>
          </a:extLst>
        </xdr:cNvPr>
        <xdr:cNvCxnSpPr/>
      </xdr:nvCxnSpPr>
      <xdr:spPr>
        <a:xfrm flipH="1" flipV="1">
          <a:off x="3749041" y="446246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243</xdr:row>
      <xdr:rowOff>133352</xdr:rowOff>
    </xdr:from>
    <xdr:to>
      <xdr:col>5</xdr:col>
      <xdr:colOff>885825</xdr:colOff>
      <xdr:row>243</xdr:row>
      <xdr:rowOff>257175</xdr:rowOff>
    </xdr:to>
    <xdr:cxnSp macro="">
      <xdr:nvCxnSpPr>
        <xdr:cNvPr id="1066" name="Straight Connector 1065">
          <a:extLst>
            <a:ext uri="{FF2B5EF4-FFF2-40B4-BE49-F238E27FC236}">
              <a16:creationId xmlns:a16="http://schemas.microsoft.com/office/drawing/2014/main" id="{00000000-0008-0000-0700-00002A040000}"/>
            </a:ext>
          </a:extLst>
        </xdr:cNvPr>
        <xdr:cNvCxnSpPr/>
      </xdr:nvCxnSpPr>
      <xdr:spPr>
        <a:xfrm flipH="1" flipV="1">
          <a:off x="3745231" y="445731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241</xdr:row>
      <xdr:rowOff>127000</xdr:rowOff>
    </xdr:from>
    <xdr:to>
      <xdr:col>5</xdr:col>
      <xdr:colOff>356235</xdr:colOff>
      <xdr:row>241</xdr:row>
      <xdr:rowOff>309880</xdr:rowOff>
    </xdr:to>
    <xdr:cxnSp macro="">
      <xdr:nvCxnSpPr>
        <xdr:cNvPr id="1067" name="Straight Connector 1066">
          <a:extLst>
            <a:ext uri="{FF2B5EF4-FFF2-40B4-BE49-F238E27FC236}">
              <a16:creationId xmlns:a16="http://schemas.microsoft.com/office/drawing/2014/main" id="{00000000-0008-0000-0700-00002B040000}"/>
            </a:ext>
          </a:extLst>
        </xdr:cNvPr>
        <xdr:cNvCxnSpPr/>
      </xdr:nvCxnSpPr>
      <xdr:spPr>
        <a:xfrm flipH="1" flipV="1">
          <a:off x="3480435" y="442010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241</xdr:row>
      <xdr:rowOff>400050</xdr:rowOff>
    </xdr:from>
    <xdr:to>
      <xdr:col>5</xdr:col>
      <xdr:colOff>1666875</xdr:colOff>
      <xdr:row>241</xdr:row>
      <xdr:rowOff>400050</xdr:rowOff>
    </xdr:to>
    <xdr:cxnSp macro="">
      <xdr:nvCxnSpPr>
        <xdr:cNvPr id="1068" name="Straight Connector 1067">
          <a:extLst>
            <a:ext uri="{FF2B5EF4-FFF2-40B4-BE49-F238E27FC236}">
              <a16:creationId xmlns:a16="http://schemas.microsoft.com/office/drawing/2014/main" id="{00000000-0008-0000-0700-00002C040000}"/>
            </a:ext>
          </a:extLst>
        </xdr:cNvPr>
        <xdr:cNvCxnSpPr/>
      </xdr:nvCxnSpPr>
      <xdr:spPr>
        <a:xfrm>
          <a:off x="3476625" y="442531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241</xdr:row>
      <xdr:rowOff>127000</xdr:rowOff>
    </xdr:from>
    <xdr:to>
      <xdr:col>5</xdr:col>
      <xdr:colOff>356810</xdr:colOff>
      <xdr:row>241</xdr:row>
      <xdr:rowOff>409912</xdr:rowOff>
    </xdr:to>
    <xdr:cxnSp macro="">
      <xdr:nvCxnSpPr>
        <xdr:cNvPr id="1069" name="Straight Connector 1068">
          <a:extLst>
            <a:ext uri="{FF2B5EF4-FFF2-40B4-BE49-F238E27FC236}">
              <a16:creationId xmlns:a16="http://schemas.microsoft.com/office/drawing/2014/main" id="{00000000-0008-0000-0700-00002D040000}"/>
            </a:ext>
          </a:extLst>
        </xdr:cNvPr>
        <xdr:cNvCxnSpPr/>
      </xdr:nvCxnSpPr>
      <xdr:spPr>
        <a:xfrm flipH="1" flipV="1">
          <a:off x="3481009" y="44201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241</xdr:row>
      <xdr:rowOff>134252</xdr:rowOff>
    </xdr:from>
    <xdr:to>
      <xdr:col>5</xdr:col>
      <xdr:colOff>1652211</xdr:colOff>
      <xdr:row>241</xdr:row>
      <xdr:rowOff>417164</xdr:rowOff>
    </xdr:to>
    <xdr:cxnSp macro="">
      <xdr:nvCxnSpPr>
        <xdr:cNvPr id="1070" name="Straight Connector 1069">
          <a:extLst>
            <a:ext uri="{FF2B5EF4-FFF2-40B4-BE49-F238E27FC236}">
              <a16:creationId xmlns:a16="http://schemas.microsoft.com/office/drawing/2014/main" id="{00000000-0008-0000-0700-00002E040000}"/>
            </a:ext>
          </a:extLst>
        </xdr:cNvPr>
        <xdr:cNvCxnSpPr/>
      </xdr:nvCxnSpPr>
      <xdr:spPr>
        <a:xfrm flipH="1" flipV="1">
          <a:off x="3747710" y="442083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242</xdr:row>
      <xdr:rowOff>127000</xdr:rowOff>
    </xdr:from>
    <xdr:to>
      <xdr:col>5</xdr:col>
      <xdr:colOff>356235</xdr:colOff>
      <xdr:row>242</xdr:row>
      <xdr:rowOff>309880</xdr:rowOff>
    </xdr:to>
    <xdr:cxnSp macro="">
      <xdr:nvCxnSpPr>
        <xdr:cNvPr id="1071" name="Straight Connector 1070">
          <a:extLst>
            <a:ext uri="{FF2B5EF4-FFF2-40B4-BE49-F238E27FC236}">
              <a16:creationId xmlns:a16="http://schemas.microsoft.com/office/drawing/2014/main" id="{00000000-0008-0000-0700-00002F040000}"/>
            </a:ext>
          </a:extLst>
        </xdr:cNvPr>
        <xdr:cNvCxnSpPr/>
      </xdr:nvCxnSpPr>
      <xdr:spPr>
        <a:xfrm flipH="1" flipV="1">
          <a:off x="3480435" y="4438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242</xdr:row>
      <xdr:rowOff>152400</xdr:rowOff>
    </xdr:from>
    <xdr:to>
      <xdr:col>5</xdr:col>
      <xdr:colOff>1676400</xdr:colOff>
      <xdr:row>242</xdr:row>
      <xdr:rowOff>152400</xdr:rowOff>
    </xdr:to>
    <xdr:cxnSp macro="">
      <xdr:nvCxnSpPr>
        <xdr:cNvPr id="1072" name="Straight Connector 1071">
          <a:extLst>
            <a:ext uri="{FF2B5EF4-FFF2-40B4-BE49-F238E27FC236}">
              <a16:creationId xmlns:a16="http://schemas.microsoft.com/office/drawing/2014/main" id="{00000000-0008-0000-0700-000030040000}"/>
            </a:ext>
          </a:extLst>
        </xdr:cNvPr>
        <xdr:cNvCxnSpPr/>
      </xdr:nvCxnSpPr>
      <xdr:spPr>
        <a:xfrm>
          <a:off x="3486150" y="444093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242</xdr:row>
      <xdr:rowOff>127000</xdr:rowOff>
    </xdr:from>
    <xdr:to>
      <xdr:col>5</xdr:col>
      <xdr:colOff>356810</xdr:colOff>
      <xdr:row>242</xdr:row>
      <xdr:rowOff>409912</xdr:rowOff>
    </xdr:to>
    <xdr:cxnSp macro="">
      <xdr:nvCxnSpPr>
        <xdr:cNvPr id="1073" name="Straight Connector 1072">
          <a:extLst>
            <a:ext uri="{FF2B5EF4-FFF2-40B4-BE49-F238E27FC236}">
              <a16:creationId xmlns:a16="http://schemas.microsoft.com/office/drawing/2014/main" id="{00000000-0008-0000-0700-000031040000}"/>
            </a:ext>
          </a:extLst>
        </xdr:cNvPr>
        <xdr:cNvCxnSpPr/>
      </xdr:nvCxnSpPr>
      <xdr:spPr>
        <a:xfrm flipH="1" flipV="1">
          <a:off x="3481009" y="4438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242</xdr:row>
      <xdr:rowOff>134252</xdr:rowOff>
    </xdr:from>
    <xdr:to>
      <xdr:col>5</xdr:col>
      <xdr:colOff>1652211</xdr:colOff>
      <xdr:row>242</xdr:row>
      <xdr:rowOff>417164</xdr:rowOff>
    </xdr:to>
    <xdr:cxnSp macro="">
      <xdr:nvCxnSpPr>
        <xdr:cNvPr id="1074" name="Straight Connector 1073">
          <a:extLst>
            <a:ext uri="{FF2B5EF4-FFF2-40B4-BE49-F238E27FC236}">
              <a16:creationId xmlns:a16="http://schemas.microsoft.com/office/drawing/2014/main" id="{00000000-0008-0000-0700-000032040000}"/>
            </a:ext>
          </a:extLst>
        </xdr:cNvPr>
        <xdr:cNvCxnSpPr/>
      </xdr:nvCxnSpPr>
      <xdr:spPr>
        <a:xfrm flipH="1" flipV="1">
          <a:off x="3747710" y="4439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243</xdr:row>
      <xdr:rowOff>123824</xdr:rowOff>
    </xdr:from>
    <xdr:to>
      <xdr:col>5</xdr:col>
      <xdr:colOff>1428750</xdr:colOff>
      <xdr:row>243</xdr:row>
      <xdr:rowOff>1219199</xdr:rowOff>
    </xdr:to>
    <xdr:sp macro="" textlink="">
      <xdr:nvSpPr>
        <xdr:cNvPr id="1075" name="Rounded Rectangle 1074">
          <a:extLst>
            <a:ext uri="{FF2B5EF4-FFF2-40B4-BE49-F238E27FC236}">
              <a16:creationId xmlns:a16="http://schemas.microsoft.com/office/drawing/2014/main" id="{00000000-0008-0000-0700-000033040000}"/>
            </a:ext>
          </a:extLst>
        </xdr:cNvPr>
        <xdr:cNvSpPr/>
      </xdr:nvSpPr>
      <xdr:spPr>
        <a:xfrm>
          <a:off x="3745230" y="445636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243</xdr:row>
      <xdr:rowOff>238127</xdr:rowOff>
    </xdr:from>
    <xdr:to>
      <xdr:col>5</xdr:col>
      <xdr:colOff>790575</xdr:colOff>
      <xdr:row>243</xdr:row>
      <xdr:rowOff>361950</xdr:rowOff>
    </xdr:to>
    <xdr:cxnSp macro="">
      <xdr:nvCxnSpPr>
        <xdr:cNvPr id="1076" name="Straight Connector 1075">
          <a:extLst>
            <a:ext uri="{FF2B5EF4-FFF2-40B4-BE49-F238E27FC236}">
              <a16:creationId xmlns:a16="http://schemas.microsoft.com/office/drawing/2014/main" id="{00000000-0008-0000-0700-000034040000}"/>
            </a:ext>
          </a:extLst>
        </xdr:cNvPr>
        <xdr:cNvCxnSpPr/>
      </xdr:nvCxnSpPr>
      <xdr:spPr>
        <a:xfrm flipH="1" flipV="1">
          <a:off x="3749041" y="446246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243</xdr:row>
      <xdr:rowOff>133352</xdr:rowOff>
    </xdr:from>
    <xdr:to>
      <xdr:col>5</xdr:col>
      <xdr:colOff>885825</xdr:colOff>
      <xdr:row>243</xdr:row>
      <xdr:rowOff>257175</xdr:rowOff>
    </xdr:to>
    <xdr:cxnSp macro="">
      <xdr:nvCxnSpPr>
        <xdr:cNvPr id="1077" name="Straight Connector 1076">
          <a:extLst>
            <a:ext uri="{FF2B5EF4-FFF2-40B4-BE49-F238E27FC236}">
              <a16:creationId xmlns:a16="http://schemas.microsoft.com/office/drawing/2014/main" id="{00000000-0008-0000-0700-000035040000}"/>
            </a:ext>
          </a:extLst>
        </xdr:cNvPr>
        <xdr:cNvCxnSpPr/>
      </xdr:nvCxnSpPr>
      <xdr:spPr>
        <a:xfrm flipH="1" flipV="1">
          <a:off x="3745231" y="445731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241</xdr:row>
      <xdr:rowOff>127000</xdr:rowOff>
    </xdr:from>
    <xdr:to>
      <xdr:col>5</xdr:col>
      <xdr:colOff>356235</xdr:colOff>
      <xdr:row>241</xdr:row>
      <xdr:rowOff>309880</xdr:rowOff>
    </xdr:to>
    <xdr:cxnSp macro="">
      <xdr:nvCxnSpPr>
        <xdr:cNvPr id="1078" name="Straight Connector 1077">
          <a:extLst>
            <a:ext uri="{FF2B5EF4-FFF2-40B4-BE49-F238E27FC236}">
              <a16:creationId xmlns:a16="http://schemas.microsoft.com/office/drawing/2014/main" id="{00000000-0008-0000-0700-000036040000}"/>
            </a:ext>
          </a:extLst>
        </xdr:cNvPr>
        <xdr:cNvCxnSpPr/>
      </xdr:nvCxnSpPr>
      <xdr:spPr>
        <a:xfrm flipH="1" flipV="1">
          <a:off x="3480435" y="442010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241</xdr:row>
      <xdr:rowOff>400050</xdr:rowOff>
    </xdr:from>
    <xdr:to>
      <xdr:col>5</xdr:col>
      <xdr:colOff>1666875</xdr:colOff>
      <xdr:row>241</xdr:row>
      <xdr:rowOff>400050</xdr:rowOff>
    </xdr:to>
    <xdr:cxnSp macro="">
      <xdr:nvCxnSpPr>
        <xdr:cNvPr id="1079" name="Straight Connector 1078">
          <a:extLst>
            <a:ext uri="{FF2B5EF4-FFF2-40B4-BE49-F238E27FC236}">
              <a16:creationId xmlns:a16="http://schemas.microsoft.com/office/drawing/2014/main" id="{00000000-0008-0000-0700-000037040000}"/>
            </a:ext>
          </a:extLst>
        </xdr:cNvPr>
        <xdr:cNvCxnSpPr/>
      </xdr:nvCxnSpPr>
      <xdr:spPr>
        <a:xfrm>
          <a:off x="3476625" y="442531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241</xdr:row>
      <xdr:rowOff>127000</xdr:rowOff>
    </xdr:from>
    <xdr:to>
      <xdr:col>5</xdr:col>
      <xdr:colOff>356810</xdr:colOff>
      <xdr:row>241</xdr:row>
      <xdr:rowOff>409912</xdr:rowOff>
    </xdr:to>
    <xdr:cxnSp macro="">
      <xdr:nvCxnSpPr>
        <xdr:cNvPr id="1080" name="Straight Connector 1079">
          <a:extLst>
            <a:ext uri="{FF2B5EF4-FFF2-40B4-BE49-F238E27FC236}">
              <a16:creationId xmlns:a16="http://schemas.microsoft.com/office/drawing/2014/main" id="{00000000-0008-0000-0700-000038040000}"/>
            </a:ext>
          </a:extLst>
        </xdr:cNvPr>
        <xdr:cNvCxnSpPr/>
      </xdr:nvCxnSpPr>
      <xdr:spPr>
        <a:xfrm flipH="1" flipV="1">
          <a:off x="3481009" y="44201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241</xdr:row>
      <xdr:rowOff>134252</xdr:rowOff>
    </xdr:from>
    <xdr:to>
      <xdr:col>5</xdr:col>
      <xdr:colOff>1652211</xdr:colOff>
      <xdr:row>241</xdr:row>
      <xdr:rowOff>417164</xdr:rowOff>
    </xdr:to>
    <xdr:cxnSp macro="">
      <xdr:nvCxnSpPr>
        <xdr:cNvPr id="1081" name="Straight Connector 1080">
          <a:extLst>
            <a:ext uri="{FF2B5EF4-FFF2-40B4-BE49-F238E27FC236}">
              <a16:creationId xmlns:a16="http://schemas.microsoft.com/office/drawing/2014/main" id="{00000000-0008-0000-0700-000039040000}"/>
            </a:ext>
          </a:extLst>
        </xdr:cNvPr>
        <xdr:cNvCxnSpPr/>
      </xdr:nvCxnSpPr>
      <xdr:spPr>
        <a:xfrm flipH="1" flipV="1">
          <a:off x="3747710" y="442083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242</xdr:row>
      <xdr:rowOff>127000</xdr:rowOff>
    </xdr:from>
    <xdr:to>
      <xdr:col>5</xdr:col>
      <xdr:colOff>356235</xdr:colOff>
      <xdr:row>242</xdr:row>
      <xdr:rowOff>309880</xdr:rowOff>
    </xdr:to>
    <xdr:cxnSp macro="">
      <xdr:nvCxnSpPr>
        <xdr:cNvPr id="1082" name="Straight Connector 1081">
          <a:extLst>
            <a:ext uri="{FF2B5EF4-FFF2-40B4-BE49-F238E27FC236}">
              <a16:creationId xmlns:a16="http://schemas.microsoft.com/office/drawing/2014/main" id="{00000000-0008-0000-0700-00003A040000}"/>
            </a:ext>
          </a:extLst>
        </xdr:cNvPr>
        <xdr:cNvCxnSpPr/>
      </xdr:nvCxnSpPr>
      <xdr:spPr>
        <a:xfrm flipH="1" flipV="1">
          <a:off x="3480435" y="4438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242</xdr:row>
      <xdr:rowOff>152400</xdr:rowOff>
    </xdr:from>
    <xdr:to>
      <xdr:col>5</xdr:col>
      <xdr:colOff>1676400</xdr:colOff>
      <xdr:row>242</xdr:row>
      <xdr:rowOff>152400</xdr:rowOff>
    </xdr:to>
    <xdr:cxnSp macro="">
      <xdr:nvCxnSpPr>
        <xdr:cNvPr id="1083" name="Straight Connector 1082">
          <a:extLst>
            <a:ext uri="{FF2B5EF4-FFF2-40B4-BE49-F238E27FC236}">
              <a16:creationId xmlns:a16="http://schemas.microsoft.com/office/drawing/2014/main" id="{00000000-0008-0000-0700-00003B040000}"/>
            </a:ext>
          </a:extLst>
        </xdr:cNvPr>
        <xdr:cNvCxnSpPr/>
      </xdr:nvCxnSpPr>
      <xdr:spPr>
        <a:xfrm>
          <a:off x="3486150" y="444093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242</xdr:row>
      <xdr:rowOff>127000</xdr:rowOff>
    </xdr:from>
    <xdr:to>
      <xdr:col>5</xdr:col>
      <xdr:colOff>356810</xdr:colOff>
      <xdr:row>242</xdr:row>
      <xdr:rowOff>409912</xdr:rowOff>
    </xdr:to>
    <xdr:cxnSp macro="">
      <xdr:nvCxnSpPr>
        <xdr:cNvPr id="1084" name="Straight Connector 1083">
          <a:extLst>
            <a:ext uri="{FF2B5EF4-FFF2-40B4-BE49-F238E27FC236}">
              <a16:creationId xmlns:a16="http://schemas.microsoft.com/office/drawing/2014/main" id="{00000000-0008-0000-0700-00003C040000}"/>
            </a:ext>
          </a:extLst>
        </xdr:cNvPr>
        <xdr:cNvCxnSpPr/>
      </xdr:nvCxnSpPr>
      <xdr:spPr>
        <a:xfrm flipH="1" flipV="1">
          <a:off x="3481009" y="4438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242</xdr:row>
      <xdr:rowOff>134252</xdr:rowOff>
    </xdr:from>
    <xdr:to>
      <xdr:col>5</xdr:col>
      <xdr:colOff>1652211</xdr:colOff>
      <xdr:row>242</xdr:row>
      <xdr:rowOff>417164</xdr:rowOff>
    </xdr:to>
    <xdr:cxnSp macro="">
      <xdr:nvCxnSpPr>
        <xdr:cNvPr id="1085" name="Straight Connector 1084">
          <a:extLst>
            <a:ext uri="{FF2B5EF4-FFF2-40B4-BE49-F238E27FC236}">
              <a16:creationId xmlns:a16="http://schemas.microsoft.com/office/drawing/2014/main" id="{00000000-0008-0000-0700-00003D040000}"/>
            </a:ext>
          </a:extLst>
        </xdr:cNvPr>
        <xdr:cNvCxnSpPr/>
      </xdr:nvCxnSpPr>
      <xdr:spPr>
        <a:xfrm flipH="1" flipV="1">
          <a:off x="3747710" y="443912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243</xdr:row>
      <xdr:rowOff>123824</xdr:rowOff>
    </xdr:from>
    <xdr:to>
      <xdr:col>5</xdr:col>
      <xdr:colOff>1428750</xdr:colOff>
      <xdr:row>243</xdr:row>
      <xdr:rowOff>1219199</xdr:rowOff>
    </xdr:to>
    <xdr:sp macro="" textlink="">
      <xdr:nvSpPr>
        <xdr:cNvPr id="1086" name="Rounded Rectangle 1085">
          <a:extLst>
            <a:ext uri="{FF2B5EF4-FFF2-40B4-BE49-F238E27FC236}">
              <a16:creationId xmlns:a16="http://schemas.microsoft.com/office/drawing/2014/main" id="{00000000-0008-0000-0700-00003E040000}"/>
            </a:ext>
          </a:extLst>
        </xdr:cNvPr>
        <xdr:cNvSpPr/>
      </xdr:nvSpPr>
      <xdr:spPr>
        <a:xfrm>
          <a:off x="3745230" y="445636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243</xdr:row>
      <xdr:rowOff>238127</xdr:rowOff>
    </xdr:from>
    <xdr:to>
      <xdr:col>5</xdr:col>
      <xdr:colOff>790575</xdr:colOff>
      <xdr:row>243</xdr:row>
      <xdr:rowOff>361950</xdr:rowOff>
    </xdr:to>
    <xdr:cxnSp macro="">
      <xdr:nvCxnSpPr>
        <xdr:cNvPr id="1087" name="Straight Connector 1086">
          <a:extLst>
            <a:ext uri="{FF2B5EF4-FFF2-40B4-BE49-F238E27FC236}">
              <a16:creationId xmlns:a16="http://schemas.microsoft.com/office/drawing/2014/main" id="{00000000-0008-0000-0700-00003F040000}"/>
            </a:ext>
          </a:extLst>
        </xdr:cNvPr>
        <xdr:cNvCxnSpPr/>
      </xdr:nvCxnSpPr>
      <xdr:spPr>
        <a:xfrm flipH="1" flipV="1">
          <a:off x="3749041" y="446246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243</xdr:row>
      <xdr:rowOff>133352</xdr:rowOff>
    </xdr:from>
    <xdr:to>
      <xdr:col>5</xdr:col>
      <xdr:colOff>885825</xdr:colOff>
      <xdr:row>243</xdr:row>
      <xdr:rowOff>257175</xdr:rowOff>
    </xdr:to>
    <xdr:cxnSp macro="">
      <xdr:nvCxnSpPr>
        <xdr:cNvPr id="1088" name="Straight Connector 1087">
          <a:extLst>
            <a:ext uri="{FF2B5EF4-FFF2-40B4-BE49-F238E27FC236}">
              <a16:creationId xmlns:a16="http://schemas.microsoft.com/office/drawing/2014/main" id="{00000000-0008-0000-0700-000040040000}"/>
            </a:ext>
          </a:extLst>
        </xdr:cNvPr>
        <xdr:cNvCxnSpPr/>
      </xdr:nvCxnSpPr>
      <xdr:spPr>
        <a:xfrm flipH="1" flipV="1">
          <a:off x="3745231" y="445731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241</xdr:row>
      <xdr:rowOff>127000</xdr:rowOff>
    </xdr:from>
    <xdr:to>
      <xdr:col>5</xdr:col>
      <xdr:colOff>356235</xdr:colOff>
      <xdr:row>241</xdr:row>
      <xdr:rowOff>309880</xdr:rowOff>
    </xdr:to>
    <xdr:cxnSp macro="">
      <xdr:nvCxnSpPr>
        <xdr:cNvPr id="1089" name="Straight Connector 1088">
          <a:extLst>
            <a:ext uri="{FF2B5EF4-FFF2-40B4-BE49-F238E27FC236}">
              <a16:creationId xmlns:a16="http://schemas.microsoft.com/office/drawing/2014/main" id="{00000000-0008-0000-0700-000041040000}"/>
            </a:ext>
          </a:extLst>
        </xdr:cNvPr>
        <xdr:cNvCxnSpPr/>
      </xdr:nvCxnSpPr>
      <xdr:spPr>
        <a:xfrm flipH="1" flipV="1">
          <a:off x="3480435" y="4420108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241</xdr:row>
      <xdr:rowOff>400050</xdr:rowOff>
    </xdr:from>
    <xdr:to>
      <xdr:col>5</xdr:col>
      <xdr:colOff>1666875</xdr:colOff>
      <xdr:row>241</xdr:row>
      <xdr:rowOff>400050</xdr:rowOff>
    </xdr:to>
    <xdr:cxnSp macro="">
      <xdr:nvCxnSpPr>
        <xdr:cNvPr id="1090" name="Straight Connector 1089">
          <a:extLst>
            <a:ext uri="{FF2B5EF4-FFF2-40B4-BE49-F238E27FC236}">
              <a16:creationId xmlns:a16="http://schemas.microsoft.com/office/drawing/2014/main" id="{00000000-0008-0000-0700-000042040000}"/>
            </a:ext>
          </a:extLst>
        </xdr:cNvPr>
        <xdr:cNvCxnSpPr/>
      </xdr:nvCxnSpPr>
      <xdr:spPr>
        <a:xfrm>
          <a:off x="3476625" y="4425315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241</xdr:row>
      <xdr:rowOff>127000</xdr:rowOff>
    </xdr:from>
    <xdr:to>
      <xdr:col>5</xdr:col>
      <xdr:colOff>356810</xdr:colOff>
      <xdr:row>241</xdr:row>
      <xdr:rowOff>409912</xdr:rowOff>
    </xdr:to>
    <xdr:cxnSp macro="">
      <xdr:nvCxnSpPr>
        <xdr:cNvPr id="1091" name="Straight Connector 1090">
          <a:extLst>
            <a:ext uri="{FF2B5EF4-FFF2-40B4-BE49-F238E27FC236}">
              <a16:creationId xmlns:a16="http://schemas.microsoft.com/office/drawing/2014/main" id="{00000000-0008-0000-0700-000043040000}"/>
            </a:ext>
          </a:extLst>
        </xdr:cNvPr>
        <xdr:cNvCxnSpPr/>
      </xdr:nvCxnSpPr>
      <xdr:spPr>
        <a:xfrm flipH="1" flipV="1">
          <a:off x="3481009" y="4420108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241</xdr:row>
      <xdr:rowOff>134252</xdr:rowOff>
    </xdr:from>
    <xdr:to>
      <xdr:col>5</xdr:col>
      <xdr:colOff>1652211</xdr:colOff>
      <xdr:row>241</xdr:row>
      <xdr:rowOff>417164</xdr:rowOff>
    </xdr:to>
    <xdr:cxnSp macro="">
      <xdr:nvCxnSpPr>
        <xdr:cNvPr id="1092" name="Straight Connector 1091">
          <a:extLst>
            <a:ext uri="{FF2B5EF4-FFF2-40B4-BE49-F238E27FC236}">
              <a16:creationId xmlns:a16="http://schemas.microsoft.com/office/drawing/2014/main" id="{00000000-0008-0000-0700-000044040000}"/>
            </a:ext>
          </a:extLst>
        </xdr:cNvPr>
        <xdr:cNvCxnSpPr/>
      </xdr:nvCxnSpPr>
      <xdr:spPr>
        <a:xfrm flipH="1" flipV="1">
          <a:off x="3747710" y="4420833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242</xdr:row>
      <xdr:rowOff>127000</xdr:rowOff>
    </xdr:from>
    <xdr:to>
      <xdr:col>5</xdr:col>
      <xdr:colOff>356235</xdr:colOff>
      <xdr:row>242</xdr:row>
      <xdr:rowOff>309880</xdr:rowOff>
    </xdr:to>
    <xdr:cxnSp macro="">
      <xdr:nvCxnSpPr>
        <xdr:cNvPr id="1093" name="Straight Connector 1092">
          <a:extLst>
            <a:ext uri="{FF2B5EF4-FFF2-40B4-BE49-F238E27FC236}">
              <a16:creationId xmlns:a16="http://schemas.microsoft.com/office/drawing/2014/main" id="{00000000-0008-0000-0700-000045040000}"/>
            </a:ext>
          </a:extLst>
        </xdr:cNvPr>
        <xdr:cNvCxnSpPr/>
      </xdr:nvCxnSpPr>
      <xdr:spPr>
        <a:xfrm flipH="1" flipV="1">
          <a:off x="3480435" y="443839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242</xdr:row>
      <xdr:rowOff>152400</xdr:rowOff>
    </xdr:from>
    <xdr:to>
      <xdr:col>5</xdr:col>
      <xdr:colOff>1676400</xdr:colOff>
      <xdr:row>242</xdr:row>
      <xdr:rowOff>152400</xdr:rowOff>
    </xdr:to>
    <xdr:cxnSp macro="">
      <xdr:nvCxnSpPr>
        <xdr:cNvPr id="1094" name="Straight Connector 1093">
          <a:extLst>
            <a:ext uri="{FF2B5EF4-FFF2-40B4-BE49-F238E27FC236}">
              <a16:creationId xmlns:a16="http://schemas.microsoft.com/office/drawing/2014/main" id="{00000000-0008-0000-0700-000046040000}"/>
            </a:ext>
          </a:extLst>
        </xdr:cNvPr>
        <xdr:cNvCxnSpPr/>
      </xdr:nvCxnSpPr>
      <xdr:spPr>
        <a:xfrm>
          <a:off x="3486150" y="4440936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242</xdr:row>
      <xdr:rowOff>127000</xdr:rowOff>
    </xdr:from>
    <xdr:to>
      <xdr:col>5</xdr:col>
      <xdr:colOff>356810</xdr:colOff>
      <xdr:row>242</xdr:row>
      <xdr:rowOff>409912</xdr:rowOff>
    </xdr:to>
    <xdr:cxnSp macro="">
      <xdr:nvCxnSpPr>
        <xdr:cNvPr id="1095" name="Straight Connector 1094">
          <a:extLst>
            <a:ext uri="{FF2B5EF4-FFF2-40B4-BE49-F238E27FC236}">
              <a16:creationId xmlns:a16="http://schemas.microsoft.com/office/drawing/2014/main" id="{00000000-0008-0000-0700-000047040000}"/>
            </a:ext>
          </a:extLst>
        </xdr:cNvPr>
        <xdr:cNvCxnSpPr/>
      </xdr:nvCxnSpPr>
      <xdr:spPr>
        <a:xfrm flipH="1" flipV="1">
          <a:off x="3481009" y="443839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243</xdr:row>
      <xdr:rowOff>123824</xdr:rowOff>
    </xdr:from>
    <xdr:to>
      <xdr:col>5</xdr:col>
      <xdr:colOff>1428750</xdr:colOff>
      <xdr:row>243</xdr:row>
      <xdr:rowOff>1219199</xdr:rowOff>
    </xdr:to>
    <xdr:sp macro="" textlink="">
      <xdr:nvSpPr>
        <xdr:cNvPr id="1096" name="Rounded Rectangle 1095">
          <a:extLst>
            <a:ext uri="{FF2B5EF4-FFF2-40B4-BE49-F238E27FC236}">
              <a16:creationId xmlns:a16="http://schemas.microsoft.com/office/drawing/2014/main" id="{00000000-0008-0000-0700-000048040000}"/>
            </a:ext>
          </a:extLst>
        </xdr:cNvPr>
        <xdr:cNvSpPr/>
      </xdr:nvSpPr>
      <xdr:spPr>
        <a:xfrm>
          <a:off x="3745230" y="4456366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243</xdr:row>
      <xdr:rowOff>238127</xdr:rowOff>
    </xdr:from>
    <xdr:to>
      <xdr:col>5</xdr:col>
      <xdr:colOff>790575</xdr:colOff>
      <xdr:row>243</xdr:row>
      <xdr:rowOff>361950</xdr:rowOff>
    </xdr:to>
    <xdr:cxnSp macro="">
      <xdr:nvCxnSpPr>
        <xdr:cNvPr id="1097" name="Straight Connector 1096">
          <a:extLst>
            <a:ext uri="{FF2B5EF4-FFF2-40B4-BE49-F238E27FC236}">
              <a16:creationId xmlns:a16="http://schemas.microsoft.com/office/drawing/2014/main" id="{00000000-0008-0000-0700-000049040000}"/>
            </a:ext>
          </a:extLst>
        </xdr:cNvPr>
        <xdr:cNvCxnSpPr/>
      </xdr:nvCxnSpPr>
      <xdr:spPr>
        <a:xfrm flipH="1" flipV="1">
          <a:off x="3749041" y="4462462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243</xdr:row>
      <xdr:rowOff>133352</xdr:rowOff>
    </xdr:from>
    <xdr:to>
      <xdr:col>5</xdr:col>
      <xdr:colOff>885825</xdr:colOff>
      <xdr:row>243</xdr:row>
      <xdr:rowOff>257175</xdr:rowOff>
    </xdr:to>
    <xdr:cxnSp macro="">
      <xdr:nvCxnSpPr>
        <xdr:cNvPr id="1098" name="Straight Connector 1097">
          <a:extLst>
            <a:ext uri="{FF2B5EF4-FFF2-40B4-BE49-F238E27FC236}">
              <a16:creationId xmlns:a16="http://schemas.microsoft.com/office/drawing/2014/main" id="{00000000-0008-0000-0700-00004A040000}"/>
            </a:ext>
          </a:extLst>
        </xdr:cNvPr>
        <xdr:cNvCxnSpPr/>
      </xdr:nvCxnSpPr>
      <xdr:spPr>
        <a:xfrm flipH="1" flipV="1">
          <a:off x="3745231" y="4457319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247</xdr:row>
      <xdr:rowOff>127000</xdr:rowOff>
    </xdr:from>
    <xdr:to>
      <xdr:col>5</xdr:col>
      <xdr:colOff>356235</xdr:colOff>
      <xdr:row>247</xdr:row>
      <xdr:rowOff>309880</xdr:rowOff>
    </xdr:to>
    <xdr:cxnSp macro="">
      <xdr:nvCxnSpPr>
        <xdr:cNvPr id="1099" name="Straight Connector 1098">
          <a:extLst>
            <a:ext uri="{FF2B5EF4-FFF2-40B4-BE49-F238E27FC236}">
              <a16:creationId xmlns:a16="http://schemas.microsoft.com/office/drawing/2014/main" id="{00000000-0008-0000-0700-00004B040000}"/>
            </a:ext>
          </a:extLst>
        </xdr:cNvPr>
        <xdr:cNvCxnSpPr/>
      </xdr:nvCxnSpPr>
      <xdr:spPr>
        <a:xfrm flipH="1" flipV="1">
          <a:off x="3480435" y="4529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247</xdr:row>
      <xdr:rowOff>400050</xdr:rowOff>
    </xdr:from>
    <xdr:to>
      <xdr:col>5</xdr:col>
      <xdr:colOff>1666875</xdr:colOff>
      <xdr:row>247</xdr:row>
      <xdr:rowOff>400050</xdr:rowOff>
    </xdr:to>
    <xdr:cxnSp macro="">
      <xdr:nvCxnSpPr>
        <xdr:cNvPr id="1100" name="Straight Connector 1099">
          <a:extLst>
            <a:ext uri="{FF2B5EF4-FFF2-40B4-BE49-F238E27FC236}">
              <a16:creationId xmlns:a16="http://schemas.microsoft.com/office/drawing/2014/main" id="{00000000-0008-0000-0700-00004C040000}"/>
            </a:ext>
          </a:extLst>
        </xdr:cNvPr>
        <xdr:cNvCxnSpPr/>
      </xdr:nvCxnSpPr>
      <xdr:spPr>
        <a:xfrm>
          <a:off x="3476625" y="4535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247</xdr:row>
      <xdr:rowOff>127000</xdr:rowOff>
    </xdr:from>
    <xdr:to>
      <xdr:col>5</xdr:col>
      <xdr:colOff>356810</xdr:colOff>
      <xdr:row>247</xdr:row>
      <xdr:rowOff>409912</xdr:rowOff>
    </xdr:to>
    <xdr:cxnSp macro="">
      <xdr:nvCxnSpPr>
        <xdr:cNvPr id="1101" name="Straight Connector 1100">
          <a:extLst>
            <a:ext uri="{FF2B5EF4-FFF2-40B4-BE49-F238E27FC236}">
              <a16:creationId xmlns:a16="http://schemas.microsoft.com/office/drawing/2014/main" id="{00000000-0008-0000-0700-00004D040000}"/>
            </a:ext>
          </a:extLst>
        </xdr:cNvPr>
        <xdr:cNvCxnSpPr/>
      </xdr:nvCxnSpPr>
      <xdr:spPr>
        <a:xfrm flipH="1" flipV="1">
          <a:off x="3481009" y="4529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247</xdr:row>
      <xdr:rowOff>134252</xdr:rowOff>
    </xdr:from>
    <xdr:to>
      <xdr:col>5</xdr:col>
      <xdr:colOff>1652211</xdr:colOff>
      <xdr:row>247</xdr:row>
      <xdr:rowOff>417164</xdr:rowOff>
    </xdr:to>
    <xdr:cxnSp macro="">
      <xdr:nvCxnSpPr>
        <xdr:cNvPr id="1102" name="Straight Connector 1101">
          <a:extLst>
            <a:ext uri="{FF2B5EF4-FFF2-40B4-BE49-F238E27FC236}">
              <a16:creationId xmlns:a16="http://schemas.microsoft.com/office/drawing/2014/main" id="{00000000-0008-0000-0700-00004E040000}"/>
            </a:ext>
          </a:extLst>
        </xdr:cNvPr>
        <xdr:cNvCxnSpPr/>
      </xdr:nvCxnSpPr>
      <xdr:spPr>
        <a:xfrm flipH="1" flipV="1">
          <a:off x="3747710" y="4530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248</xdr:row>
      <xdr:rowOff>127000</xdr:rowOff>
    </xdr:from>
    <xdr:to>
      <xdr:col>5</xdr:col>
      <xdr:colOff>356235</xdr:colOff>
      <xdr:row>248</xdr:row>
      <xdr:rowOff>309880</xdr:rowOff>
    </xdr:to>
    <xdr:cxnSp macro="">
      <xdr:nvCxnSpPr>
        <xdr:cNvPr id="1103" name="Straight Connector 1102">
          <a:extLst>
            <a:ext uri="{FF2B5EF4-FFF2-40B4-BE49-F238E27FC236}">
              <a16:creationId xmlns:a16="http://schemas.microsoft.com/office/drawing/2014/main" id="{00000000-0008-0000-0700-00004F040000}"/>
            </a:ext>
          </a:extLst>
        </xdr:cNvPr>
        <xdr:cNvCxnSpPr/>
      </xdr:nvCxnSpPr>
      <xdr:spPr>
        <a:xfrm flipH="1" flipV="1">
          <a:off x="3480435" y="4548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248</xdr:row>
      <xdr:rowOff>152400</xdr:rowOff>
    </xdr:from>
    <xdr:to>
      <xdr:col>5</xdr:col>
      <xdr:colOff>1676400</xdr:colOff>
      <xdr:row>248</xdr:row>
      <xdr:rowOff>152400</xdr:rowOff>
    </xdr:to>
    <xdr:cxnSp macro="">
      <xdr:nvCxnSpPr>
        <xdr:cNvPr id="1104" name="Straight Connector 1103">
          <a:extLst>
            <a:ext uri="{FF2B5EF4-FFF2-40B4-BE49-F238E27FC236}">
              <a16:creationId xmlns:a16="http://schemas.microsoft.com/office/drawing/2014/main" id="{00000000-0008-0000-0700-000050040000}"/>
            </a:ext>
          </a:extLst>
        </xdr:cNvPr>
        <xdr:cNvCxnSpPr/>
      </xdr:nvCxnSpPr>
      <xdr:spPr>
        <a:xfrm>
          <a:off x="3486150" y="4550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248</xdr:row>
      <xdr:rowOff>127000</xdr:rowOff>
    </xdr:from>
    <xdr:to>
      <xdr:col>5</xdr:col>
      <xdr:colOff>356810</xdr:colOff>
      <xdr:row>248</xdr:row>
      <xdr:rowOff>409912</xdr:rowOff>
    </xdr:to>
    <xdr:cxnSp macro="">
      <xdr:nvCxnSpPr>
        <xdr:cNvPr id="1105" name="Straight Connector 1104">
          <a:extLst>
            <a:ext uri="{FF2B5EF4-FFF2-40B4-BE49-F238E27FC236}">
              <a16:creationId xmlns:a16="http://schemas.microsoft.com/office/drawing/2014/main" id="{00000000-0008-0000-0700-000051040000}"/>
            </a:ext>
          </a:extLst>
        </xdr:cNvPr>
        <xdr:cNvCxnSpPr/>
      </xdr:nvCxnSpPr>
      <xdr:spPr>
        <a:xfrm flipH="1" flipV="1">
          <a:off x="3481009" y="4548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248</xdr:row>
      <xdr:rowOff>134252</xdr:rowOff>
    </xdr:from>
    <xdr:to>
      <xdr:col>5</xdr:col>
      <xdr:colOff>1652211</xdr:colOff>
      <xdr:row>248</xdr:row>
      <xdr:rowOff>417164</xdr:rowOff>
    </xdr:to>
    <xdr:cxnSp macro="">
      <xdr:nvCxnSpPr>
        <xdr:cNvPr id="1106" name="Straight Connector 1105">
          <a:extLst>
            <a:ext uri="{FF2B5EF4-FFF2-40B4-BE49-F238E27FC236}">
              <a16:creationId xmlns:a16="http://schemas.microsoft.com/office/drawing/2014/main" id="{00000000-0008-0000-0700-000052040000}"/>
            </a:ext>
          </a:extLst>
        </xdr:cNvPr>
        <xdr:cNvCxnSpPr/>
      </xdr:nvCxnSpPr>
      <xdr:spPr>
        <a:xfrm flipH="1" flipV="1">
          <a:off x="3747710" y="45488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249</xdr:row>
      <xdr:rowOff>123824</xdr:rowOff>
    </xdr:from>
    <xdr:to>
      <xdr:col>5</xdr:col>
      <xdr:colOff>1428750</xdr:colOff>
      <xdr:row>249</xdr:row>
      <xdr:rowOff>1219199</xdr:rowOff>
    </xdr:to>
    <xdr:sp macro="" textlink="">
      <xdr:nvSpPr>
        <xdr:cNvPr id="1107" name="Rounded Rectangle 1106">
          <a:extLst>
            <a:ext uri="{FF2B5EF4-FFF2-40B4-BE49-F238E27FC236}">
              <a16:creationId xmlns:a16="http://schemas.microsoft.com/office/drawing/2014/main" id="{00000000-0008-0000-0700-000053040000}"/>
            </a:ext>
          </a:extLst>
        </xdr:cNvPr>
        <xdr:cNvSpPr/>
      </xdr:nvSpPr>
      <xdr:spPr>
        <a:xfrm>
          <a:off x="3745230" y="4566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249</xdr:row>
      <xdr:rowOff>238127</xdr:rowOff>
    </xdr:from>
    <xdr:to>
      <xdr:col>5</xdr:col>
      <xdr:colOff>790575</xdr:colOff>
      <xdr:row>249</xdr:row>
      <xdr:rowOff>361950</xdr:rowOff>
    </xdr:to>
    <xdr:cxnSp macro="">
      <xdr:nvCxnSpPr>
        <xdr:cNvPr id="1108" name="Straight Connector 1107">
          <a:extLst>
            <a:ext uri="{FF2B5EF4-FFF2-40B4-BE49-F238E27FC236}">
              <a16:creationId xmlns:a16="http://schemas.microsoft.com/office/drawing/2014/main" id="{00000000-0008-0000-0700-000054040000}"/>
            </a:ext>
          </a:extLst>
        </xdr:cNvPr>
        <xdr:cNvCxnSpPr/>
      </xdr:nvCxnSpPr>
      <xdr:spPr>
        <a:xfrm flipH="1" flipV="1">
          <a:off x="3749041" y="4572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249</xdr:row>
      <xdr:rowOff>133352</xdr:rowOff>
    </xdr:from>
    <xdr:to>
      <xdr:col>5</xdr:col>
      <xdr:colOff>885825</xdr:colOff>
      <xdr:row>249</xdr:row>
      <xdr:rowOff>257175</xdr:rowOff>
    </xdr:to>
    <xdr:cxnSp macro="">
      <xdr:nvCxnSpPr>
        <xdr:cNvPr id="1109" name="Straight Connector 1108">
          <a:extLst>
            <a:ext uri="{FF2B5EF4-FFF2-40B4-BE49-F238E27FC236}">
              <a16:creationId xmlns:a16="http://schemas.microsoft.com/office/drawing/2014/main" id="{00000000-0008-0000-0700-000055040000}"/>
            </a:ext>
          </a:extLst>
        </xdr:cNvPr>
        <xdr:cNvCxnSpPr/>
      </xdr:nvCxnSpPr>
      <xdr:spPr>
        <a:xfrm flipH="1" flipV="1">
          <a:off x="3745231" y="4567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247</xdr:row>
      <xdr:rowOff>127000</xdr:rowOff>
    </xdr:from>
    <xdr:to>
      <xdr:col>5</xdr:col>
      <xdr:colOff>356235</xdr:colOff>
      <xdr:row>247</xdr:row>
      <xdr:rowOff>309880</xdr:rowOff>
    </xdr:to>
    <xdr:cxnSp macro="">
      <xdr:nvCxnSpPr>
        <xdr:cNvPr id="1110" name="Straight Connector 1109">
          <a:extLst>
            <a:ext uri="{FF2B5EF4-FFF2-40B4-BE49-F238E27FC236}">
              <a16:creationId xmlns:a16="http://schemas.microsoft.com/office/drawing/2014/main" id="{00000000-0008-0000-0700-000056040000}"/>
            </a:ext>
          </a:extLst>
        </xdr:cNvPr>
        <xdr:cNvCxnSpPr/>
      </xdr:nvCxnSpPr>
      <xdr:spPr>
        <a:xfrm flipH="1" flipV="1">
          <a:off x="3480435" y="4529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247</xdr:row>
      <xdr:rowOff>400050</xdr:rowOff>
    </xdr:from>
    <xdr:to>
      <xdr:col>5</xdr:col>
      <xdr:colOff>1666875</xdr:colOff>
      <xdr:row>247</xdr:row>
      <xdr:rowOff>400050</xdr:rowOff>
    </xdr:to>
    <xdr:cxnSp macro="">
      <xdr:nvCxnSpPr>
        <xdr:cNvPr id="1111" name="Straight Connector 1110">
          <a:extLst>
            <a:ext uri="{FF2B5EF4-FFF2-40B4-BE49-F238E27FC236}">
              <a16:creationId xmlns:a16="http://schemas.microsoft.com/office/drawing/2014/main" id="{00000000-0008-0000-0700-000057040000}"/>
            </a:ext>
          </a:extLst>
        </xdr:cNvPr>
        <xdr:cNvCxnSpPr/>
      </xdr:nvCxnSpPr>
      <xdr:spPr>
        <a:xfrm>
          <a:off x="3476625" y="4535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247</xdr:row>
      <xdr:rowOff>127000</xdr:rowOff>
    </xdr:from>
    <xdr:to>
      <xdr:col>5</xdr:col>
      <xdr:colOff>356810</xdr:colOff>
      <xdr:row>247</xdr:row>
      <xdr:rowOff>409912</xdr:rowOff>
    </xdr:to>
    <xdr:cxnSp macro="">
      <xdr:nvCxnSpPr>
        <xdr:cNvPr id="1112" name="Straight Connector 1111">
          <a:extLst>
            <a:ext uri="{FF2B5EF4-FFF2-40B4-BE49-F238E27FC236}">
              <a16:creationId xmlns:a16="http://schemas.microsoft.com/office/drawing/2014/main" id="{00000000-0008-0000-0700-000058040000}"/>
            </a:ext>
          </a:extLst>
        </xdr:cNvPr>
        <xdr:cNvCxnSpPr/>
      </xdr:nvCxnSpPr>
      <xdr:spPr>
        <a:xfrm flipH="1" flipV="1">
          <a:off x="3481009" y="4529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247</xdr:row>
      <xdr:rowOff>134252</xdr:rowOff>
    </xdr:from>
    <xdr:to>
      <xdr:col>5</xdr:col>
      <xdr:colOff>1652211</xdr:colOff>
      <xdr:row>247</xdr:row>
      <xdr:rowOff>417164</xdr:rowOff>
    </xdr:to>
    <xdr:cxnSp macro="">
      <xdr:nvCxnSpPr>
        <xdr:cNvPr id="1113" name="Straight Connector 1112">
          <a:extLst>
            <a:ext uri="{FF2B5EF4-FFF2-40B4-BE49-F238E27FC236}">
              <a16:creationId xmlns:a16="http://schemas.microsoft.com/office/drawing/2014/main" id="{00000000-0008-0000-0700-000059040000}"/>
            </a:ext>
          </a:extLst>
        </xdr:cNvPr>
        <xdr:cNvCxnSpPr/>
      </xdr:nvCxnSpPr>
      <xdr:spPr>
        <a:xfrm flipH="1" flipV="1">
          <a:off x="3747710" y="4530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248</xdr:row>
      <xdr:rowOff>127000</xdr:rowOff>
    </xdr:from>
    <xdr:to>
      <xdr:col>5</xdr:col>
      <xdr:colOff>356235</xdr:colOff>
      <xdr:row>248</xdr:row>
      <xdr:rowOff>309880</xdr:rowOff>
    </xdr:to>
    <xdr:cxnSp macro="">
      <xdr:nvCxnSpPr>
        <xdr:cNvPr id="1114" name="Straight Connector 1113">
          <a:extLst>
            <a:ext uri="{FF2B5EF4-FFF2-40B4-BE49-F238E27FC236}">
              <a16:creationId xmlns:a16="http://schemas.microsoft.com/office/drawing/2014/main" id="{00000000-0008-0000-0700-00005A040000}"/>
            </a:ext>
          </a:extLst>
        </xdr:cNvPr>
        <xdr:cNvCxnSpPr/>
      </xdr:nvCxnSpPr>
      <xdr:spPr>
        <a:xfrm flipH="1" flipV="1">
          <a:off x="3480435" y="4548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248</xdr:row>
      <xdr:rowOff>152400</xdr:rowOff>
    </xdr:from>
    <xdr:to>
      <xdr:col>5</xdr:col>
      <xdr:colOff>1676400</xdr:colOff>
      <xdr:row>248</xdr:row>
      <xdr:rowOff>152400</xdr:rowOff>
    </xdr:to>
    <xdr:cxnSp macro="">
      <xdr:nvCxnSpPr>
        <xdr:cNvPr id="1115" name="Straight Connector 1114">
          <a:extLst>
            <a:ext uri="{FF2B5EF4-FFF2-40B4-BE49-F238E27FC236}">
              <a16:creationId xmlns:a16="http://schemas.microsoft.com/office/drawing/2014/main" id="{00000000-0008-0000-0700-00005B040000}"/>
            </a:ext>
          </a:extLst>
        </xdr:cNvPr>
        <xdr:cNvCxnSpPr/>
      </xdr:nvCxnSpPr>
      <xdr:spPr>
        <a:xfrm>
          <a:off x="3486150" y="4550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248</xdr:row>
      <xdr:rowOff>127000</xdr:rowOff>
    </xdr:from>
    <xdr:to>
      <xdr:col>5</xdr:col>
      <xdr:colOff>356810</xdr:colOff>
      <xdr:row>248</xdr:row>
      <xdr:rowOff>409912</xdr:rowOff>
    </xdr:to>
    <xdr:cxnSp macro="">
      <xdr:nvCxnSpPr>
        <xdr:cNvPr id="1116" name="Straight Connector 1115">
          <a:extLst>
            <a:ext uri="{FF2B5EF4-FFF2-40B4-BE49-F238E27FC236}">
              <a16:creationId xmlns:a16="http://schemas.microsoft.com/office/drawing/2014/main" id="{00000000-0008-0000-0700-00005C040000}"/>
            </a:ext>
          </a:extLst>
        </xdr:cNvPr>
        <xdr:cNvCxnSpPr/>
      </xdr:nvCxnSpPr>
      <xdr:spPr>
        <a:xfrm flipH="1" flipV="1">
          <a:off x="3481009" y="4548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248</xdr:row>
      <xdr:rowOff>134252</xdr:rowOff>
    </xdr:from>
    <xdr:to>
      <xdr:col>5</xdr:col>
      <xdr:colOff>1652211</xdr:colOff>
      <xdr:row>248</xdr:row>
      <xdr:rowOff>417164</xdr:rowOff>
    </xdr:to>
    <xdr:cxnSp macro="">
      <xdr:nvCxnSpPr>
        <xdr:cNvPr id="1117" name="Straight Connector 1116">
          <a:extLst>
            <a:ext uri="{FF2B5EF4-FFF2-40B4-BE49-F238E27FC236}">
              <a16:creationId xmlns:a16="http://schemas.microsoft.com/office/drawing/2014/main" id="{00000000-0008-0000-0700-00005D040000}"/>
            </a:ext>
          </a:extLst>
        </xdr:cNvPr>
        <xdr:cNvCxnSpPr/>
      </xdr:nvCxnSpPr>
      <xdr:spPr>
        <a:xfrm flipH="1" flipV="1">
          <a:off x="3747710" y="45488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249</xdr:row>
      <xdr:rowOff>123824</xdr:rowOff>
    </xdr:from>
    <xdr:to>
      <xdr:col>5</xdr:col>
      <xdr:colOff>1428750</xdr:colOff>
      <xdr:row>249</xdr:row>
      <xdr:rowOff>1219199</xdr:rowOff>
    </xdr:to>
    <xdr:sp macro="" textlink="">
      <xdr:nvSpPr>
        <xdr:cNvPr id="1118" name="Rounded Rectangle 1117">
          <a:extLst>
            <a:ext uri="{FF2B5EF4-FFF2-40B4-BE49-F238E27FC236}">
              <a16:creationId xmlns:a16="http://schemas.microsoft.com/office/drawing/2014/main" id="{00000000-0008-0000-0700-00005E040000}"/>
            </a:ext>
          </a:extLst>
        </xdr:cNvPr>
        <xdr:cNvSpPr/>
      </xdr:nvSpPr>
      <xdr:spPr>
        <a:xfrm>
          <a:off x="3745230" y="4566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249</xdr:row>
      <xdr:rowOff>238127</xdr:rowOff>
    </xdr:from>
    <xdr:to>
      <xdr:col>5</xdr:col>
      <xdr:colOff>790575</xdr:colOff>
      <xdr:row>249</xdr:row>
      <xdr:rowOff>361950</xdr:rowOff>
    </xdr:to>
    <xdr:cxnSp macro="">
      <xdr:nvCxnSpPr>
        <xdr:cNvPr id="1119" name="Straight Connector 1118">
          <a:extLst>
            <a:ext uri="{FF2B5EF4-FFF2-40B4-BE49-F238E27FC236}">
              <a16:creationId xmlns:a16="http://schemas.microsoft.com/office/drawing/2014/main" id="{00000000-0008-0000-0700-00005F040000}"/>
            </a:ext>
          </a:extLst>
        </xdr:cNvPr>
        <xdr:cNvCxnSpPr/>
      </xdr:nvCxnSpPr>
      <xdr:spPr>
        <a:xfrm flipH="1" flipV="1">
          <a:off x="3749041" y="4572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249</xdr:row>
      <xdr:rowOff>133352</xdr:rowOff>
    </xdr:from>
    <xdr:to>
      <xdr:col>5</xdr:col>
      <xdr:colOff>885825</xdr:colOff>
      <xdr:row>249</xdr:row>
      <xdr:rowOff>257175</xdr:rowOff>
    </xdr:to>
    <xdr:cxnSp macro="">
      <xdr:nvCxnSpPr>
        <xdr:cNvPr id="1120" name="Straight Connector 1119">
          <a:extLst>
            <a:ext uri="{FF2B5EF4-FFF2-40B4-BE49-F238E27FC236}">
              <a16:creationId xmlns:a16="http://schemas.microsoft.com/office/drawing/2014/main" id="{00000000-0008-0000-0700-000060040000}"/>
            </a:ext>
          </a:extLst>
        </xdr:cNvPr>
        <xdr:cNvCxnSpPr/>
      </xdr:nvCxnSpPr>
      <xdr:spPr>
        <a:xfrm flipH="1" flipV="1">
          <a:off x="3745231" y="4567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247</xdr:row>
      <xdr:rowOff>127000</xdr:rowOff>
    </xdr:from>
    <xdr:to>
      <xdr:col>5</xdr:col>
      <xdr:colOff>356235</xdr:colOff>
      <xdr:row>247</xdr:row>
      <xdr:rowOff>309880</xdr:rowOff>
    </xdr:to>
    <xdr:cxnSp macro="">
      <xdr:nvCxnSpPr>
        <xdr:cNvPr id="1121" name="Straight Connector 1120">
          <a:extLst>
            <a:ext uri="{FF2B5EF4-FFF2-40B4-BE49-F238E27FC236}">
              <a16:creationId xmlns:a16="http://schemas.microsoft.com/office/drawing/2014/main" id="{00000000-0008-0000-0700-000061040000}"/>
            </a:ext>
          </a:extLst>
        </xdr:cNvPr>
        <xdr:cNvCxnSpPr/>
      </xdr:nvCxnSpPr>
      <xdr:spPr>
        <a:xfrm flipH="1" flipV="1">
          <a:off x="3480435" y="4529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247</xdr:row>
      <xdr:rowOff>400050</xdr:rowOff>
    </xdr:from>
    <xdr:to>
      <xdr:col>5</xdr:col>
      <xdr:colOff>1666875</xdr:colOff>
      <xdr:row>247</xdr:row>
      <xdr:rowOff>400050</xdr:rowOff>
    </xdr:to>
    <xdr:cxnSp macro="">
      <xdr:nvCxnSpPr>
        <xdr:cNvPr id="1122" name="Straight Connector 1121">
          <a:extLst>
            <a:ext uri="{FF2B5EF4-FFF2-40B4-BE49-F238E27FC236}">
              <a16:creationId xmlns:a16="http://schemas.microsoft.com/office/drawing/2014/main" id="{00000000-0008-0000-0700-000062040000}"/>
            </a:ext>
          </a:extLst>
        </xdr:cNvPr>
        <xdr:cNvCxnSpPr/>
      </xdr:nvCxnSpPr>
      <xdr:spPr>
        <a:xfrm>
          <a:off x="3476625" y="4535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247</xdr:row>
      <xdr:rowOff>127000</xdr:rowOff>
    </xdr:from>
    <xdr:to>
      <xdr:col>5</xdr:col>
      <xdr:colOff>356810</xdr:colOff>
      <xdr:row>247</xdr:row>
      <xdr:rowOff>409912</xdr:rowOff>
    </xdr:to>
    <xdr:cxnSp macro="">
      <xdr:nvCxnSpPr>
        <xdr:cNvPr id="1123" name="Straight Connector 1122">
          <a:extLst>
            <a:ext uri="{FF2B5EF4-FFF2-40B4-BE49-F238E27FC236}">
              <a16:creationId xmlns:a16="http://schemas.microsoft.com/office/drawing/2014/main" id="{00000000-0008-0000-0700-000063040000}"/>
            </a:ext>
          </a:extLst>
        </xdr:cNvPr>
        <xdr:cNvCxnSpPr/>
      </xdr:nvCxnSpPr>
      <xdr:spPr>
        <a:xfrm flipH="1" flipV="1">
          <a:off x="3481009" y="4529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247</xdr:row>
      <xdr:rowOff>134252</xdr:rowOff>
    </xdr:from>
    <xdr:to>
      <xdr:col>5</xdr:col>
      <xdr:colOff>1652211</xdr:colOff>
      <xdr:row>247</xdr:row>
      <xdr:rowOff>417164</xdr:rowOff>
    </xdr:to>
    <xdr:cxnSp macro="">
      <xdr:nvCxnSpPr>
        <xdr:cNvPr id="1124" name="Straight Connector 1123">
          <a:extLst>
            <a:ext uri="{FF2B5EF4-FFF2-40B4-BE49-F238E27FC236}">
              <a16:creationId xmlns:a16="http://schemas.microsoft.com/office/drawing/2014/main" id="{00000000-0008-0000-0700-000064040000}"/>
            </a:ext>
          </a:extLst>
        </xdr:cNvPr>
        <xdr:cNvCxnSpPr/>
      </xdr:nvCxnSpPr>
      <xdr:spPr>
        <a:xfrm flipH="1" flipV="1">
          <a:off x="3747710" y="4530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248</xdr:row>
      <xdr:rowOff>127000</xdr:rowOff>
    </xdr:from>
    <xdr:to>
      <xdr:col>5</xdr:col>
      <xdr:colOff>356235</xdr:colOff>
      <xdr:row>248</xdr:row>
      <xdr:rowOff>309880</xdr:rowOff>
    </xdr:to>
    <xdr:cxnSp macro="">
      <xdr:nvCxnSpPr>
        <xdr:cNvPr id="1125" name="Straight Connector 1124">
          <a:extLst>
            <a:ext uri="{FF2B5EF4-FFF2-40B4-BE49-F238E27FC236}">
              <a16:creationId xmlns:a16="http://schemas.microsoft.com/office/drawing/2014/main" id="{00000000-0008-0000-0700-000065040000}"/>
            </a:ext>
          </a:extLst>
        </xdr:cNvPr>
        <xdr:cNvCxnSpPr/>
      </xdr:nvCxnSpPr>
      <xdr:spPr>
        <a:xfrm flipH="1" flipV="1">
          <a:off x="3480435" y="4548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248</xdr:row>
      <xdr:rowOff>152400</xdr:rowOff>
    </xdr:from>
    <xdr:to>
      <xdr:col>5</xdr:col>
      <xdr:colOff>1676400</xdr:colOff>
      <xdr:row>248</xdr:row>
      <xdr:rowOff>152400</xdr:rowOff>
    </xdr:to>
    <xdr:cxnSp macro="">
      <xdr:nvCxnSpPr>
        <xdr:cNvPr id="1126" name="Straight Connector 1125">
          <a:extLst>
            <a:ext uri="{FF2B5EF4-FFF2-40B4-BE49-F238E27FC236}">
              <a16:creationId xmlns:a16="http://schemas.microsoft.com/office/drawing/2014/main" id="{00000000-0008-0000-0700-000066040000}"/>
            </a:ext>
          </a:extLst>
        </xdr:cNvPr>
        <xdr:cNvCxnSpPr/>
      </xdr:nvCxnSpPr>
      <xdr:spPr>
        <a:xfrm>
          <a:off x="3486150" y="4550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248</xdr:row>
      <xdr:rowOff>127000</xdr:rowOff>
    </xdr:from>
    <xdr:to>
      <xdr:col>5</xdr:col>
      <xdr:colOff>356810</xdr:colOff>
      <xdr:row>248</xdr:row>
      <xdr:rowOff>409912</xdr:rowOff>
    </xdr:to>
    <xdr:cxnSp macro="">
      <xdr:nvCxnSpPr>
        <xdr:cNvPr id="1127" name="Straight Connector 1126">
          <a:extLst>
            <a:ext uri="{FF2B5EF4-FFF2-40B4-BE49-F238E27FC236}">
              <a16:creationId xmlns:a16="http://schemas.microsoft.com/office/drawing/2014/main" id="{00000000-0008-0000-0700-000067040000}"/>
            </a:ext>
          </a:extLst>
        </xdr:cNvPr>
        <xdr:cNvCxnSpPr/>
      </xdr:nvCxnSpPr>
      <xdr:spPr>
        <a:xfrm flipH="1" flipV="1">
          <a:off x="3481009" y="4548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248</xdr:row>
      <xdr:rowOff>134252</xdr:rowOff>
    </xdr:from>
    <xdr:to>
      <xdr:col>5</xdr:col>
      <xdr:colOff>1652211</xdr:colOff>
      <xdr:row>248</xdr:row>
      <xdr:rowOff>417164</xdr:rowOff>
    </xdr:to>
    <xdr:cxnSp macro="">
      <xdr:nvCxnSpPr>
        <xdr:cNvPr id="1128" name="Straight Connector 1127">
          <a:extLst>
            <a:ext uri="{FF2B5EF4-FFF2-40B4-BE49-F238E27FC236}">
              <a16:creationId xmlns:a16="http://schemas.microsoft.com/office/drawing/2014/main" id="{00000000-0008-0000-0700-000068040000}"/>
            </a:ext>
          </a:extLst>
        </xdr:cNvPr>
        <xdr:cNvCxnSpPr/>
      </xdr:nvCxnSpPr>
      <xdr:spPr>
        <a:xfrm flipH="1" flipV="1">
          <a:off x="3747710" y="454884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249</xdr:row>
      <xdr:rowOff>123824</xdr:rowOff>
    </xdr:from>
    <xdr:to>
      <xdr:col>5</xdr:col>
      <xdr:colOff>1428750</xdr:colOff>
      <xdr:row>249</xdr:row>
      <xdr:rowOff>1219199</xdr:rowOff>
    </xdr:to>
    <xdr:sp macro="" textlink="">
      <xdr:nvSpPr>
        <xdr:cNvPr id="1129" name="Rounded Rectangle 1128">
          <a:extLst>
            <a:ext uri="{FF2B5EF4-FFF2-40B4-BE49-F238E27FC236}">
              <a16:creationId xmlns:a16="http://schemas.microsoft.com/office/drawing/2014/main" id="{00000000-0008-0000-0700-000069040000}"/>
            </a:ext>
          </a:extLst>
        </xdr:cNvPr>
        <xdr:cNvSpPr/>
      </xdr:nvSpPr>
      <xdr:spPr>
        <a:xfrm>
          <a:off x="3745230" y="4566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249</xdr:row>
      <xdr:rowOff>238127</xdr:rowOff>
    </xdr:from>
    <xdr:to>
      <xdr:col>5</xdr:col>
      <xdr:colOff>790575</xdr:colOff>
      <xdr:row>249</xdr:row>
      <xdr:rowOff>361950</xdr:rowOff>
    </xdr:to>
    <xdr:cxnSp macro="">
      <xdr:nvCxnSpPr>
        <xdr:cNvPr id="1130" name="Straight Connector 1129">
          <a:extLst>
            <a:ext uri="{FF2B5EF4-FFF2-40B4-BE49-F238E27FC236}">
              <a16:creationId xmlns:a16="http://schemas.microsoft.com/office/drawing/2014/main" id="{00000000-0008-0000-0700-00006A040000}"/>
            </a:ext>
          </a:extLst>
        </xdr:cNvPr>
        <xdr:cNvCxnSpPr/>
      </xdr:nvCxnSpPr>
      <xdr:spPr>
        <a:xfrm flipH="1" flipV="1">
          <a:off x="3749041" y="4572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249</xdr:row>
      <xdr:rowOff>133352</xdr:rowOff>
    </xdr:from>
    <xdr:to>
      <xdr:col>5</xdr:col>
      <xdr:colOff>885825</xdr:colOff>
      <xdr:row>249</xdr:row>
      <xdr:rowOff>257175</xdr:rowOff>
    </xdr:to>
    <xdr:cxnSp macro="">
      <xdr:nvCxnSpPr>
        <xdr:cNvPr id="1131" name="Straight Connector 1130">
          <a:extLst>
            <a:ext uri="{FF2B5EF4-FFF2-40B4-BE49-F238E27FC236}">
              <a16:creationId xmlns:a16="http://schemas.microsoft.com/office/drawing/2014/main" id="{00000000-0008-0000-0700-00006B040000}"/>
            </a:ext>
          </a:extLst>
        </xdr:cNvPr>
        <xdr:cNvCxnSpPr/>
      </xdr:nvCxnSpPr>
      <xdr:spPr>
        <a:xfrm flipH="1" flipV="1">
          <a:off x="3745231" y="4567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247</xdr:row>
      <xdr:rowOff>127000</xdr:rowOff>
    </xdr:from>
    <xdr:to>
      <xdr:col>5</xdr:col>
      <xdr:colOff>356235</xdr:colOff>
      <xdr:row>247</xdr:row>
      <xdr:rowOff>309880</xdr:rowOff>
    </xdr:to>
    <xdr:cxnSp macro="">
      <xdr:nvCxnSpPr>
        <xdr:cNvPr id="1132" name="Straight Connector 1131">
          <a:extLst>
            <a:ext uri="{FF2B5EF4-FFF2-40B4-BE49-F238E27FC236}">
              <a16:creationId xmlns:a16="http://schemas.microsoft.com/office/drawing/2014/main" id="{00000000-0008-0000-0700-00006C040000}"/>
            </a:ext>
          </a:extLst>
        </xdr:cNvPr>
        <xdr:cNvCxnSpPr/>
      </xdr:nvCxnSpPr>
      <xdr:spPr>
        <a:xfrm flipH="1" flipV="1">
          <a:off x="3480435" y="4529836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247</xdr:row>
      <xdr:rowOff>400050</xdr:rowOff>
    </xdr:from>
    <xdr:to>
      <xdr:col>5</xdr:col>
      <xdr:colOff>1666875</xdr:colOff>
      <xdr:row>247</xdr:row>
      <xdr:rowOff>400050</xdr:rowOff>
    </xdr:to>
    <xdr:cxnSp macro="">
      <xdr:nvCxnSpPr>
        <xdr:cNvPr id="1133" name="Straight Connector 1132">
          <a:extLst>
            <a:ext uri="{FF2B5EF4-FFF2-40B4-BE49-F238E27FC236}">
              <a16:creationId xmlns:a16="http://schemas.microsoft.com/office/drawing/2014/main" id="{00000000-0008-0000-0700-00006D040000}"/>
            </a:ext>
          </a:extLst>
        </xdr:cNvPr>
        <xdr:cNvCxnSpPr/>
      </xdr:nvCxnSpPr>
      <xdr:spPr>
        <a:xfrm>
          <a:off x="3476625" y="4535043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247</xdr:row>
      <xdr:rowOff>127000</xdr:rowOff>
    </xdr:from>
    <xdr:to>
      <xdr:col>5</xdr:col>
      <xdr:colOff>356810</xdr:colOff>
      <xdr:row>247</xdr:row>
      <xdr:rowOff>409912</xdr:rowOff>
    </xdr:to>
    <xdr:cxnSp macro="">
      <xdr:nvCxnSpPr>
        <xdr:cNvPr id="1134" name="Straight Connector 1133">
          <a:extLst>
            <a:ext uri="{FF2B5EF4-FFF2-40B4-BE49-F238E27FC236}">
              <a16:creationId xmlns:a16="http://schemas.microsoft.com/office/drawing/2014/main" id="{00000000-0008-0000-0700-00006E040000}"/>
            </a:ext>
          </a:extLst>
        </xdr:cNvPr>
        <xdr:cNvCxnSpPr/>
      </xdr:nvCxnSpPr>
      <xdr:spPr>
        <a:xfrm flipH="1" flipV="1">
          <a:off x="3481009" y="4529836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247</xdr:row>
      <xdr:rowOff>134252</xdr:rowOff>
    </xdr:from>
    <xdr:to>
      <xdr:col>5</xdr:col>
      <xdr:colOff>1652211</xdr:colOff>
      <xdr:row>247</xdr:row>
      <xdr:rowOff>417164</xdr:rowOff>
    </xdr:to>
    <xdr:cxnSp macro="">
      <xdr:nvCxnSpPr>
        <xdr:cNvPr id="1135" name="Straight Connector 1134">
          <a:extLst>
            <a:ext uri="{FF2B5EF4-FFF2-40B4-BE49-F238E27FC236}">
              <a16:creationId xmlns:a16="http://schemas.microsoft.com/office/drawing/2014/main" id="{00000000-0008-0000-0700-00006F040000}"/>
            </a:ext>
          </a:extLst>
        </xdr:cNvPr>
        <xdr:cNvCxnSpPr/>
      </xdr:nvCxnSpPr>
      <xdr:spPr>
        <a:xfrm flipH="1" flipV="1">
          <a:off x="3747710" y="4530561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248</xdr:row>
      <xdr:rowOff>127000</xdr:rowOff>
    </xdr:from>
    <xdr:to>
      <xdr:col>5</xdr:col>
      <xdr:colOff>356235</xdr:colOff>
      <xdr:row>248</xdr:row>
      <xdr:rowOff>309880</xdr:rowOff>
    </xdr:to>
    <xdr:cxnSp macro="">
      <xdr:nvCxnSpPr>
        <xdr:cNvPr id="1136" name="Straight Connector 1135">
          <a:extLst>
            <a:ext uri="{FF2B5EF4-FFF2-40B4-BE49-F238E27FC236}">
              <a16:creationId xmlns:a16="http://schemas.microsoft.com/office/drawing/2014/main" id="{00000000-0008-0000-0700-000070040000}"/>
            </a:ext>
          </a:extLst>
        </xdr:cNvPr>
        <xdr:cNvCxnSpPr/>
      </xdr:nvCxnSpPr>
      <xdr:spPr>
        <a:xfrm flipH="1" flipV="1">
          <a:off x="3480435" y="454812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248</xdr:row>
      <xdr:rowOff>152400</xdr:rowOff>
    </xdr:from>
    <xdr:to>
      <xdr:col>5</xdr:col>
      <xdr:colOff>1676400</xdr:colOff>
      <xdr:row>248</xdr:row>
      <xdr:rowOff>152400</xdr:rowOff>
    </xdr:to>
    <xdr:cxnSp macro="">
      <xdr:nvCxnSpPr>
        <xdr:cNvPr id="1137" name="Straight Connector 1136">
          <a:extLst>
            <a:ext uri="{FF2B5EF4-FFF2-40B4-BE49-F238E27FC236}">
              <a16:creationId xmlns:a16="http://schemas.microsoft.com/office/drawing/2014/main" id="{00000000-0008-0000-0700-000071040000}"/>
            </a:ext>
          </a:extLst>
        </xdr:cNvPr>
        <xdr:cNvCxnSpPr/>
      </xdr:nvCxnSpPr>
      <xdr:spPr>
        <a:xfrm>
          <a:off x="3486150" y="4550664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248</xdr:row>
      <xdr:rowOff>127000</xdr:rowOff>
    </xdr:from>
    <xdr:to>
      <xdr:col>5</xdr:col>
      <xdr:colOff>356810</xdr:colOff>
      <xdr:row>248</xdr:row>
      <xdr:rowOff>409912</xdr:rowOff>
    </xdr:to>
    <xdr:cxnSp macro="">
      <xdr:nvCxnSpPr>
        <xdr:cNvPr id="1138" name="Straight Connector 1137">
          <a:extLst>
            <a:ext uri="{FF2B5EF4-FFF2-40B4-BE49-F238E27FC236}">
              <a16:creationId xmlns:a16="http://schemas.microsoft.com/office/drawing/2014/main" id="{00000000-0008-0000-0700-000072040000}"/>
            </a:ext>
          </a:extLst>
        </xdr:cNvPr>
        <xdr:cNvCxnSpPr/>
      </xdr:nvCxnSpPr>
      <xdr:spPr>
        <a:xfrm flipH="1" flipV="1">
          <a:off x="3481009" y="454812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249</xdr:row>
      <xdr:rowOff>123824</xdr:rowOff>
    </xdr:from>
    <xdr:to>
      <xdr:col>5</xdr:col>
      <xdr:colOff>1428750</xdr:colOff>
      <xdr:row>249</xdr:row>
      <xdr:rowOff>1219199</xdr:rowOff>
    </xdr:to>
    <xdr:sp macro="" textlink="">
      <xdr:nvSpPr>
        <xdr:cNvPr id="1139" name="Rounded Rectangle 1138">
          <a:extLst>
            <a:ext uri="{FF2B5EF4-FFF2-40B4-BE49-F238E27FC236}">
              <a16:creationId xmlns:a16="http://schemas.microsoft.com/office/drawing/2014/main" id="{00000000-0008-0000-0700-000073040000}"/>
            </a:ext>
          </a:extLst>
        </xdr:cNvPr>
        <xdr:cNvSpPr/>
      </xdr:nvSpPr>
      <xdr:spPr>
        <a:xfrm>
          <a:off x="3745230" y="4566094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249</xdr:row>
      <xdr:rowOff>238127</xdr:rowOff>
    </xdr:from>
    <xdr:to>
      <xdr:col>5</xdr:col>
      <xdr:colOff>790575</xdr:colOff>
      <xdr:row>249</xdr:row>
      <xdr:rowOff>361950</xdr:rowOff>
    </xdr:to>
    <xdr:cxnSp macro="">
      <xdr:nvCxnSpPr>
        <xdr:cNvPr id="1140" name="Straight Connector 1139">
          <a:extLst>
            <a:ext uri="{FF2B5EF4-FFF2-40B4-BE49-F238E27FC236}">
              <a16:creationId xmlns:a16="http://schemas.microsoft.com/office/drawing/2014/main" id="{00000000-0008-0000-0700-000074040000}"/>
            </a:ext>
          </a:extLst>
        </xdr:cNvPr>
        <xdr:cNvCxnSpPr/>
      </xdr:nvCxnSpPr>
      <xdr:spPr>
        <a:xfrm flipH="1" flipV="1">
          <a:off x="3749041" y="4572190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249</xdr:row>
      <xdr:rowOff>133352</xdr:rowOff>
    </xdr:from>
    <xdr:to>
      <xdr:col>5</xdr:col>
      <xdr:colOff>885825</xdr:colOff>
      <xdr:row>249</xdr:row>
      <xdr:rowOff>257175</xdr:rowOff>
    </xdr:to>
    <xdr:cxnSp macro="">
      <xdr:nvCxnSpPr>
        <xdr:cNvPr id="1141" name="Straight Connector 1140">
          <a:extLst>
            <a:ext uri="{FF2B5EF4-FFF2-40B4-BE49-F238E27FC236}">
              <a16:creationId xmlns:a16="http://schemas.microsoft.com/office/drawing/2014/main" id="{00000000-0008-0000-0700-000075040000}"/>
            </a:ext>
          </a:extLst>
        </xdr:cNvPr>
        <xdr:cNvCxnSpPr/>
      </xdr:nvCxnSpPr>
      <xdr:spPr>
        <a:xfrm flipH="1" flipV="1">
          <a:off x="3745231" y="4567047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253</xdr:row>
      <xdr:rowOff>127000</xdr:rowOff>
    </xdr:from>
    <xdr:to>
      <xdr:col>5</xdr:col>
      <xdr:colOff>356235</xdr:colOff>
      <xdr:row>253</xdr:row>
      <xdr:rowOff>309880</xdr:rowOff>
    </xdr:to>
    <xdr:cxnSp macro="">
      <xdr:nvCxnSpPr>
        <xdr:cNvPr id="1142" name="Straight Connector 1141">
          <a:extLst>
            <a:ext uri="{FF2B5EF4-FFF2-40B4-BE49-F238E27FC236}">
              <a16:creationId xmlns:a16="http://schemas.microsoft.com/office/drawing/2014/main" id="{00000000-0008-0000-0700-000076040000}"/>
            </a:ext>
          </a:extLst>
        </xdr:cNvPr>
        <xdr:cNvCxnSpPr/>
      </xdr:nvCxnSpPr>
      <xdr:spPr>
        <a:xfrm flipH="1" flipV="1">
          <a:off x="3480435" y="463956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253</xdr:row>
      <xdr:rowOff>400050</xdr:rowOff>
    </xdr:from>
    <xdr:to>
      <xdr:col>5</xdr:col>
      <xdr:colOff>1666875</xdr:colOff>
      <xdr:row>253</xdr:row>
      <xdr:rowOff>400050</xdr:rowOff>
    </xdr:to>
    <xdr:cxnSp macro="">
      <xdr:nvCxnSpPr>
        <xdr:cNvPr id="1143" name="Straight Connector 1142">
          <a:extLst>
            <a:ext uri="{FF2B5EF4-FFF2-40B4-BE49-F238E27FC236}">
              <a16:creationId xmlns:a16="http://schemas.microsoft.com/office/drawing/2014/main" id="{00000000-0008-0000-0700-000077040000}"/>
            </a:ext>
          </a:extLst>
        </xdr:cNvPr>
        <xdr:cNvCxnSpPr/>
      </xdr:nvCxnSpPr>
      <xdr:spPr>
        <a:xfrm>
          <a:off x="3476625" y="464477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253</xdr:row>
      <xdr:rowOff>127000</xdr:rowOff>
    </xdr:from>
    <xdr:to>
      <xdr:col>5</xdr:col>
      <xdr:colOff>356810</xdr:colOff>
      <xdr:row>253</xdr:row>
      <xdr:rowOff>409912</xdr:rowOff>
    </xdr:to>
    <xdr:cxnSp macro="">
      <xdr:nvCxnSpPr>
        <xdr:cNvPr id="1144" name="Straight Connector 1143">
          <a:extLst>
            <a:ext uri="{FF2B5EF4-FFF2-40B4-BE49-F238E27FC236}">
              <a16:creationId xmlns:a16="http://schemas.microsoft.com/office/drawing/2014/main" id="{00000000-0008-0000-0700-000078040000}"/>
            </a:ext>
          </a:extLst>
        </xdr:cNvPr>
        <xdr:cNvCxnSpPr/>
      </xdr:nvCxnSpPr>
      <xdr:spPr>
        <a:xfrm flipH="1" flipV="1">
          <a:off x="3481009" y="463956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253</xdr:row>
      <xdr:rowOff>134252</xdr:rowOff>
    </xdr:from>
    <xdr:to>
      <xdr:col>5</xdr:col>
      <xdr:colOff>1652211</xdr:colOff>
      <xdr:row>253</xdr:row>
      <xdr:rowOff>417164</xdr:rowOff>
    </xdr:to>
    <xdr:cxnSp macro="">
      <xdr:nvCxnSpPr>
        <xdr:cNvPr id="1145" name="Straight Connector 1144">
          <a:extLst>
            <a:ext uri="{FF2B5EF4-FFF2-40B4-BE49-F238E27FC236}">
              <a16:creationId xmlns:a16="http://schemas.microsoft.com/office/drawing/2014/main" id="{00000000-0008-0000-0700-000079040000}"/>
            </a:ext>
          </a:extLst>
        </xdr:cNvPr>
        <xdr:cNvCxnSpPr/>
      </xdr:nvCxnSpPr>
      <xdr:spPr>
        <a:xfrm flipH="1" flipV="1">
          <a:off x="3747710" y="464028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254</xdr:row>
      <xdr:rowOff>127000</xdr:rowOff>
    </xdr:from>
    <xdr:to>
      <xdr:col>5</xdr:col>
      <xdr:colOff>356235</xdr:colOff>
      <xdr:row>254</xdr:row>
      <xdr:rowOff>309880</xdr:rowOff>
    </xdr:to>
    <xdr:cxnSp macro="">
      <xdr:nvCxnSpPr>
        <xdr:cNvPr id="1146" name="Straight Connector 1145">
          <a:extLst>
            <a:ext uri="{FF2B5EF4-FFF2-40B4-BE49-F238E27FC236}">
              <a16:creationId xmlns:a16="http://schemas.microsoft.com/office/drawing/2014/main" id="{00000000-0008-0000-0700-00007A040000}"/>
            </a:ext>
          </a:extLst>
        </xdr:cNvPr>
        <xdr:cNvCxnSpPr/>
      </xdr:nvCxnSpPr>
      <xdr:spPr>
        <a:xfrm flipH="1" flipV="1">
          <a:off x="3480435" y="465785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254</xdr:row>
      <xdr:rowOff>152400</xdr:rowOff>
    </xdr:from>
    <xdr:to>
      <xdr:col>5</xdr:col>
      <xdr:colOff>1676400</xdr:colOff>
      <xdr:row>254</xdr:row>
      <xdr:rowOff>152400</xdr:rowOff>
    </xdr:to>
    <xdr:cxnSp macro="">
      <xdr:nvCxnSpPr>
        <xdr:cNvPr id="1147" name="Straight Connector 1146">
          <a:extLst>
            <a:ext uri="{FF2B5EF4-FFF2-40B4-BE49-F238E27FC236}">
              <a16:creationId xmlns:a16="http://schemas.microsoft.com/office/drawing/2014/main" id="{00000000-0008-0000-0700-00007B040000}"/>
            </a:ext>
          </a:extLst>
        </xdr:cNvPr>
        <xdr:cNvCxnSpPr/>
      </xdr:nvCxnSpPr>
      <xdr:spPr>
        <a:xfrm>
          <a:off x="3486150" y="466039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254</xdr:row>
      <xdr:rowOff>127000</xdr:rowOff>
    </xdr:from>
    <xdr:to>
      <xdr:col>5</xdr:col>
      <xdr:colOff>356810</xdr:colOff>
      <xdr:row>254</xdr:row>
      <xdr:rowOff>409912</xdr:rowOff>
    </xdr:to>
    <xdr:cxnSp macro="">
      <xdr:nvCxnSpPr>
        <xdr:cNvPr id="1148" name="Straight Connector 1147">
          <a:extLst>
            <a:ext uri="{FF2B5EF4-FFF2-40B4-BE49-F238E27FC236}">
              <a16:creationId xmlns:a16="http://schemas.microsoft.com/office/drawing/2014/main" id="{00000000-0008-0000-0700-00007C040000}"/>
            </a:ext>
          </a:extLst>
        </xdr:cNvPr>
        <xdr:cNvCxnSpPr/>
      </xdr:nvCxnSpPr>
      <xdr:spPr>
        <a:xfrm flipH="1" flipV="1">
          <a:off x="3481009" y="465785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254</xdr:row>
      <xdr:rowOff>134252</xdr:rowOff>
    </xdr:from>
    <xdr:to>
      <xdr:col>5</xdr:col>
      <xdr:colOff>1652211</xdr:colOff>
      <xdr:row>254</xdr:row>
      <xdr:rowOff>417164</xdr:rowOff>
    </xdr:to>
    <xdr:cxnSp macro="">
      <xdr:nvCxnSpPr>
        <xdr:cNvPr id="1149" name="Straight Connector 1148">
          <a:extLst>
            <a:ext uri="{FF2B5EF4-FFF2-40B4-BE49-F238E27FC236}">
              <a16:creationId xmlns:a16="http://schemas.microsoft.com/office/drawing/2014/main" id="{00000000-0008-0000-0700-00007D040000}"/>
            </a:ext>
          </a:extLst>
        </xdr:cNvPr>
        <xdr:cNvCxnSpPr/>
      </xdr:nvCxnSpPr>
      <xdr:spPr>
        <a:xfrm flipH="1" flipV="1">
          <a:off x="3747710" y="465857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255</xdr:row>
      <xdr:rowOff>123824</xdr:rowOff>
    </xdr:from>
    <xdr:to>
      <xdr:col>5</xdr:col>
      <xdr:colOff>1428750</xdr:colOff>
      <xdr:row>255</xdr:row>
      <xdr:rowOff>1219199</xdr:rowOff>
    </xdr:to>
    <xdr:sp macro="" textlink="">
      <xdr:nvSpPr>
        <xdr:cNvPr id="1150" name="Rounded Rectangle 1149">
          <a:extLst>
            <a:ext uri="{FF2B5EF4-FFF2-40B4-BE49-F238E27FC236}">
              <a16:creationId xmlns:a16="http://schemas.microsoft.com/office/drawing/2014/main" id="{00000000-0008-0000-0700-00007E040000}"/>
            </a:ext>
          </a:extLst>
        </xdr:cNvPr>
        <xdr:cNvSpPr/>
      </xdr:nvSpPr>
      <xdr:spPr>
        <a:xfrm>
          <a:off x="3745230" y="467582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255</xdr:row>
      <xdr:rowOff>238127</xdr:rowOff>
    </xdr:from>
    <xdr:to>
      <xdr:col>5</xdr:col>
      <xdr:colOff>790575</xdr:colOff>
      <xdr:row>255</xdr:row>
      <xdr:rowOff>361950</xdr:rowOff>
    </xdr:to>
    <xdr:cxnSp macro="">
      <xdr:nvCxnSpPr>
        <xdr:cNvPr id="1151" name="Straight Connector 1150">
          <a:extLst>
            <a:ext uri="{FF2B5EF4-FFF2-40B4-BE49-F238E27FC236}">
              <a16:creationId xmlns:a16="http://schemas.microsoft.com/office/drawing/2014/main" id="{00000000-0008-0000-0700-00007F040000}"/>
            </a:ext>
          </a:extLst>
        </xdr:cNvPr>
        <xdr:cNvCxnSpPr/>
      </xdr:nvCxnSpPr>
      <xdr:spPr>
        <a:xfrm flipH="1" flipV="1">
          <a:off x="3749041" y="468191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255</xdr:row>
      <xdr:rowOff>133352</xdr:rowOff>
    </xdr:from>
    <xdr:to>
      <xdr:col>5</xdr:col>
      <xdr:colOff>885825</xdr:colOff>
      <xdr:row>255</xdr:row>
      <xdr:rowOff>257175</xdr:rowOff>
    </xdr:to>
    <xdr:cxnSp macro="">
      <xdr:nvCxnSpPr>
        <xdr:cNvPr id="1152" name="Straight Connector 1151">
          <a:extLst>
            <a:ext uri="{FF2B5EF4-FFF2-40B4-BE49-F238E27FC236}">
              <a16:creationId xmlns:a16="http://schemas.microsoft.com/office/drawing/2014/main" id="{00000000-0008-0000-0700-000080040000}"/>
            </a:ext>
          </a:extLst>
        </xdr:cNvPr>
        <xdr:cNvCxnSpPr/>
      </xdr:nvCxnSpPr>
      <xdr:spPr>
        <a:xfrm flipH="1" flipV="1">
          <a:off x="3745231" y="467677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253</xdr:row>
      <xdr:rowOff>127000</xdr:rowOff>
    </xdr:from>
    <xdr:to>
      <xdr:col>5</xdr:col>
      <xdr:colOff>356235</xdr:colOff>
      <xdr:row>253</xdr:row>
      <xdr:rowOff>309880</xdr:rowOff>
    </xdr:to>
    <xdr:cxnSp macro="">
      <xdr:nvCxnSpPr>
        <xdr:cNvPr id="1153" name="Straight Connector 1152">
          <a:extLst>
            <a:ext uri="{FF2B5EF4-FFF2-40B4-BE49-F238E27FC236}">
              <a16:creationId xmlns:a16="http://schemas.microsoft.com/office/drawing/2014/main" id="{00000000-0008-0000-0700-000081040000}"/>
            </a:ext>
          </a:extLst>
        </xdr:cNvPr>
        <xdr:cNvCxnSpPr/>
      </xdr:nvCxnSpPr>
      <xdr:spPr>
        <a:xfrm flipH="1" flipV="1">
          <a:off x="3480435" y="463956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253</xdr:row>
      <xdr:rowOff>400050</xdr:rowOff>
    </xdr:from>
    <xdr:to>
      <xdr:col>5</xdr:col>
      <xdr:colOff>1666875</xdr:colOff>
      <xdr:row>253</xdr:row>
      <xdr:rowOff>400050</xdr:rowOff>
    </xdr:to>
    <xdr:cxnSp macro="">
      <xdr:nvCxnSpPr>
        <xdr:cNvPr id="1154" name="Straight Connector 1153">
          <a:extLst>
            <a:ext uri="{FF2B5EF4-FFF2-40B4-BE49-F238E27FC236}">
              <a16:creationId xmlns:a16="http://schemas.microsoft.com/office/drawing/2014/main" id="{00000000-0008-0000-0700-000082040000}"/>
            </a:ext>
          </a:extLst>
        </xdr:cNvPr>
        <xdr:cNvCxnSpPr/>
      </xdr:nvCxnSpPr>
      <xdr:spPr>
        <a:xfrm>
          <a:off x="3476625" y="464477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253</xdr:row>
      <xdr:rowOff>127000</xdr:rowOff>
    </xdr:from>
    <xdr:to>
      <xdr:col>5</xdr:col>
      <xdr:colOff>356810</xdr:colOff>
      <xdr:row>253</xdr:row>
      <xdr:rowOff>409912</xdr:rowOff>
    </xdr:to>
    <xdr:cxnSp macro="">
      <xdr:nvCxnSpPr>
        <xdr:cNvPr id="1155" name="Straight Connector 1154">
          <a:extLst>
            <a:ext uri="{FF2B5EF4-FFF2-40B4-BE49-F238E27FC236}">
              <a16:creationId xmlns:a16="http://schemas.microsoft.com/office/drawing/2014/main" id="{00000000-0008-0000-0700-000083040000}"/>
            </a:ext>
          </a:extLst>
        </xdr:cNvPr>
        <xdr:cNvCxnSpPr/>
      </xdr:nvCxnSpPr>
      <xdr:spPr>
        <a:xfrm flipH="1" flipV="1">
          <a:off x="3481009" y="463956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253</xdr:row>
      <xdr:rowOff>134252</xdr:rowOff>
    </xdr:from>
    <xdr:to>
      <xdr:col>5</xdr:col>
      <xdr:colOff>1652211</xdr:colOff>
      <xdr:row>253</xdr:row>
      <xdr:rowOff>417164</xdr:rowOff>
    </xdr:to>
    <xdr:cxnSp macro="">
      <xdr:nvCxnSpPr>
        <xdr:cNvPr id="1156" name="Straight Connector 1155">
          <a:extLst>
            <a:ext uri="{FF2B5EF4-FFF2-40B4-BE49-F238E27FC236}">
              <a16:creationId xmlns:a16="http://schemas.microsoft.com/office/drawing/2014/main" id="{00000000-0008-0000-0700-000084040000}"/>
            </a:ext>
          </a:extLst>
        </xdr:cNvPr>
        <xdr:cNvCxnSpPr/>
      </xdr:nvCxnSpPr>
      <xdr:spPr>
        <a:xfrm flipH="1" flipV="1">
          <a:off x="3747710" y="464028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254</xdr:row>
      <xdr:rowOff>127000</xdr:rowOff>
    </xdr:from>
    <xdr:to>
      <xdr:col>5</xdr:col>
      <xdr:colOff>356235</xdr:colOff>
      <xdr:row>254</xdr:row>
      <xdr:rowOff>309880</xdr:rowOff>
    </xdr:to>
    <xdr:cxnSp macro="">
      <xdr:nvCxnSpPr>
        <xdr:cNvPr id="1157" name="Straight Connector 1156">
          <a:extLst>
            <a:ext uri="{FF2B5EF4-FFF2-40B4-BE49-F238E27FC236}">
              <a16:creationId xmlns:a16="http://schemas.microsoft.com/office/drawing/2014/main" id="{00000000-0008-0000-0700-000085040000}"/>
            </a:ext>
          </a:extLst>
        </xdr:cNvPr>
        <xdr:cNvCxnSpPr/>
      </xdr:nvCxnSpPr>
      <xdr:spPr>
        <a:xfrm flipH="1" flipV="1">
          <a:off x="3480435" y="465785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254</xdr:row>
      <xdr:rowOff>152400</xdr:rowOff>
    </xdr:from>
    <xdr:to>
      <xdr:col>5</xdr:col>
      <xdr:colOff>1676400</xdr:colOff>
      <xdr:row>254</xdr:row>
      <xdr:rowOff>152400</xdr:rowOff>
    </xdr:to>
    <xdr:cxnSp macro="">
      <xdr:nvCxnSpPr>
        <xdr:cNvPr id="1158" name="Straight Connector 1157">
          <a:extLst>
            <a:ext uri="{FF2B5EF4-FFF2-40B4-BE49-F238E27FC236}">
              <a16:creationId xmlns:a16="http://schemas.microsoft.com/office/drawing/2014/main" id="{00000000-0008-0000-0700-000086040000}"/>
            </a:ext>
          </a:extLst>
        </xdr:cNvPr>
        <xdr:cNvCxnSpPr/>
      </xdr:nvCxnSpPr>
      <xdr:spPr>
        <a:xfrm>
          <a:off x="3486150" y="466039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254</xdr:row>
      <xdr:rowOff>127000</xdr:rowOff>
    </xdr:from>
    <xdr:to>
      <xdr:col>5</xdr:col>
      <xdr:colOff>356810</xdr:colOff>
      <xdr:row>254</xdr:row>
      <xdr:rowOff>409912</xdr:rowOff>
    </xdr:to>
    <xdr:cxnSp macro="">
      <xdr:nvCxnSpPr>
        <xdr:cNvPr id="1159" name="Straight Connector 1158">
          <a:extLst>
            <a:ext uri="{FF2B5EF4-FFF2-40B4-BE49-F238E27FC236}">
              <a16:creationId xmlns:a16="http://schemas.microsoft.com/office/drawing/2014/main" id="{00000000-0008-0000-0700-000087040000}"/>
            </a:ext>
          </a:extLst>
        </xdr:cNvPr>
        <xdr:cNvCxnSpPr/>
      </xdr:nvCxnSpPr>
      <xdr:spPr>
        <a:xfrm flipH="1" flipV="1">
          <a:off x="3481009" y="465785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254</xdr:row>
      <xdr:rowOff>134252</xdr:rowOff>
    </xdr:from>
    <xdr:to>
      <xdr:col>5</xdr:col>
      <xdr:colOff>1652211</xdr:colOff>
      <xdr:row>254</xdr:row>
      <xdr:rowOff>417164</xdr:rowOff>
    </xdr:to>
    <xdr:cxnSp macro="">
      <xdr:nvCxnSpPr>
        <xdr:cNvPr id="1160" name="Straight Connector 1159">
          <a:extLst>
            <a:ext uri="{FF2B5EF4-FFF2-40B4-BE49-F238E27FC236}">
              <a16:creationId xmlns:a16="http://schemas.microsoft.com/office/drawing/2014/main" id="{00000000-0008-0000-0700-000088040000}"/>
            </a:ext>
          </a:extLst>
        </xdr:cNvPr>
        <xdr:cNvCxnSpPr/>
      </xdr:nvCxnSpPr>
      <xdr:spPr>
        <a:xfrm flipH="1" flipV="1">
          <a:off x="3747710" y="465857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255</xdr:row>
      <xdr:rowOff>123824</xdr:rowOff>
    </xdr:from>
    <xdr:to>
      <xdr:col>5</xdr:col>
      <xdr:colOff>1428750</xdr:colOff>
      <xdr:row>255</xdr:row>
      <xdr:rowOff>1219199</xdr:rowOff>
    </xdr:to>
    <xdr:sp macro="" textlink="">
      <xdr:nvSpPr>
        <xdr:cNvPr id="1161" name="Rounded Rectangle 1160">
          <a:extLst>
            <a:ext uri="{FF2B5EF4-FFF2-40B4-BE49-F238E27FC236}">
              <a16:creationId xmlns:a16="http://schemas.microsoft.com/office/drawing/2014/main" id="{00000000-0008-0000-0700-000089040000}"/>
            </a:ext>
          </a:extLst>
        </xdr:cNvPr>
        <xdr:cNvSpPr/>
      </xdr:nvSpPr>
      <xdr:spPr>
        <a:xfrm>
          <a:off x="3745230" y="467582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255</xdr:row>
      <xdr:rowOff>238127</xdr:rowOff>
    </xdr:from>
    <xdr:to>
      <xdr:col>5</xdr:col>
      <xdr:colOff>790575</xdr:colOff>
      <xdr:row>255</xdr:row>
      <xdr:rowOff>361950</xdr:rowOff>
    </xdr:to>
    <xdr:cxnSp macro="">
      <xdr:nvCxnSpPr>
        <xdr:cNvPr id="1162" name="Straight Connector 1161">
          <a:extLst>
            <a:ext uri="{FF2B5EF4-FFF2-40B4-BE49-F238E27FC236}">
              <a16:creationId xmlns:a16="http://schemas.microsoft.com/office/drawing/2014/main" id="{00000000-0008-0000-0700-00008A040000}"/>
            </a:ext>
          </a:extLst>
        </xdr:cNvPr>
        <xdr:cNvCxnSpPr/>
      </xdr:nvCxnSpPr>
      <xdr:spPr>
        <a:xfrm flipH="1" flipV="1">
          <a:off x="3749041" y="468191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255</xdr:row>
      <xdr:rowOff>133352</xdr:rowOff>
    </xdr:from>
    <xdr:to>
      <xdr:col>5</xdr:col>
      <xdr:colOff>885825</xdr:colOff>
      <xdr:row>255</xdr:row>
      <xdr:rowOff>257175</xdr:rowOff>
    </xdr:to>
    <xdr:cxnSp macro="">
      <xdr:nvCxnSpPr>
        <xdr:cNvPr id="1163" name="Straight Connector 1162">
          <a:extLst>
            <a:ext uri="{FF2B5EF4-FFF2-40B4-BE49-F238E27FC236}">
              <a16:creationId xmlns:a16="http://schemas.microsoft.com/office/drawing/2014/main" id="{00000000-0008-0000-0700-00008B040000}"/>
            </a:ext>
          </a:extLst>
        </xdr:cNvPr>
        <xdr:cNvCxnSpPr/>
      </xdr:nvCxnSpPr>
      <xdr:spPr>
        <a:xfrm flipH="1" flipV="1">
          <a:off x="3745231" y="467677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253</xdr:row>
      <xdr:rowOff>127000</xdr:rowOff>
    </xdr:from>
    <xdr:to>
      <xdr:col>5</xdr:col>
      <xdr:colOff>356235</xdr:colOff>
      <xdr:row>253</xdr:row>
      <xdr:rowOff>309880</xdr:rowOff>
    </xdr:to>
    <xdr:cxnSp macro="">
      <xdr:nvCxnSpPr>
        <xdr:cNvPr id="1164" name="Straight Connector 1163">
          <a:extLst>
            <a:ext uri="{FF2B5EF4-FFF2-40B4-BE49-F238E27FC236}">
              <a16:creationId xmlns:a16="http://schemas.microsoft.com/office/drawing/2014/main" id="{00000000-0008-0000-0700-00008C040000}"/>
            </a:ext>
          </a:extLst>
        </xdr:cNvPr>
        <xdr:cNvCxnSpPr/>
      </xdr:nvCxnSpPr>
      <xdr:spPr>
        <a:xfrm flipH="1" flipV="1">
          <a:off x="3480435" y="463956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253</xdr:row>
      <xdr:rowOff>400050</xdr:rowOff>
    </xdr:from>
    <xdr:to>
      <xdr:col>5</xdr:col>
      <xdr:colOff>1666875</xdr:colOff>
      <xdr:row>253</xdr:row>
      <xdr:rowOff>400050</xdr:rowOff>
    </xdr:to>
    <xdr:cxnSp macro="">
      <xdr:nvCxnSpPr>
        <xdr:cNvPr id="1165" name="Straight Connector 1164">
          <a:extLst>
            <a:ext uri="{FF2B5EF4-FFF2-40B4-BE49-F238E27FC236}">
              <a16:creationId xmlns:a16="http://schemas.microsoft.com/office/drawing/2014/main" id="{00000000-0008-0000-0700-00008D040000}"/>
            </a:ext>
          </a:extLst>
        </xdr:cNvPr>
        <xdr:cNvCxnSpPr/>
      </xdr:nvCxnSpPr>
      <xdr:spPr>
        <a:xfrm>
          <a:off x="3476625" y="464477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253</xdr:row>
      <xdr:rowOff>127000</xdr:rowOff>
    </xdr:from>
    <xdr:to>
      <xdr:col>5</xdr:col>
      <xdr:colOff>356810</xdr:colOff>
      <xdr:row>253</xdr:row>
      <xdr:rowOff>409912</xdr:rowOff>
    </xdr:to>
    <xdr:cxnSp macro="">
      <xdr:nvCxnSpPr>
        <xdr:cNvPr id="1166" name="Straight Connector 1165">
          <a:extLst>
            <a:ext uri="{FF2B5EF4-FFF2-40B4-BE49-F238E27FC236}">
              <a16:creationId xmlns:a16="http://schemas.microsoft.com/office/drawing/2014/main" id="{00000000-0008-0000-0700-00008E040000}"/>
            </a:ext>
          </a:extLst>
        </xdr:cNvPr>
        <xdr:cNvCxnSpPr/>
      </xdr:nvCxnSpPr>
      <xdr:spPr>
        <a:xfrm flipH="1" flipV="1">
          <a:off x="3481009" y="463956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253</xdr:row>
      <xdr:rowOff>134252</xdr:rowOff>
    </xdr:from>
    <xdr:to>
      <xdr:col>5</xdr:col>
      <xdr:colOff>1652211</xdr:colOff>
      <xdr:row>253</xdr:row>
      <xdr:rowOff>417164</xdr:rowOff>
    </xdr:to>
    <xdr:cxnSp macro="">
      <xdr:nvCxnSpPr>
        <xdr:cNvPr id="1167" name="Straight Connector 1166">
          <a:extLst>
            <a:ext uri="{FF2B5EF4-FFF2-40B4-BE49-F238E27FC236}">
              <a16:creationId xmlns:a16="http://schemas.microsoft.com/office/drawing/2014/main" id="{00000000-0008-0000-0700-00008F040000}"/>
            </a:ext>
          </a:extLst>
        </xdr:cNvPr>
        <xdr:cNvCxnSpPr/>
      </xdr:nvCxnSpPr>
      <xdr:spPr>
        <a:xfrm flipH="1" flipV="1">
          <a:off x="3747710" y="464028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254</xdr:row>
      <xdr:rowOff>127000</xdr:rowOff>
    </xdr:from>
    <xdr:to>
      <xdr:col>5</xdr:col>
      <xdr:colOff>356235</xdr:colOff>
      <xdr:row>254</xdr:row>
      <xdr:rowOff>309880</xdr:rowOff>
    </xdr:to>
    <xdr:cxnSp macro="">
      <xdr:nvCxnSpPr>
        <xdr:cNvPr id="1168" name="Straight Connector 1167">
          <a:extLst>
            <a:ext uri="{FF2B5EF4-FFF2-40B4-BE49-F238E27FC236}">
              <a16:creationId xmlns:a16="http://schemas.microsoft.com/office/drawing/2014/main" id="{00000000-0008-0000-0700-000090040000}"/>
            </a:ext>
          </a:extLst>
        </xdr:cNvPr>
        <xdr:cNvCxnSpPr/>
      </xdr:nvCxnSpPr>
      <xdr:spPr>
        <a:xfrm flipH="1" flipV="1">
          <a:off x="3480435" y="465785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254</xdr:row>
      <xdr:rowOff>152400</xdr:rowOff>
    </xdr:from>
    <xdr:to>
      <xdr:col>5</xdr:col>
      <xdr:colOff>1676400</xdr:colOff>
      <xdr:row>254</xdr:row>
      <xdr:rowOff>152400</xdr:rowOff>
    </xdr:to>
    <xdr:cxnSp macro="">
      <xdr:nvCxnSpPr>
        <xdr:cNvPr id="1169" name="Straight Connector 1168">
          <a:extLst>
            <a:ext uri="{FF2B5EF4-FFF2-40B4-BE49-F238E27FC236}">
              <a16:creationId xmlns:a16="http://schemas.microsoft.com/office/drawing/2014/main" id="{00000000-0008-0000-0700-000091040000}"/>
            </a:ext>
          </a:extLst>
        </xdr:cNvPr>
        <xdr:cNvCxnSpPr/>
      </xdr:nvCxnSpPr>
      <xdr:spPr>
        <a:xfrm>
          <a:off x="3486150" y="466039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254</xdr:row>
      <xdr:rowOff>127000</xdr:rowOff>
    </xdr:from>
    <xdr:to>
      <xdr:col>5</xdr:col>
      <xdr:colOff>356810</xdr:colOff>
      <xdr:row>254</xdr:row>
      <xdr:rowOff>409912</xdr:rowOff>
    </xdr:to>
    <xdr:cxnSp macro="">
      <xdr:nvCxnSpPr>
        <xdr:cNvPr id="1170" name="Straight Connector 1169">
          <a:extLst>
            <a:ext uri="{FF2B5EF4-FFF2-40B4-BE49-F238E27FC236}">
              <a16:creationId xmlns:a16="http://schemas.microsoft.com/office/drawing/2014/main" id="{00000000-0008-0000-0700-000092040000}"/>
            </a:ext>
          </a:extLst>
        </xdr:cNvPr>
        <xdr:cNvCxnSpPr/>
      </xdr:nvCxnSpPr>
      <xdr:spPr>
        <a:xfrm flipH="1" flipV="1">
          <a:off x="3481009" y="465785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254</xdr:row>
      <xdr:rowOff>134252</xdr:rowOff>
    </xdr:from>
    <xdr:to>
      <xdr:col>5</xdr:col>
      <xdr:colOff>1652211</xdr:colOff>
      <xdr:row>254</xdr:row>
      <xdr:rowOff>417164</xdr:rowOff>
    </xdr:to>
    <xdr:cxnSp macro="">
      <xdr:nvCxnSpPr>
        <xdr:cNvPr id="1171" name="Straight Connector 1170">
          <a:extLst>
            <a:ext uri="{FF2B5EF4-FFF2-40B4-BE49-F238E27FC236}">
              <a16:creationId xmlns:a16="http://schemas.microsoft.com/office/drawing/2014/main" id="{00000000-0008-0000-0700-000093040000}"/>
            </a:ext>
          </a:extLst>
        </xdr:cNvPr>
        <xdr:cNvCxnSpPr/>
      </xdr:nvCxnSpPr>
      <xdr:spPr>
        <a:xfrm flipH="1" flipV="1">
          <a:off x="3747710" y="4658577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255</xdr:row>
      <xdr:rowOff>123824</xdr:rowOff>
    </xdr:from>
    <xdr:to>
      <xdr:col>5</xdr:col>
      <xdr:colOff>1428750</xdr:colOff>
      <xdr:row>255</xdr:row>
      <xdr:rowOff>1219199</xdr:rowOff>
    </xdr:to>
    <xdr:sp macro="" textlink="">
      <xdr:nvSpPr>
        <xdr:cNvPr id="1172" name="Rounded Rectangle 1171">
          <a:extLst>
            <a:ext uri="{FF2B5EF4-FFF2-40B4-BE49-F238E27FC236}">
              <a16:creationId xmlns:a16="http://schemas.microsoft.com/office/drawing/2014/main" id="{00000000-0008-0000-0700-000094040000}"/>
            </a:ext>
          </a:extLst>
        </xdr:cNvPr>
        <xdr:cNvSpPr/>
      </xdr:nvSpPr>
      <xdr:spPr>
        <a:xfrm>
          <a:off x="3745230" y="467582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255</xdr:row>
      <xdr:rowOff>238127</xdr:rowOff>
    </xdr:from>
    <xdr:to>
      <xdr:col>5</xdr:col>
      <xdr:colOff>790575</xdr:colOff>
      <xdr:row>255</xdr:row>
      <xdr:rowOff>361950</xdr:rowOff>
    </xdr:to>
    <xdr:cxnSp macro="">
      <xdr:nvCxnSpPr>
        <xdr:cNvPr id="1173" name="Straight Connector 1172">
          <a:extLst>
            <a:ext uri="{FF2B5EF4-FFF2-40B4-BE49-F238E27FC236}">
              <a16:creationId xmlns:a16="http://schemas.microsoft.com/office/drawing/2014/main" id="{00000000-0008-0000-0700-000095040000}"/>
            </a:ext>
          </a:extLst>
        </xdr:cNvPr>
        <xdr:cNvCxnSpPr/>
      </xdr:nvCxnSpPr>
      <xdr:spPr>
        <a:xfrm flipH="1" flipV="1">
          <a:off x="3749041" y="468191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255</xdr:row>
      <xdr:rowOff>133352</xdr:rowOff>
    </xdr:from>
    <xdr:to>
      <xdr:col>5</xdr:col>
      <xdr:colOff>885825</xdr:colOff>
      <xdr:row>255</xdr:row>
      <xdr:rowOff>257175</xdr:rowOff>
    </xdr:to>
    <xdr:cxnSp macro="">
      <xdr:nvCxnSpPr>
        <xdr:cNvPr id="1174" name="Straight Connector 1173">
          <a:extLst>
            <a:ext uri="{FF2B5EF4-FFF2-40B4-BE49-F238E27FC236}">
              <a16:creationId xmlns:a16="http://schemas.microsoft.com/office/drawing/2014/main" id="{00000000-0008-0000-0700-000096040000}"/>
            </a:ext>
          </a:extLst>
        </xdr:cNvPr>
        <xdr:cNvCxnSpPr/>
      </xdr:nvCxnSpPr>
      <xdr:spPr>
        <a:xfrm flipH="1" flipV="1">
          <a:off x="3745231" y="467677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253</xdr:row>
      <xdr:rowOff>127000</xdr:rowOff>
    </xdr:from>
    <xdr:to>
      <xdr:col>5</xdr:col>
      <xdr:colOff>356235</xdr:colOff>
      <xdr:row>253</xdr:row>
      <xdr:rowOff>309880</xdr:rowOff>
    </xdr:to>
    <xdr:cxnSp macro="">
      <xdr:nvCxnSpPr>
        <xdr:cNvPr id="1175" name="Straight Connector 1174">
          <a:extLst>
            <a:ext uri="{FF2B5EF4-FFF2-40B4-BE49-F238E27FC236}">
              <a16:creationId xmlns:a16="http://schemas.microsoft.com/office/drawing/2014/main" id="{00000000-0008-0000-0700-000097040000}"/>
            </a:ext>
          </a:extLst>
        </xdr:cNvPr>
        <xdr:cNvCxnSpPr/>
      </xdr:nvCxnSpPr>
      <xdr:spPr>
        <a:xfrm flipH="1" flipV="1">
          <a:off x="3480435" y="4639564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253</xdr:row>
      <xdr:rowOff>400050</xdr:rowOff>
    </xdr:from>
    <xdr:to>
      <xdr:col>5</xdr:col>
      <xdr:colOff>1666875</xdr:colOff>
      <xdr:row>253</xdr:row>
      <xdr:rowOff>400050</xdr:rowOff>
    </xdr:to>
    <xdr:cxnSp macro="">
      <xdr:nvCxnSpPr>
        <xdr:cNvPr id="1176" name="Straight Connector 1175">
          <a:extLst>
            <a:ext uri="{FF2B5EF4-FFF2-40B4-BE49-F238E27FC236}">
              <a16:creationId xmlns:a16="http://schemas.microsoft.com/office/drawing/2014/main" id="{00000000-0008-0000-0700-000098040000}"/>
            </a:ext>
          </a:extLst>
        </xdr:cNvPr>
        <xdr:cNvCxnSpPr/>
      </xdr:nvCxnSpPr>
      <xdr:spPr>
        <a:xfrm>
          <a:off x="3476625" y="46447710"/>
          <a:ext cx="27051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253</xdr:row>
      <xdr:rowOff>127000</xdr:rowOff>
    </xdr:from>
    <xdr:to>
      <xdr:col>5</xdr:col>
      <xdr:colOff>356810</xdr:colOff>
      <xdr:row>253</xdr:row>
      <xdr:rowOff>409912</xdr:rowOff>
    </xdr:to>
    <xdr:cxnSp macro="">
      <xdr:nvCxnSpPr>
        <xdr:cNvPr id="1177" name="Straight Connector 1176">
          <a:extLst>
            <a:ext uri="{FF2B5EF4-FFF2-40B4-BE49-F238E27FC236}">
              <a16:creationId xmlns:a16="http://schemas.microsoft.com/office/drawing/2014/main" id="{00000000-0008-0000-0700-000099040000}"/>
            </a:ext>
          </a:extLst>
        </xdr:cNvPr>
        <xdr:cNvCxnSpPr/>
      </xdr:nvCxnSpPr>
      <xdr:spPr>
        <a:xfrm flipH="1" flipV="1">
          <a:off x="3481009" y="4639564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253</xdr:row>
      <xdr:rowOff>134252</xdr:rowOff>
    </xdr:from>
    <xdr:to>
      <xdr:col>5</xdr:col>
      <xdr:colOff>1652211</xdr:colOff>
      <xdr:row>253</xdr:row>
      <xdr:rowOff>417164</xdr:rowOff>
    </xdr:to>
    <xdr:cxnSp macro="">
      <xdr:nvCxnSpPr>
        <xdr:cNvPr id="1178" name="Straight Connector 1177">
          <a:extLst>
            <a:ext uri="{FF2B5EF4-FFF2-40B4-BE49-F238E27FC236}">
              <a16:creationId xmlns:a16="http://schemas.microsoft.com/office/drawing/2014/main" id="{00000000-0008-0000-0700-00009A040000}"/>
            </a:ext>
          </a:extLst>
        </xdr:cNvPr>
        <xdr:cNvCxnSpPr/>
      </xdr:nvCxnSpPr>
      <xdr:spPr>
        <a:xfrm flipH="1" flipV="1">
          <a:off x="3747710" y="46402892"/>
          <a:ext cx="1" cy="4669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356235</xdr:colOff>
      <xdr:row>254</xdr:row>
      <xdr:rowOff>127000</xdr:rowOff>
    </xdr:from>
    <xdr:to>
      <xdr:col>5</xdr:col>
      <xdr:colOff>356235</xdr:colOff>
      <xdr:row>254</xdr:row>
      <xdr:rowOff>309880</xdr:rowOff>
    </xdr:to>
    <xdr:cxnSp macro="">
      <xdr:nvCxnSpPr>
        <xdr:cNvPr id="1179" name="Straight Connector 1178">
          <a:extLst>
            <a:ext uri="{FF2B5EF4-FFF2-40B4-BE49-F238E27FC236}">
              <a16:creationId xmlns:a16="http://schemas.microsoft.com/office/drawing/2014/main" id="{00000000-0008-0000-0700-00009B040000}"/>
            </a:ext>
          </a:extLst>
        </xdr:cNvPr>
        <xdr:cNvCxnSpPr/>
      </xdr:nvCxnSpPr>
      <xdr:spPr>
        <a:xfrm flipH="1" flipV="1">
          <a:off x="3480435" y="46578520"/>
          <a:ext cx="0" cy="533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254</xdr:row>
      <xdr:rowOff>152400</xdr:rowOff>
    </xdr:from>
    <xdr:to>
      <xdr:col>5</xdr:col>
      <xdr:colOff>1676400</xdr:colOff>
      <xdr:row>254</xdr:row>
      <xdr:rowOff>152400</xdr:rowOff>
    </xdr:to>
    <xdr:cxnSp macro="">
      <xdr:nvCxnSpPr>
        <xdr:cNvPr id="1180" name="Straight Connector 1179">
          <a:extLst>
            <a:ext uri="{FF2B5EF4-FFF2-40B4-BE49-F238E27FC236}">
              <a16:creationId xmlns:a16="http://schemas.microsoft.com/office/drawing/2014/main" id="{00000000-0008-0000-0700-00009C040000}"/>
            </a:ext>
          </a:extLst>
        </xdr:cNvPr>
        <xdr:cNvCxnSpPr/>
      </xdr:nvCxnSpPr>
      <xdr:spPr>
        <a:xfrm>
          <a:off x="3486150" y="46603920"/>
          <a:ext cx="26289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254</xdr:row>
      <xdr:rowOff>127000</xdr:rowOff>
    </xdr:from>
    <xdr:to>
      <xdr:col>5</xdr:col>
      <xdr:colOff>356810</xdr:colOff>
      <xdr:row>254</xdr:row>
      <xdr:rowOff>409912</xdr:rowOff>
    </xdr:to>
    <xdr:cxnSp macro="">
      <xdr:nvCxnSpPr>
        <xdr:cNvPr id="1181" name="Straight Connector 1180">
          <a:extLst>
            <a:ext uri="{FF2B5EF4-FFF2-40B4-BE49-F238E27FC236}">
              <a16:creationId xmlns:a16="http://schemas.microsoft.com/office/drawing/2014/main" id="{00000000-0008-0000-0700-00009D040000}"/>
            </a:ext>
          </a:extLst>
        </xdr:cNvPr>
        <xdr:cNvCxnSpPr/>
      </xdr:nvCxnSpPr>
      <xdr:spPr>
        <a:xfrm flipH="1" flipV="1">
          <a:off x="3481009" y="46578520"/>
          <a:ext cx="1" cy="543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255</xdr:row>
      <xdr:rowOff>123824</xdr:rowOff>
    </xdr:from>
    <xdr:to>
      <xdr:col>5</xdr:col>
      <xdr:colOff>1428750</xdr:colOff>
      <xdr:row>255</xdr:row>
      <xdr:rowOff>1219199</xdr:rowOff>
    </xdr:to>
    <xdr:sp macro="" textlink="">
      <xdr:nvSpPr>
        <xdr:cNvPr id="1182" name="Rounded Rectangle 1181">
          <a:extLst>
            <a:ext uri="{FF2B5EF4-FFF2-40B4-BE49-F238E27FC236}">
              <a16:creationId xmlns:a16="http://schemas.microsoft.com/office/drawing/2014/main" id="{00000000-0008-0000-0700-00009E040000}"/>
            </a:ext>
          </a:extLst>
        </xdr:cNvPr>
        <xdr:cNvSpPr/>
      </xdr:nvSpPr>
      <xdr:spPr>
        <a:xfrm>
          <a:off x="3745230" y="46758224"/>
          <a:ext cx="0" cy="59055"/>
        </a:xfrm>
        <a:prstGeom prst="round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647701</xdr:colOff>
      <xdr:row>255</xdr:row>
      <xdr:rowOff>238127</xdr:rowOff>
    </xdr:from>
    <xdr:to>
      <xdr:col>5</xdr:col>
      <xdr:colOff>790575</xdr:colOff>
      <xdr:row>255</xdr:row>
      <xdr:rowOff>361950</xdr:rowOff>
    </xdr:to>
    <xdr:cxnSp macro="">
      <xdr:nvCxnSpPr>
        <xdr:cNvPr id="1183" name="Straight Connector 1182">
          <a:extLst>
            <a:ext uri="{FF2B5EF4-FFF2-40B4-BE49-F238E27FC236}">
              <a16:creationId xmlns:a16="http://schemas.microsoft.com/office/drawing/2014/main" id="{00000000-0008-0000-0700-00009F040000}"/>
            </a:ext>
          </a:extLst>
        </xdr:cNvPr>
        <xdr:cNvCxnSpPr/>
      </xdr:nvCxnSpPr>
      <xdr:spPr>
        <a:xfrm flipH="1" flipV="1">
          <a:off x="3749041" y="46819187"/>
          <a:ext cx="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742951</xdr:colOff>
      <xdr:row>255</xdr:row>
      <xdr:rowOff>133352</xdr:rowOff>
    </xdr:from>
    <xdr:to>
      <xdr:col>5</xdr:col>
      <xdr:colOff>885825</xdr:colOff>
      <xdr:row>255</xdr:row>
      <xdr:rowOff>257175</xdr:rowOff>
    </xdr:to>
    <xdr:cxnSp macro="">
      <xdr:nvCxnSpPr>
        <xdr:cNvPr id="1184" name="Straight Connector 1183">
          <a:extLst>
            <a:ext uri="{FF2B5EF4-FFF2-40B4-BE49-F238E27FC236}">
              <a16:creationId xmlns:a16="http://schemas.microsoft.com/office/drawing/2014/main" id="{00000000-0008-0000-0700-0000A0040000}"/>
            </a:ext>
          </a:extLst>
        </xdr:cNvPr>
        <xdr:cNvCxnSpPr/>
      </xdr:nvCxnSpPr>
      <xdr:spPr>
        <a:xfrm flipH="1" flipV="1">
          <a:off x="3745231" y="46767752"/>
          <a:ext cx="5714" cy="4762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6</xdr:row>
      <xdr:rowOff>400050</xdr:rowOff>
    </xdr:from>
    <xdr:to>
      <xdr:col>5</xdr:col>
      <xdr:colOff>1666875</xdr:colOff>
      <xdr:row>6</xdr:row>
      <xdr:rowOff>400050</xdr:rowOff>
    </xdr:to>
    <xdr:cxnSp macro="">
      <xdr:nvCxnSpPr>
        <xdr:cNvPr id="1566" name="Straight Connector 1565">
          <a:extLst>
            <a:ext uri="{FF2B5EF4-FFF2-40B4-BE49-F238E27FC236}">
              <a16:creationId xmlns:a16="http://schemas.microsoft.com/office/drawing/2014/main" id="{00000000-0008-0000-0800-00001E060000}"/>
            </a:ext>
          </a:extLst>
        </xdr:cNvPr>
        <xdr:cNvCxnSpPr/>
      </xdr:nvCxnSpPr>
      <xdr:spPr>
        <a:xfrm>
          <a:off x="5625465" y="184023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6</xdr:row>
      <xdr:rowOff>127000</xdr:rowOff>
    </xdr:from>
    <xdr:to>
      <xdr:col>5</xdr:col>
      <xdr:colOff>356810</xdr:colOff>
      <xdr:row>6</xdr:row>
      <xdr:rowOff>409912</xdr:rowOff>
    </xdr:to>
    <xdr:cxnSp macro="">
      <xdr:nvCxnSpPr>
        <xdr:cNvPr id="1567" name="Straight Connector 1566">
          <a:extLst>
            <a:ext uri="{FF2B5EF4-FFF2-40B4-BE49-F238E27FC236}">
              <a16:creationId xmlns:a16="http://schemas.microsoft.com/office/drawing/2014/main" id="{00000000-0008-0000-0800-00001F060000}"/>
            </a:ext>
          </a:extLst>
        </xdr:cNvPr>
        <xdr:cNvCxnSpPr/>
      </xdr:nvCxnSpPr>
      <xdr:spPr>
        <a:xfrm flipH="1" flipV="1">
          <a:off x="5629849" y="156718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6</xdr:row>
      <xdr:rowOff>125785</xdr:rowOff>
    </xdr:from>
    <xdr:to>
      <xdr:col>5</xdr:col>
      <xdr:colOff>1652211</xdr:colOff>
      <xdr:row>6</xdr:row>
      <xdr:rowOff>408697</xdr:rowOff>
    </xdr:to>
    <xdr:cxnSp macro="">
      <xdr:nvCxnSpPr>
        <xdr:cNvPr id="1568" name="Straight Connector 1567">
          <a:extLst>
            <a:ext uri="{FF2B5EF4-FFF2-40B4-BE49-F238E27FC236}">
              <a16:creationId xmlns:a16="http://schemas.microsoft.com/office/drawing/2014/main" id="{00000000-0008-0000-0800-000020060000}"/>
            </a:ext>
          </a:extLst>
        </xdr:cNvPr>
        <xdr:cNvCxnSpPr/>
      </xdr:nvCxnSpPr>
      <xdr:spPr>
        <a:xfrm flipH="1" flipV="1">
          <a:off x="6925250" y="1565965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7</xdr:row>
      <xdr:rowOff>400053</xdr:rowOff>
    </xdr:from>
    <xdr:to>
      <xdr:col>5</xdr:col>
      <xdr:colOff>1666875</xdr:colOff>
      <xdr:row>7</xdr:row>
      <xdr:rowOff>400053</xdr:rowOff>
    </xdr:to>
    <xdr:cxnSp macro="">
      <xdr:nvCxnSpPr>
        <xdr:cNvPr id="1569" name="Straight Connector 1568">
          <a:extLst>
            <a:ext uri="{FF2B5EF4-FFF2-40B4-BE49-F238E27FC236}">
              <a16:creationId xmlns:a16="http://schemas.microsoft.com/office/drawing/2014/main" id="{00000000-0008-0000-0800-000021060000}"/>
            </a:ext>
          </a:extLst>
        </xdr:cNvPr>
        <xdr:cNvCxnSpPr/>
      </xdr:nvCxnSpPr>
      <xdr:spPr>
        <a:xfrm>
          <a:off x="5625465" y="2396493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7</xdr:row>
      <xdr:rowOff>127000</xdr:rowOff>
    </xdr:from>
    <xdr:to>
      <xdr:col>5</xdr:col>
      <xdr:colOff>356810</xdr:colOff>
      <xdr:row>7</xdr:row>
      <xdr:rowOff>409912</xdr:rowOff>
    </xdr:to>
    <xdr:cxnSp macro="">
      <xdr:nvCxnSpPr>
        <xdr:cNvPr id="1570" name="Straight Connector 1569">
          <a:extLst>
            <a:ext uri="{FF2B5EF4-FFF2-40B4-BE49-F238E27FC236}">
              <a16:creationId xmlns:a16="http://schemas.microsoft.com/office/drawing/2014/main" id="{00000000-0008-0000-0800-000022060000}"/>
            </a:ext>
          </a:extLst>
        </xdr:cNvPr>
        <xdr:cNvCxnSpPr/>
      </xdr:nvCxnSpPr>
      <xdr:spPr>
        <a:xfrm flipH="1" flipV="1">
          <a:off x="5629849" y="212344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7</xdr:row>
      <xdr:rowOff>125785</xdr:rowOff>
    </xdr:from>
    <xdr:to>
      <xdr:col>5</xdr:col>
      <xdr:colOff>1652211</xdr:colOff>
      <xdr:row>7</xdr:row>
      <xdr:rowOff>408697</xdr:rowOff>
    </xdr:to>
    <xdr:cxnSp macro="">
      <xdr:nvCxnSpPr>
        <xdr:cNvPr id="1571" name="Straight Connector 1570">
          <a:extLst>
            <a:ext uri="{FF2B5EF4-FFF2-40B4-BE49-F238E27FC236}">
              <a16:creationId xmlns:a16="http://schemas.microsoft.com/office/drawing/2014/main" id="{00000000-0008-0000-0800-000023060000}"/>
            </a:ext>
          </a:extLst>
        </xdr:cNvPr>
        <xdr:cNvCxnSpPr/>
      </xdr:nvCxnSpPr>
      <xdr:spPr>
        <a:xfrm flipH="1" flipV="1">
          <a:off x="6925250" y="2122225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8</xdr:row>
      <xdr:rowOff>137582</xdr:rowOff>
    </xdr:from>
    <xdr:to>
      <xdr:col>5</xdr:col>
      <xdr:colOff>1666875</xdr:colOff>
      <xdr:row>8</xdr:row>
      <xdr:rowOff>137582</xdr:rowOff>
    </xdr:to>
    <xdr:cxnSp macro="">
      <xdr:nvCxnSpPr>
        <xdr:cNvPr id="1572" name="Straight Connector 1571">
          <a:extLst>
            <a:ext uri="{FF2B5EF4-FFF2-40B4-BE49-F238E27FC236}">
              <a16:creationId xmlns:a16="http://schemas.microsoft.com/office/drawing/2014/main" id="{00000000-0008-0000-0800-000024060000}"/>
            </a:ext>
          </a:extLst>
        </xdr:cNvPr>
        <xdr:cNvCxnSpPr/>
      </xdr:nvCxnSpPr>
      <xdr:spPr>
        <a:xfrm>
          <a:off x="5625465" y="2690282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8</xdr:row>
      <xdr:rowOff>127000</xdr:rowOff>
    </xdr:from>
    <xdr:to>
      <xdr:col>5</xdr:col>
      <xdr:colOff>356810</xdr:colOff>
      <xdr:row>8</xdr:row>
      <xdr:rowOff>409912</xdr:rowOff>
    </xdr:to>
    <xdr:cxnSp macro="">
      <xdr:nvCxnSpPr>
        <xdr:cNvPr id="1573" name="Straight Connector 1572">
          <a:extLst>
            <a:ext uri="{FF2B5EF4-FFF2-40B4-BE49-F238E27FC236}">
              <a16:creationId xmlns:a16="http://schemas.microsoft.com/office/drawing/2014/main" id="{00000000-0008-0000-0800-000025060000}"/>
            </a:ext>
          </a:extLst>
        </xdr:cNvPr>
        <xdr:cNvCxnSpPr/>
      </xdr:nvCxnSpPr>
      <xdr:spPr>
        <a:xfrm flipH="1" flipV="1">
          <a:off x="5629849" y="267970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8</xdr:row>
      <xdr:rowOff>134252</xdr:rowOff>
    </xdr:from>
    <xdr:to>
      <xdr:col>5</xdr:col>
      <xdr:colOff>1652211</xdr:colOff>
      <xdr:row>8</xdr:row>
      <xdr:rowOff>417164</xdr:rowOff>
    </xdr:to>
    <xdr:cxnSp macro="">
      <xdr:nvCxnSpPr>
        <xdr:cNvPr id="1574" name="Straight Connector 1573">
          <a:extLst>
            <a:ext uri="{FF2B5EF4-FFF2-40B4-BE49-F238E27FC236}">
              <a16:creationId xmlns:a16="http://schemas.microsoft.com/office/drawing/2014/main" id="{00000000-0008-0000-0800-000026060000}"/>
            </a:ext>
          </a:extLst>
        </xdr:cNvPr>
        <xdr:cNvCxnSpPr/>
      </xdr:nvCxnSpPr>
      <xdr:spPr>
        <a:xfrm flipH="1" flipV="1">
          <a:off x="6925250" y="268695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9</xdr:row>
      <xdr:rowOff>137582</xdr:rowOff>
    </xdr:from>
    <xdr:to>
      <xdr:col>5</xdr:col>
      <xdr:colOff>1666875</xdr:colOff>
      <xdr:row>9</xdr:row>
      <xdr:rowOff>137582</xdr:rowOff>
    </xdr:to>
    <xdr:cxnSp macro="">
      <xdr:nvCxnSpPr>
        <xdr:cNvPr id="1575" name="Straight Connector 1574">
          <a:extLst>
            <a:ext uri="{FF2B5EF4-FFF2-40B4-BE49-F238E27FC236}">
              <a16:creationId xmlns:a16="http://schemas.microsoft.com/office/drawing/2014/main" id="{00000000-0008-0000-0800-000027060000}"/>
            </a:ext>
          </a:extLst>
        </xdr:cNvPr>
        <xdr:cNvCxnSpPr/>
      </xdr:nvCxnSpPr>
      <xdr:spPr>
        <a:xfrm>
          <a:off x="5625465" y="3246542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9</xdr:row>
      <xdr:rowOff>127000</xdr:rowOff>
    </xdr:from>
    <xdr:to>
      <xdr:col>5</xdr:col>
      <xdr:colOff>356810</xdr:colOff>
      <xdr:row>9</xdr:row>
      <xdr:rowOff>409912</xdr:rowOff>
    </xdr:to>
    <xdr:cxnSp macro="">
      <xdr:nvCxnSpPr>
        <xdr:cNvPr id="1576" name="Straight Connector 1575">
          <a:extLst>
            <a:ext uri="{FF2B5EF4-FFF2-40B4-BE49-F238E27FC236}">
              <a16:creationId xmlns:a16="http://schemas.microsoft.com/office/drawing/2014/main" id="{00000000-0008-0000-0800-000028060000}"/>
            </a:ext>
          </a:extLst>
        </xdr:cNvPr>
        <xdr:cNvCxnSpPr/>
      </xdr:nvCxnSpPr>
      <xdr:spPr>
        <a:xfrm flipH="1" flipV="1">
          <a:off x="5629849" y="323596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9</xdr:row>
      <xdr:rowOff>134252</xdr:rowOff>
    </xdr:from>
    <xdr:to>
      <xdr:col>5</xdr:col>
      <xdr:colOff>1652211</xdr:colOff>
      <xdr:row>9</xdr:row>
      <xdr:rowOff>417164</xdr:rowOff>
    </xdr:to>
    <xdr:cxnSp macro="">
      <xdr:nvCxnSpPr>
        <xdr:cNvPr id="1577" name="Straight Connector 1576">
          <a:extLst>
            <a:ext uri="{FF2B5EF4-FFF2-40B4-BE49-F238E27FC236}">
              <a16:creationId xmlns:a16="http://schemas.microsoft.com/office/drawing/2014/main" id="{00000000-0008-0000-0800-000029060000}"/>
            </a:ext>
          </a:extLst>
        </xdr:cNvPr>
        <xdr:cNvCxnSpPr/>
      </xdr:nvCxnSpPr>
      <xdr:spPr>
        <a:xfrm flipH="1" flipV="1">
          <a:off x="6925250" y="324321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17</xdr:row>
      <xdr:rowOff>137582</xdr:rowOff>
    </xdr:from>
    <xdr:to>
      <xdr:col>5</xdr:col>
      <xdr:colOff>1666875</xdr:colOff>
      <xdr:row>17</xdr:row>
      <xdr:rowOff>137582</xdr:rowOff>
    </xdr:to>
    <xdr:cxnSp macro="">
      <xdr:nvCxnSpPr>
        <xdr:cNvPr id="1578" name="Straight Connector 1577">
          <a:extLst>
            <a:ext uri="{FF2B5EF4-FFF2-40B4-BE49-F238E27FC236}">
              <a16:creationId xmlns:a16="http://schemas.microsoft.com/office/drawing/2014/main" id="{00000000-0008-0000-0800-00002A060000}"/>
            </a:ext>
          </a:extLst>
        </xdr:cNvPr>
        <xdr:cNvCxnSpPr/>
      </xdr:nvCxnSpPr>
      <xdr:spPr>
        <a:xfrm>
          <a:off x="5625465" y="6713642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</xdr:row>
      <xdr:rowOff>127000</xdr:rowOff>
    </xdr:from>
    <xdr:to>
      <xdr:col>5</xdr:col>
      <xdr:colOff>356810</xdr:colOff>
      <xdr:row>17</xdr:row>
      <xdr:rowOff>409912</xdr:rowOff>
    </xdr:to>
    <xdr:cxnSp macro="">
      <xdr:nvCxnSpPr>
        <xdr:cNvPr id="1579" name="Straight Connector 1578">
          <a:extLst>
            <a:ext uri="{FF2B5EF4-FFF2-40B4-BE49-F238E27FC236}">
              <a16:creationId xmlns:a16="http://schemas.microsoft.com/office/drawing/2014/main" id="{00000000-0008-0000-0800-00002B060000}"/>
            </a:ext>
          </a:extLst>
        </xdr:cNvPr>
        <xdr:cNvCxnSpPr/>
      </xdr:nvCxnSpPr>
      <xdr:spPr>
        <a:xfrm flipH="1" flipV="1">
          <a:off x="5629849" y="670306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</xdr:row>
      <xdr:rowOff>134252</xdr:rowOff>
    </xdr:from>
    <xdr:to>
      <xdr:col>5</xdr:col>
      <xdr:colOff>1652211</xdr:colOff>
      <xdr:row>17</xdr:row>
      <xdr:rowOff>417164</xdr:rowOff>
    </xdr:to>
    <xdr:cxnSp macro="">
      <xdr:nvCxnSpPr>
        <xdr:cNvPr id="1580" name="Straight Connector 1579">
          <a:extLst>
            <a:ext uri="{FF2B5EF4-FFF2-40B4-BE49-F238E27FC236}">
              <a16:creationId xmlns:a16="http://schemas.microsoft.com/office/drawing/2014/main" id="{00000000-0008-0000-0800-00002C060000}"/>
            </a:ext>
          </a:extLst>
        </xdr:cNvPr>
        <xdr:cNvCxnSpPr/>
      </xdr:nvCxnSpPr>
      <xdr:spPr>
        <a:xfrm flipH="1" flipV="1">
          <a:off x="6925250" y="671031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18</xdr:row>
      <xdr:rowOff>137582</xdr:rowOff>
    </xdr:from>
    <xdr:to>
      <xdr:col>5</xdr:col>
      <xdr:colOff>1666875</xdr:colOff>
      <xdr:row>18</xdr:row>
      <xdr:rowOff>137582</xdr:rowOff>
    </xdr:to>
    <xdr:cxnSp macro="">
      <xdr:nvCxnSpPr>
        <xdr:cNvPr id="1581" name="Straight Connector 1580">
          <a:extLst>
            <a:ext uri="{FF2B5EF4-FFF2-40B4-BE49-F238E27FC236}">
              <a16:creationId xmlns:a16="http://schemas.microsoft.com/office/drawing/2014/main" id="{00000000-0008-0000-0800-00002D060000}"/>
            </a:ext>
          </a:extLst>
        </xdr:cNvPr>
        <xdr:cNvCxnSpPr/>
      </xdr:nvCxnSpPr>
      <xdr:spPr>
        <a:xfrm>
          <a:off x="5625465" y="7269902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18</xdr:row>
      <xdr:rowOff>127000</xdr:rowOff>
    </xdr:from>
    <xdr:to>
      <xdr:col>5</xdr:col>
      <xdr:colOff>356810</xdr:colOff>
      <xdr:row>18</xdr:row>
      <xdr:rowOff>409912</xdr:rowOff>
    </xdr:to>
    <xdr:cxnSp macro="">
      <xdr:nvCxnSpPr>
        <xdr:cNvPr id="1582" name="Straight Connector 1581">
          <a:extLst>
            <a:ext uri="{FF2B5EF4-FFF2-40B4-BE49-F238E27FC236}">
              <a16:creationId xmlns:a16="http://schemas.microsoft.com/office/drawing/2014/main" id="{00000000-0008-0000-0800-00002E060000}"/>
            </a:ext>
          </a:extLst>
        </xdr:cNvPr>
        <xdr:cNvCxnSpPr/>
      </xdr:nvCxnSpPr>
      <xdr:spPr>
        <a:xfrm flipH="1" flipV="1">
          <a:off x="5629849" y="725932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18</xdr:row>
      <xdr:rowOff>134252</xdr:rowOff>
    </xdr:from>
    <xdr:to>
      <xdr:col>5</xdr:col>
      <xdr:colOff>1652211</xdr:colOff>
      <xdr:row>18</xdr:row>
      <xdr:rowOff>417164</xdr:rowOff>
    </xdr:to>
    <xdr:cxnSp macro="">
      <xdr:nvCxnSpPr>
        <xdr:cNvPr id="1583" name="Straight Connector 1582">
          <a:extLst>
            <a:ext uri="{FF2B5EF4-FFF2-40B4-BE49-F238E27FC236}">
              <a16:creationId xmlns:a16="http://schemas.microsoft.com/office/drawing/2014/main" id="{00000000-0008-0000-0800-00002F060000}"/>
            </a:ext>
          </a:extLst>
        </xdr:cNvPr>
        <xdr:cNvCxnSpPr/>
      </xdr:nvCxnSpPr>
      <xdr:spPr>
        <a:xfrm flipH="1" flipV="1">
          <a:off x="6925250" y="726657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15</xdr:row>
      <xdr:rowOff>400050</xdr:rowOff>
    </xdr:from>
    <xdr:to>
      <xdr:col>5</xdr:col>
      <xdr:colOff>1666875</xdr:colOff>
      <xdr:row>15</xdr:row>
      <xdr:rowOff>400050</xdr:rowOff>
    </xdr:to>
    <xdr:cxnSp macro="">
      <xdr:nvCxnSpPr>
        <xdr:cNvPr id="1584" name="Straight Connector 1583">
          <a:extLst>
            <a:ext uri="{FF2B5EF4-FFF2-40B4-BE49-F238E27FC236}">
              <a16:creationId xmlns:a16="http://schemas.microsoft.com/office/drawing/2014/main" id="{00000000-0008-0000-0800-000030060000}"/>
            </a:ext>
          </a:extLst>
        </xdr:cNvPr>
        <xdr:cNvCxnSpPr/>
      </xdr:nvCxnSpPr>
      <xdr:spPr>
        <a:xfrm>
          <a:off x="5625465" y="586359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15</xdr:row>
      <xdr:rowOff>127000</xdr:rowOff>
    </xdr:from>
    <xdr:to>
      <xdr:col>5</xdr:col>
      <xdr:colOff>356810</xdr:colOff>
      <xdr:row>15</xdr:row>
      <xdr:rowOff>409912</xdr:rowOff>
    </xdr:to>
    <xdr:cxnSp macro="">
      <xdr:nvCxnSpPr>
        <xdr:cNvPr id="1585" name="Straight Connector 1584">
          <a:extLst>
            <a:ext uri="{FF2B5EF4-FFF2-40B4-BE49-F238E27FC236}">
              <a16:creationId xmlns:a16="http://schemas.microsoft.com/office/drawing/2014/main" id="{00000000-0008-0000-0800-000031060000}"/>
            </a:ext>
          </a:extLst>
        </xdr:cNvPr>
        <xdr:cNvCxnSpPr/>
      </xdr:nvCxnSpPr>
      <xdr:spPr>
        <a:xfrm flipH="1" flipV="1">
          <a:off x="5629849" y="559054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15</xdr:row>
      <xdr:rowOff>125785</xdr:rowOff>
    </xdr:from>
    <xdr:to>
      <xdr:col>5</xdr:col>
      <xdr:colOff>1652211</xdr:colOff>
      <xdr:row>15</xdr:row>
      <xdr:rowOff>408697</xdr:rowOff>
    </xdr:to>
    <xdr:cxnSp macro="">
      <xdr:nvCxnSpPr>
        <xdr:cNvPr id="1586" name="Straight Connector 1585">
          <a:extLst>
            <a:ext uri="{FF2B5EF4-FFF2-40B4-BE49-F238E27FC236}">
              <a16:creationId xmlns:a16="http://schemas.microsoft.com/office/drawing/2014/main" id="{00000000-0008-0000-0800-000032060000}"/>
            </a:ext>
          </a:extLst>
        </xdr:cNvPr>
        <xdr:cNvCxnSpPr/>
      </xdr:nvCxnSpPr>
      <xdr:spPr>
        <a:xfrm flipH="1" flipV="1">
          <a:off x="6925250" y="5589325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16</xdr:row>
      <xdr:rowOff>400050</xdr:rowOff>
    </xdr:from>
    <xdr:to>
      <xdr:col>5</xdr:col>
      <xdr:colOff>1666875</xdr:colOff>
      <xdr:row>16</xdr:row>
      <xdr:rowOff>400050</xdr:rowOff>
    </xdr:to>
    <xdr:cxnSp macro="">
      <xdr:nvCxnSpPr>
        <xdr:cNvPr id="1587" name="Straight Connector 1586">
          <a:extLst>
            <a:ext uri="{FF2B5EF4-FFF2-40B4-BE49-F238E27FC236}">
              <a16:creationId xmlns:a16="http://schemas.microsoft.com/office/drawing/2014/main" id="{00000000-0008-0000-0800-000033060000}"/>
            </a:ext>
          </a:extLst>
        </xdr:cNvPr>
        <xdr:cNvCxnSpPr/>
      </xdr:nvCxnSpPr>
      <xdr:spPr>
        <a:xfrm>
          <a:off x="5625465" y="641985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16</xdr:row>
      <xdr:rowOff>127000</xdr:rowOff>
    </xdr:from>
    <xdr:to>
      <xdr:col>5</xdr:col>
      <xdr:colOff>356810</xdr:colOff>
      <xdr:row>16</xdr:row>
      <xdr:rowOff>409912</xdr:rowOff>
    </xdr:to>
    <xdr:cxnSp macro="">
      <xdr:nvCxnSpPr>
        <xdr:cNvPr id="1588" name="Straight Connector 1587">
          <a:extLst>
            <a:ext uri="{FF2B5EF4-FFF2-40B4-BE49-F238E27FC236}">
              <a16:creationId xmlns:a16="http://schemas.microsoft.com/office/drawing/2014/main" id="{00000000-0008-0000-0800-000034060000}"/>
            </a:ext>
          </a:extLst>
        </xdr:cNvPr>
        <xdr:cNvCxnSpPr/>
      </xdr:nvCxnSpPr>
      <xdr:spPr>
        <a:xfrm flipH="1" flipV="1">
          <a:off x="5629849" y="614680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16</xdr:row>
      <xdr:rowOff>125785</xdr:rowOff>
    </xdr:from>
    <xdr:to>
      <xdr:col>5</xdr:col>
      <xdr:colOff>1652211</xdr:colOff>
      <xdr:row>16</xdr:row>
      <xdr:rowOff>408697</xdr:rowOff>
    </xdr:to>
    <xdr:cxnSp macro="">
      <xdr:nvCxnSpPr>
        <xdr:cNvPr id="1589" name="Straight Connector 1588">
          <a:extLst>
            <a:ext uri="{FF2B5EF4-FFF2-40B4-BE49-F238E27FC236}">
              <a16:creationId xmlns:a16="http://schemas.microsoft.com/office/drawing/2014/main" id="{00000000-0008-0000-0800-000035060000}"/>
            </a:ext>
          </a:extLst>
        </xdr:cNvPr>
        <xdr:cNvCxnSpPr/>
      </xdr:nvCxnSpPr>
      <xdr:spPr>
        <a:xfrm flipH="1" flipV="1">
          <a:off x="6925250" y="6145585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347133</xdr:colOff>
      <xdr:row>11</xdr:row>
      <xdr:rowOff>296332</xdr:rowOff>
    </xdr:from>
    <xdr:to>
      <xdr:col>5</xdr:col>
      <xdr:colOff>1661583</xdr:colOff>
      <xdr:row>11</xdr:row>
      <xdr:rowOff>296332</xdr:rowOff>
    </xdr:to>
    <xdr:cxnSp macro="">
      <xdr:nvCxnSpPr>
        <xdr:cNvPr id="1590" name="Straight Connector 1589">
          <a:extLst>
            <a:ext uri="{FF2B5EF4-FFF2-40B4-BE49-F238E27FC236}">
              <a16:creationId xmlns:a16="http://schemas.microsoft.com/office/drawing/2014/main" id="{00000000-0008-0000-0800-000036060000}"/>
            </a:ext>
          </a:extLst>
        </xdr:cNvPr>
        <xdr:cNvCxnSpPr/>
      </xdr:nvCxnSpPr>
      <xdr:spPr>
        <a:xfrm>
          <a:off x="5620173" y="4190152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347133</xdr:colOff>
      <xdr:row>12</xdr:row>
      <xdr:rowOff>296332</xdr:rowOff>
    </xdr:from>
    <xdr:to>
      <xdr:col>5</xdr:col>
      <xdr:colOff>1661583</xdr:colOff>
      <xdr:row>12</xdr:row>
      <xdr:rowOff>296332</xdr:rowOff>
    </xdr:to>
    <xdr:cxnSp macro="">
      <xdr:nvCxnSpPr>
        <xdr:cNvPr id="1591" name="Straight Connector 1590">
          <a:extLst>
            <a:ext uri="{FF2B5EF4-FFF2-40B4-BE49-F238E27FC236}">
              <a16:creationId xmlns:a16="http://schemas.microsoft.com/office/drawing/2014/main" id="{00000000-0008-0000-0800-000037060000}"/>
            </a:ext>
          </a:extLst>
        </xdr:cNvPr>
        <xdr:cNvCxnSpPr/>
      </xdr:nvCxnSpPr>
      <xdr:spPr>
        <a:xfrm>
          <a:off x="5620173" y="4746412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24</xdr:row>
      <xdr:rowOff>127001</xdr:rowOff>
    </xdr:from>
    <xdr:to>
      <xdr:col>5</xdr:col>
      <xdr:colOff>1168400</xdr:colOff>
      <xdr:row>24</xdr:row>
      <xdr:rowOff>127001</xdr:rowOff>
    </xdr:to>
    <xdr:cxnSp macro="">
      <xdr:nvCxnSpPr>
        <xdr:cNvPr id="1592" name="Straight Connector 1591">
          <a:extLst>
            <a:ext uri="{FF2B5EF4-FFF2-40B4-BE49-F238E27FC236}">
              <a16:creationId xmlns:a16="http://schemas.microsoft.com/office/drawing/2014/main" id="{00000000-0008-0000-0800-000038060000}"/>
            </a:ext>
          </a:extLst>
        </xdr:cNvPr>
        <xdr:cNvCxnSpPr/>
      </xdr:nvCxnSpPr>
      <xdr:spPr>
        <a:xfrm flipH="1">
          <a:off x="6119708" y="958342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24</xdr:row>
      <xdr:rowOff>1083733</xdr:rowOff>
    </xdr:from>
    <xdr:to>
      <xdr:col>5</xdr:col>
      <xdr:colOff>1159935</xdr:colOff>
      <xdr:row>24</xdr:row>
      <xdr:rowOff>1083733</xdr:rowOff>
    </xdr:to>
    <xdr:cxnSp macro="">
      <xdr:nvCxnSpPr>
        <xdr:cNvPr id="1593" name="Straight Connector 1592">
          <a:extLst>
            <a:ext uri="{FF2B5EF4-FFF2-40B4-BE49-F238E27FC236}">
              <a16:creationId xmlns:a16="http://schemas.microsoft.com/office/drawing/2014/main" id="{00000000-0008-0000-0800-000039060000}"/>
            </a:ext>
          </a:extLst>
        </xdr:cNvPr>
        <xdr:cNvCxnSpPr/>
      </xdr:nvCxnSpPr>
      <xdr:spPr>
        <a:xfrm flipH="1">
          <a:off x="6111243" y="1054015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25</xdr:row>
      <xdr:rowOff>127001</xdr:rowOff>
    </xdr:from>
    <xdr:to>
      <xdr:col>5</xdr:col>
      <xdr:colOff>1168400</xdr:colOff>
      <xdr:row>25</xdr:row>
      <xdr:rowOff>127001</xdr:rowOff>
    </xdr:to>
    <xdr:cxnSp macro="">
      <xdr:nvCxnSpPr>
        <xdr:cNvPr id="1594" name="Straight Connector 1593">
          <a:extLst>
            <a:ext uri="{FF2B5EF4-FFF2-40B4-BE49-F238E27FC236}">
              <a16:creationId xmlns:a16="http://schemas.microsoft.com/office/drawing/2014/main" id="{00000000-0008-0000-0800-00003A060000}"/>
            </a:ext>
          </a:extLst>
        </xdr:cNvPr>
        <xdr:cNvCxnSpPr/>
      </xdr:nvCxnSpPr>
      <xdr:spPr>
        <a:xfrm flipH="1">
          <a:off x="6119708" y="1087120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25</xdr:row>
      <xdr:rowOff>1083733</xdr:rowOff>
    </xdr:from>
    <xdr:to>
      <xdr:col>5</xdr:col>
      <xdr:colOff>1159935</xdr:colOff>
      <xdr:row>25</xdr:row>
      <xdr:rowOff>1083733</xdr:rowOff>
    </xdr:to>
    <xdr:cxnSp macro="">
      <xdr:nvCxnSpPr>
        <xdr:cNvPr id="1595" name="Straight Connector 1594">
          <a:extLst>
            <a:ext uri="{FF2B5EF4-FFF2-40B4-BE49-F238E27FC236}">
              <a16:creationId xmlns:a16="http://schemas.microsoft.com/office/drawing/2014/main" id="{00000000-0008-0000-0800-00003B060000}"/>
            </a:ext>
          </a:extLst>
        </xdr:cNvPr>
        <xdr:cNvCxnSpPr/>
      </xdr:nvCxnSpPr>
      <xdr:spPr>
        <a:xfrm flipH="1">
          <a:off x="6111243" y="1182793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26</xdr:row>
      <xdr:rowOff>127001</xdr:rowOff>
    </xdr:from>
    <xdr:to>
      <xdr:col>5</xdr:col>
      <xdr:colOff>1168400</xdr:colOff>
      <xdr:row>26</xdr:row>
      <xdr:rowOff>127001</xdr:rowOff>
    </xdr:to>
    <xdr:cxnSp macro="">
      <xdr:nvCxnSpPr>
        <xdr:cNvPr id="1596" name="Straight Connector 1595">
          <a:extLst>
            <a:ext uri="{FF2B5EF4-FFF2-40B4-BE49-F238E27FC236}">
              <a16:creationId xmlns:a16="http://schemas.microsoft.com/office/drawing/2014/main" id="{00000000-0008-0000-0800-00003C060000}"/>
            </a:ext>
          </a:extLst>
        </xdr:cNvPr>
        <xdr:cNvCxnSpPr/>
      </xdr:nvCxnSpPr>
      <xdr:spPr>
        <a:xfrm flipH="1">
          <a:off x="6119708" y="1215898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26</xdr:row>
      <xdr:rowOff>1083733</xdr:rowOff>
    </xdr:from>
    <xdr:to>
      <xdr:col>5</xdr:col>
      <xdr:colOff>1169876</xdr:colOff>
      <xdr:row>26</xdr:row>
      <xdr:rowOff>1083733</xdr:rowOff>
    </xdr:to>
    <xdr:cxnSp macro="">
      <xdr:nvCxnSpPr>
        <xdr:cNvPr id="1597" name="Straight Connector 1596">
          <a:extLst>
            <a:ext uri="{FF2B5EF4-FFF2-40B4-BE49-F238E27FC236}">
              <a16:creationId xmlns:a16="http://schemas.microsoft.com/office/drawing/2014/main" id="{00000000-0008-0000-0800-00003D060000}"/>
            </a:ext>
          </a:extLst>
        </xdr:cNvPr>
        <xdr:cNvCxnSpPr/>
      </xdr:nvCxnSpPr>
      <xdr:spPr>
        <a:xfrm flipH="1">
          <a:off x="6111244" y="1311571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27</xdr:row>
      <xdr:rowOff>127001</xdr:rowOff>
    </xdr:from>
    <xdr:to>
      <xdr:col>5</xdr:col>
      <xdr:colOff>1168400</xdr:colOff>
      <xdr:row>27</xdr:row>
      <xdr:rowOff>127001</xdr:rowOff>
    </xdr:to>
    <xdr:cxnSp macro="">
      <xdr:nvCxnSpPr>
        <xdr:cNvPr id="1598" name="Straight Connector 1597">
          <a:extLst>
            <a:ext uri="{FF2B5EF4-FFF2-40B4-BE49-F238E27FC236}">
              <a16:creationId xmlns:a16="http://schemas.microsoft.com/office/drawing/2014/main" id="{00000000-0008-0000-0800-00003E060000}"/>
            </a:ext>
          </a:extLst>
        </xdr:cNvPr>
        <xdr:cNvCxnSpPr/>
      </xdr:nvCxnSpPr>
      <xdr:spPr>
        <a:xfrm flipH="1">
          <a:off x="6119708" y="1344676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27</xdr:row>
      <xdr:rowOff>1083733</xdr:rowOff>
    </xdr:from>
    <xdr:to>
      <xdr:col>5</xdr:col>
      <xdr:colOff>1169876</xdr:colOff>
      <xdr:row>27</xdr:row>
      <xdr:rowOff>1083733</xdr:rowOff>
    </xdr:to>
    <xdr:cxnSp macro="">
      <xdr:nvCxnSpPr>
        <xdr:cNvPr id="1599" name="Straight Connector 1598">
          <a:extLst>
            <a:ext uri="{FF2B5EF4-FFF2-40B4-BE49-F238E27FC236}">
              <a16:creationId xmlns:a16="http://schemas.microsoft.com/office/drawing/2014/main" id="{00000000-0008-0000-0800-00003F060000}"/>
            </a:ext>
          </a:extLst>
        </xdr:cNvPr>
        <xdr:cNvCxnSpPr/>
      </xdr:nvCxnSpPr>
      <xdr:spPr>
        <a:xfrm flipH="1">
          <a:off x="6111244" y="1440349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30</xdr:row>
      <xdr:rowOff>127001</xdr:rowOff>
    </xdr:from>
    <xdr:to>
      <xdr:col>5</xdr:col>
      <xdr:colOff>1168400</xdr:colOff>
      <xdr:row>30</xdr:row>
      <xdr:rowOff>127001</xdr:rowOff>
    </xdr:to>
    <xdr:cxnSp macro="">
      <xdr:nvCxnSpPr>
        <xdr:cNvPr id="1600" name="Straight Connector 1599">
          <a:extLst>
            <a:ext uri="{FF2B5EF4-FFF2-40B4-BE49-F238E27FC236}">
              <a16:creationId xmlns:a16="http://schemas.microsoft.com/office/drawing/2014/main" id="{00000000-0008-0000-0800-000040060000}"/>
            </a:ext>
          </a:extLst>
        </xdr:cNvPr>
        <xdr:cNvCxnSpPr/>
      </xdr:nvCxnSpPr>
      <xdr:spPr>
        <a:xfrm flipH="1">
          <a:off x="6119708" y="1519174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30</xdr:row>
      <xdr:rowOff>1083733</xdr:rowOff>
    </xdr:from>
    <xdr:to>
      <xdr:col>5</xdr:col>
      <xdr:colOff>1159935</xdr:colOff>
      <xdr:row>30</xdr:row>
      <xdr:rowOff>1083733</xdr:rowOff>
    </xdr:to>
    <xdr:cxnSp macro="">
      <xdr:nvCxnSpPr>
        <xdr:cNvPr id="1601" name="Straight Connector 1600">
          <a:extLst>
            <a:ext uri="{FF2B5EF4-FFF2-40B4-BE49-F238E27FC236}">
              <a16:creationId xmlns:a16="http://schemas.microsoft.com/office/drawing/2014/main" id="{00000000-0008-0000-0800-000041060000}"/>
            </a:ext>
          </a:extLst>
        </xdr:cNvPr>
        <xdr:cNvCxnSpPr/>
      </xdr:nvCxnSpPr>
      <xdr:spPr>
        <a:xfrm flipH="1">
          <a:off x="6111243" y="1614847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31</xdr:row>
      <xdr:rowOff>127001</xdr:rowOff>
    </xdr:from>
    <xdr:to>
      <xdr:col>5</xdr:col>
      <xdr:colOff>1168400</xdr:colOff>
      <xdr:row>31</xdr:row>
      <xdr:rowOff>127001</xdr:rowOff>
    </xdr:to>
    <xdr:cxnSp macro="">
      <xdr:nvCxnSpPr>
        <xdr:cNvPr id="1602" name="Straight Connector 1601">
          <a:extLst>
            <a:ext uri="{FF2B5EF4-FFF2-40B4-BE49-F238E27FC236}">
              <a16:creationId xmlns:a16="http://schemas.microsoft.com/office/drawing/2014/main" id="{00000000-0008-0000-0800-000042060000}"/>
            </a:ext>
          </a:extLst>
        </xdr:cNvPr>
        <xdr:cNvCxnSpPr/>
      </xdr:nvCxnSpPr>
      <xdr:spPr>
        <a:xfrm flipH="1">
          <a:off x="6119708" y="1647952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31</xdr:row>
      <xdr:rowOff>1083733</xdr:rowOff>
    </xdr:from>
    <xdr:to>
      <xdr:col>5</xdr:col>
      <xdr:colOff>1159935</xdr:colOff>
      <xdr:row>31</xdr:row>
      <xdr:rowOff>1083733</xdr:rowOff>
    </xdr:to>
    <xdr:cxnSp macro="">
      <xdr:nvCxnSpPr>
        <xdr:cNvPr id="1603" name="Straight Connector 1602">
          <a:extLst>
            <a:ext uri="{FF2B5EF4-FFF2-40B4-BE49-F238E27FC236}">
              <a16:creationId xmlns:a16="http://schemas.microsoft.com/office/drawing/2014/main" id="{00000000-0008-0000-0800-000043060000}"/>
            </a:ext>
          </a:extLst>
        </xdr:cNvPr>
        <xdr:cNvCxnSpPr/>
      </xdr:nvCxnSpPr>
      <xdr:spPr>
        <a:xfrm flipH="1">
          <a:off x="6111243" y="1743625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32</xdr:row>
      <xdr:rowOff>127001</xdr:rowOff>
    </xdr:from>
    <xdr:to>
      <xdr:col>5</xdr:col>
      <xdr:colOff>1168400</xdr:colOff>
      <xdr:row>32</xdr:row>
      <xdr:rowOff>127001</xdr:rowOff>
    </xdr:to>
    <xdr:cxnSp macro="">
      <xdr:nvCxnSpPr>
        <xdr:cNvPr id="1604" name="Straight Connector 1603">
          <a:extLst>
            <a:ext uri="{FF2B5EF4-FFF2-40B4-BE49-F238E27FC236}">
              <a16:creationId xmlns:a16="http://schemas.microsoft.com/office/drawing/2014/main" id="{00000000-0008-0000-0800-000044060000}"/>
            </a:ext>
          </a:extLst>
        </xdr:cNvPr>
        <xdr:cNvCxnSpPr/>
      </xdr:nvCxnSpPr>
      <xdr:spPr>
        <a:xfrm flipH="1">
          <a:off x="6119708" y="1776730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32</xdr:row>
      <xdr:rowOff>1083733</xdr:rowOff>
    </xdr:from>
    <xdr:to>
      <xdr:col>5</xdr:col>
      <xdr:colOff>1169876</xdr:colOff>
      <xdr:row>32</xdr:row>
      <xdr:rowOff>1083733</xdr:rowOff>
    </xdr:to>
    <xdr:cxnSp macro="">
      <xdr:nvCxnSpPr>
        <xdr:cNvPr id="1605" name="Straight Connector 1604">
          <a:extLst>
            <a:ext uri="{FF2B5EF4-FFF2-40B4-BE49-F238E27FC236}">
              <a16:creationId xmlns:a16="http://schemas.microsoft.com/office/drawing/2014/main" id="{00000000-0008-0000-0800-000045060000}"/>
            </a:ext>
          </a:extLst>
        </xdr:cNvPr>
        <xdr:cNvCxnSpPr/>
      </xdr:nvCxnSpPr>
      <xdr:spPr>
        <a:xfrm flipH="1">
          <a:off x="6111244" y="1872403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33</xdr:row>
      <xdr:rowOff>127001</xdr:rowOff>
    </xdr:from>
    <xdr:to>
      <xdr:col>5</xdr:col>
      <xdr:colOff>1168400</xdr:colOff>
      <xdr:row>33</xdr:row>
      <xdr:rowOff>127001</xdr:rowOff>
    </xdr:to>
    <xdr:cxnSp macro="">
      <xdr:nvCxnSpPr>
        <xdr:cNvPr id="1606" name="Straight Connector 1605">
          <a:extLst>
            <a:ext uri="{FF2B5EF4-FFF2-40B4-BE49-F238E27FC236}">
              <a16:creationId xmlns:a16="http://schemas.microsoft.com/office/drawing/2014/main" id="{00000000-0008-0000-0800-000046060000}"/>
            </a:ext>
          </a:extLst>
        </xdr:cNvPr>
        <xdr:cNvCxnSpPr/>
      </xdr:nvCxnSpPr>
      <xdr:spPr>
        <a:xfrm flipH="1">
          <a:off x="6119708" y="1905508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33</xdr:row>
      <xdr:rowOff>1083733</xdr:rowOff>
    </xdr:from>
    <xdr:to>
      <xdr:col>5</xdr:col>
      <xdr:colOff>1169876</xdr:colOff>
      <xdr:row>33</xdr:row>
      <xdr:rowOff>1083733</xdr:rowOff>
    </xdr:to>
    <xdr:cxnSp macro="">
      <xdr:nvCxnSpPr>
        <xdr:cNvPr id="1607" name="Straight Connector 1606">
          <a:extLst>
            <a:ext uri="{FF2B5EF4-FFF2-40B4-BE49-F238E27FC236}">
              <a16:creationId xmlns:a16="http://schemas.microsoft.com/office/drawing/2014/main" id="{00000000-0008-0000-0800-000047060000}"/>
            </a:ext>
          </a:extLst>
        </xdr:cNvPr>
        <xdr:cNvCxnSpPr/>
      </xdr:nvCxnSpPr>
      <xdr:spPr>
        <a:xfrm flipH="1">
          <a:off x="6111244" y="2001181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347133</xdr:colOff>
      <xdr:row>20</xdr:row>
      <xdr:rowOff>296332</xdr:rowOff>
    </xdr:from>
    <xdr:to>
      <xdr:col>5</xdr:col>
      <xdr:colOff>1661583</xdr:colOff>
      <xdr:row>20</xdr:row>
      <xdr:rowOff>296332</xdr:rowOff>
    </xdr:to>
    <xdr:cxnSp macro="">
      <xdr:nvCxnSpPr>
        <xdr:cNvPr id="1608" name="Straight Connector 1607">
          <a:extLst>
            <a:ext uri="{FF2B5EF4-FFF2-40B4-BE49-F238E27FC236}">
              <a16:creationId xmlns:a16="http://schemas.microsoft.com/office/drawing/2014/main" id="{00000000-0008-0000-0800-000048060000}"/>
            </a:ext>
          </a:extLst>
        </xdr:cNvPr>
        <xdr:cNvCxnSpPr/>
      </xdr:nvCxnSpPr>
      <xdr:spPr>
        <a:xfrm>
          <a:off x="5620173" y="8213512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347133</xdr:colOff>
      <xdr:row>21</xdr:row>
      <xdr:rowOff>296332</xdr:rowOff>
    </xdr:from>
    <xdr:to>
      <xdr:col>5</xdr:col>
      <xdr:colOff>1661583</xdr:colOff>
      <xdr:row>21</xdr:row>
      <xdr:rowOff>296332</xdr:rowOff>
    </xdr:to>
    <xdr:cxnSp macro="">
      <xdr:nvCxnSpPr>
        <xdr:cNvPr id="1609" name="Straight Connector 1608">
          <a:extLst>
            <a:ext uri="{FF2B5EF4-FFF2-40B4-BE49-F238E27FC236}">
              <a16:creationId xmlns:a16="http://schemas.microsoft.com/office/drawing/2014/main" id="{00000000-0008-0000-0800-000049060000}"/>
            </a:ext>
          </a:extLst>
        </xdr:cNvPr>
        <xdr:cNvCxnSpPr/>
      </xdr:nvCxnSpPr>
      <xdr:spPr>
        <a:xfrm>
          <a:off x="5620173" y="8769772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1210616</xdr:colOff>
      <xdr:row>36</xdr:row>
      <xdr:rowOff>160421</xdr:rowOff>
    </xdr:from>
    <xdr:to>
      <xdr:col>5</xdr:col>
      <xdr:colOff>1210616</xdr:colOff>
      <xdr:row>36</xdr:row>
      <xdr:rowOff>601581</xdr:rowOff>
    </xdr:to>
    <xdr:cxnSp macro="">
      <xdr:nvCxnSpPr>
        <xdr:cNvPr id="1610" name="Straight Connector 1609">
          <a:extLst>
            <a:ext uri="{FF2B5EF4-FFF2-40B4-BE49-F238E27FC236}">
              <a16:creationId xmlns:a16="http://schemas.microsoft.com/office/drawing/2014/main" id="{00000000-0008-0000-0800-00004A060000}"/>
            </a:ext>
          </a:extLst>
        </xdr:cNvPr>
        <xdr:cNvCxnSpPr/>
      </xdr:nvCxnSpPr>
      <xdr:spPr>
        <a:xfrm flipV="1">
          <a:off x="6483656" y="20833481"/>
          <a:ext cx="0" cy="44116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938463</xdr:colOff>
      <xdr:row>36</xdr:row>
      <xdr:rowOff>593558</xdr:rowOff>
    </xdr:from>
    <xdr:to>
      <xdr:col>5</xdr:col>
      <xdr:colOff>1211179</xdr:colOff>
      <xdr:row>36</xdr:row>
      <xdr:rowOff>778042</xdr:rowOff>
    </xdr:to>
    <xdr:cxnSp macro="">
      <xdr:nvCxnSpPr>
        <xdr:cNvPr id="1611" name="Straight Connector 1610">
          <a:extLst>
            <a:ext uri="{FF2B5EF4-FFF2-40B4-BE49-F238E27FC236}">
              <a16:creationId xmlns:a16="http://schemas.microsoft.com/office/drawing/2014/main" id="{00000000-0008-0000-0800-00004B060000}"/>
            </a:ext>
          </a:extLst>
        </xdr:cNvPr>
        <xdr:cNvCxnSpPr/>
      </xdr:nvCxnSpPr>
      <xdr:spPr>
        <a:xfrm flipV="1">
          <a:off x="6211503" y="21266618"/>
          <a:ext cx="272716" cy="18448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513347</xdr:colOff>
      <xdr:row>36</xdr:row>
      <xdr:rowOff>786064</xdr:rowOff>
    </xdr:from>
    <xdr:to>
      <xdr:col>5</xdr:col>
      <xdr:colOff>946485</xdr:colOff>
      <xdr:row>36</xdr:row>
      <xdr:rowOff>786064</xdr:rowOff>
    </xdr:to>
    <xdr:cxnSp macro="">
      <xdr:nvCxnSpPr>
        <xdr:cNvPr id="1612" name="Straight Connector 1611">
          <a:extLst>
            <a:ext uri="{FF2B5EF4-FFF2-40B4-BE49-F238E27FC236}">
              <a16:creationId xmlns:a16="http://schemas.microsoft.com/office/drawing/2014/main" id="{00000000-0008-0000-0800-00004C060000}"/>
            </a:ext>
          </a:extLst>
        </xdr:cNvPr>
        <xdr:cNvCxnSpPr/>
      </xdr:nvCxnSpPr>
      <xdr:spPr>
        <a:xfrm flipH="1">
          <a:off x="5786387" y="21459124"/>
          <a:ext cx="43313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1210616</xdr:colOff>
      <xdr:row>37</xdr:row>
      <xdr:rowOff>160421</xdr:rowOff>
    </xdr:from>
    <xdr:to>
      <xdr:col>5</xdr:col>
      <xdr:colOff>1210616</xdr:colOff>
      <xdr:row>37</xdr:row>
      <xdr:rowOff>601581</xdr:rowOff>
    </xdr:to>
    <xdr:cxnSp macro="">
      <xdr:nvCxnSpPr>
        <xdr:cNvPr id="1613" name="Straight Connector 1612">
          <a:extLst>
            <a:ext uri="{FF2B5EF4-FFF2-40B4-BE49-F238E27FC236}">
              <a16:creationId xmlns:a16="http://schemas.microsoft.com/office/drawing/2014/main" id="{00000000-0008-0000-0800-00004D060000}"/>
            </a:ext>
          </a:extLst>
        </xdr:cNvPr>
        <xdr:cNvCxnSpPr/>
      </xdr:nvCxnSpPr>
      <xdr:spPr>
        <a:xfrm flipV="1">
          <a:off x="6483656" y="21778361"/>
          <a:ext cx="0" cy="44116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938463</xdr:colOff>
      <xdr:row>37</xdr:row>
      <xdr:rowOff>593558</xdr:rowOff>
    </xdr:from>
    <xdr:to>
      <xdr:col>5</xdr:col>
      <xdr:colOff>1211179</xdr:colOff>
      <xdr:row>37</xdr:row>
      <xdr:rowOff>778042</xdr:rowOff>
    </xdr:to>
    <xdr:cxnSp macro="">
      <xdr:nvCxnSpPr>
        <xdr:cNvPr id="1614" name="Straight Connector 1613">
          <a:extLst>
            <a:ext uri="{FF2B5EF4-FFF2-40B4-BE49-F238E27FC236}">
              <a16:creationId xmlns:a16="http://schemas.microsoft.com/office/drawing/2014/main" id="{00000000-0008-0000-0800-00004E060000}"/>
            </a:ext>
          </a:extLst>
        </xdr:cNvPr>
        <xdr:cNvCxnSpPr/>
      </xdr:nvCxnSpPr>
      <xdr:spPr>
        <a:xfrm flipV="1">
          <a:off x="6211503" y="22211498"/>
          <a:ext cx="272716" cy="18448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513347</xdr:colOff>
      <xdr:row>37</xdr:row>
      <xdr:rowOff>786064</xdr:rowOff>
    </xdr:from>
    <xdr:to>
      <xdr:col>5</xdr:col>
      <xdr:colOff>946485</xdr:colOff>
      <xdr:row>37</xdr:row>
      <xdr:rowOff>786064</xdr:rowOff>
    </xdr:to>
    <xdr:cxnSp macro="">
      <xdr:nvCxnSpPr>
        <xdr:cNvPr id="1615" name="Straight Connector 1614">
          <a:extLst>
            <a:ext uri="{FF2B5EF4-FFF2-40B4-BE49-F238E27FC236}">
              <a16:creationId xmlns:a16="http://schemas.microsoft.com/office/drawing/2014/main" id="{00000000-0008-0000-0800-00004F060000}"/>
            </a:ext>
          </a:extLst>
        </xdr:cNvPr>
        <xdr:cNvCxnSpPr/>
      </xdr:nvCxnSpPr>
      <xdr:spPr>
        <a:xfrm flipH="1">
          <a:off x="5786387" y="22404004"/>
          <a:ext cx="43313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24</xdr:row>
      <xdr:rowOff>118533</xdr:rowOff>
    </xdr:from>
    <xdr:to>
      <xdr:col>5</xdr:col>
      <xdr:colOff>1151462</xdr:colOff>
      <xdr:row>24</xdr:row>
      <xdr:rowOff>1066801</xdr:rowOff>
    </xdr:to>
    <xdr:cxnSp macro="">
      <xdr:nvCxnSpPr>
        <xdr:cNvPr id="1616" name="Straight Connector 1615">
          <a:extLst>
            <a:ext uri="{FF2B5EF4-FFF2-40B4-BE49-F238E27FC236}">
              <a16:creationId xmlns:a16="http://schemas.microsoft.com/office/drawing/2014/main" id="{00000000-0008-0000-0800-000050060000}"/>
            </a:ext>
          </a:extLst>
        </xdr:cNvPr>
        <xdr:cNvCxnSpPr/>
      </xdr:nvCxnSpPr>
      <xdr:spPr>
        <a:xfrm flipH="1" flipV="1">
          <a:off x="6424501" y="957495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24</xdr:row>
      <xdr:rowOff>127001</xdr:rowOff>
    </xdr:from>
    <xdr:to>
      <xdr:col>5</xdr:col>
      <xdr:colOff>1168400</xdr:colOff>
      <xdr:row>24</xdr:row>
      <xdr:rowOff>127001</xdr:rowOff>
    </xdr:to>
    <xdr:cxnSp macro="">
      <xdr:nvCxnSpPr>
        <xdr:cNvPr id="1617" name="Straight Connector 1616">
          <a:extLst>
            <a:ext uri="{FF2B5EF4-FFF2-40B4-BE49-F238E27FC236}">
              <a16:creationId xmlns:a16="http://schemas.microsoft.com/office/drawing/2014/main" id="{00000000-0008-0000-0800-000051060000}"/>
            </a:ext>
          </a:extLst>
        </xdr:cNvPr>
        <xdr:cNvCxnSpPr/>
      </xdr:nvCxnSpPr>
      <xdr:spPr>
        <a:xfrm flipH="1">
          <a:off x="6119708" y="958342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24</xdr:row>
      <xdr:rowOff>1083733</xdr:rowOff>
    </xdr:from>
    <xdr:to>
      <xdr:col>5</xdr:col>
      <xdr:colOff>1169876</xdr:colOff>
      <xdr:row>24</xdr:row>
      <xdr:rowOff>1083733</xdr:rowOff>
    </xdr:to>
    <xdr:cxnSp macro="">
      <xdr:nvCxnSpPr>
        <xdr:cNvPr id="1618" name="Straight Connector 1617">
          <a:extLst>
            <a:ext uri="{FF2B5EF4-FFF2-40B4-BE49-F238E27FC236}">
              <a16:creationId xmlns:a16="http://schemas.microsoft.com/office/drawing/2014/main" id="{00000000-0008-0000-0800-000052060000}"/>
            </a:ext>
          </a:extLst>
        </xdr:cNvPr>
        <xdr:cNvCxnSpPr/>
      </xdr:nvCxnSpPr>
      <xdr:spPr>
        <a:xfrm flipH="1">
          <a:off x="6111244" y="1054015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26</xdr:row>
      <xdr:rowOff>118533</xdr:rowOff>
    </xdr:from>
    <xdr:to>
      <xdr:col>5</xdr:col>
      <xdr:colOff>855134</xdr:colOff>
      <xdr:row>26</xdr:row>
      <xdr:rowOff>1066801</xdr:rowOff>
    </xdr:to>
    <xdr:cxnSp macro="">
      <xdr:nvCxnSpPr>
        <xdr:cNvPr id="1619" name="Straight Connector 1618">
          <a:extLst>
            <a:ext uri="{FF2B5EF4-FFF2-40B4-BE49-F238E27FC236}">
              <a16:creationId xmlns:a16="http://schemas.microsoft.com/office/drawing/2014/main" id="{00000000-0008-0000-0800-000053060000}"/>
            </a:ext>
          </a:extLst>
        </xdr:cNvPr>
        <xdr:cNvCxnSpPr/>
      </xdr:nvCxnSpPr>
      <xdr:spPr>
        <a:xfrm flipH="1" flipV="1">
          <a:off x="6128173" y="1215051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26</xdr:row>
      <xdr:rowOff>127001</xdr:rowOff>
    </xdr:from>
    <xdr:to>
      <xdr:col>5</xdr:col>
      <xdr:colOff>1168400</xdr:colOff>
      <xdr:row>26</xdr:row>
      <xdr:rowOff>127001</xdr:rowOff>
    </xdr:to>
    <xdr:cxnSp macro="">
      <xdr:nvCxnSpPr>
        <xdr:cNvPr id="1620" name="Straight Connector 1619">
          <a:extLst>
            <a:ext uri="{FF2B5EF4-FFF2-40B4-BE49-F238E27FC236}">
              <a16:creationId xmlns:a16="http://schemas.microsoft.com/office/drawing/2014/main" id="{00000000-0008-0000-0800-000054060000}"/>
            </a:ext>
          </a:extLst>
        </xdr:cNvPr>
        <xdr:cNvCxnSpPr/>
      </xdr:nvCxnSpPr>
      <xdr:spPr>
        <a:xfrm flipH="1">
          <a:off x="6119708" y="1215898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26</xdr:row>
      <xdr:rowOff>1083733</xdr:rowOff>
    </xdr:from>
    <xdr:to>
      <xdr:col>5</xdr:col>
      <xdr:colOff>1159935</xdr:colOff>
      <xdr:row>26</xdr:row>
      <xdr:rowOff>1083733</xdr:rowOff>
    </xdr:to>
    <xdr:cxnSp macro="">
      <xdr:nvCxnSpPr>
        <xdr:cNvPr id="1621" name="Straight Connector 1620">
          <a:extLst>
            <a:ext uri="{FF2B5EF4-FFF2-40B4-BE49-F238E27FC236}">
              <a16:creationId xmlns:a16="http://schemas.microsoft.com/office/drawing/2014/main" id="{00000000-0008-0000-0800-000055060000}"/>
            </a:ext>
          </a:extLst>
        </xdr:cNvPr>
        <xdr:cNvCxnSpPr/>
      </xdr:nvCxnSpPr>
      <xdr:spPr>
        <a:xfrm flipH="1">
          <a:off x="6111243" y="1311571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25</xdr:row>
      <xdr:rowOff>127001</xdr:rowOff>
    </xdr:from>
    <xdr:to>
      <xdr:col>5</xdr:col>
      <xdr:colOff>1168400</xdr:colOff>
      <xdr:row>25</xdr:row>
      <xdr:rowOff>127001</xdr:rowOff>
    </xdr:to>
    <xdr:cxnSp macro="">
      <xdr:nvCxnSpPr>
        <xdr:cNvPr id="1622" name="Straight Connector 1621">
          <a:extLst>
            <a:ext uri="{FF2B5EF4-FFF2-40B4-BE49-F238E27FC236}">
              <a16:creationId xmlns:a16="http://schemas.microsoft.com/office/drawing/2014/main" id="{00000000-0008-0000-0800-000056060000}"/>
            </a:ext>
          </a:extLst>
        </xdr:cNvPr>
        <xdr:cNvCxnSpPr/>
      </xdr:nvCxnSpPr>
      <xdr:spPr>
        <a:xfrm flipH="1">
          <a:off x="6119708" y="1087120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25</xdr:row>
      <xdr:rowOff>1083733</xdr:rowOff>
    </xdr:from>
    <xdr:to>
      <xdr:col>5</xdr:col>
      <xdr:colOff>1159935</xdr:colOff>
      <xdr:row>25</xdr:row>
      <xdr:rowOff>1083733</xdr:rowOff>
    </xdr:to>
    <xdr:cxnSp macro="">
      <xdr:nvCxnSpPr>
        <xdr:cNvPr id="1623" name="Straight Connector 1622">
          <a:extLst>
            <a:ext uri="{FF2B5EF4-FFF2-40B4-BE49-F238E27FC236}">
              <a16:creationId xmlns:a16="http://schemas.microsoft.com/office/drawing/2014/main" id="{00000000-0008-0000-0800-000057060000}"/>
            </a:ext>
          </a:extLst>
        </xdr:cNvPr>
        <xdr:cNvCxnSpPr/>
      </xdr:nvCxnSpPr>
      <xdr:spPr>
        <a:xfrm flipH="1">
          <a:off x="6111243" y="1182793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25</xdr:row>
      <xdr:rowOff>118533</xdr:rowOff>
    </xdr:from>
    <xdr:to>
      <xdr:col>5</xdr:col>
      <xdr:colOff>1151462</xdr:colOff>
      <xdr:row>25</xdr:row>
      <xdr:rowOff>1066801</xdr:rowOff>
    </xdr:to>
    <xdr:cxnSp macro="">
      <xdr:nvCxnSpPr>
        <xdr:cNvPr id="1624" name="Straight Connector 1623">
          <a:extLst>
            <a:ext uri="{FF2B5EF4-FFF2-40B4-BE49-F238E27FC236}">
              <a16:creationId xmlns:a16="http://schemas.microsoft.com/office/drawing/2014/main" id="{00000000-0008-0000-0800-000058060000}"/>
            </a:ext>
          </a:extLst>
        </xdr:cNvPr>
        <xdr:cNvCxnSpPr/>
      </xdr:nvCxnSpPr>
      <xdr:spPr>
        <a:xfrm flipH="1" flipV="1">
          <a:off x="6424501" y="1086273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25</xdr:row>
      <xdr:rowOff>127001</xdr:rowOff>
    </xdr:from>
    <xdr:to>
      <xdr:col>5</xdr:col>
      <xdr:colOff>1168400</xdr:colOff>
      <xdr:row>25</xdr:row>
      <xdr:rowOff>127001</xdr:rowOff>
    </xdr:to>
    <xdr:cxnSp macro="">
      <xdr:nvCxnSpPr>
        <xdr:cNvPr id="1625" name="Straight Connector 1624">
          <a:extLst>
            <a:ext uri="{FF2B5EF4-FFF2-40B4-BE49-F238E27FC236}">
              <a16:creationId xmlns:a16="http://schemas.microsoft.com/office/drawing/2014/main" id="{00000000-0008-0000-0800-000059060000}"/>
            </a:ext>
          </a:extLst>
        </xdr:cNvPr>
        <xdr:cNvCxnSpPr/>
      </xdr:nvCxnSpPr>
      <xdr:spPr>
        <a:xfrm flipH="1">
          <a:off x="6119708" y="1087120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25</xdr:row>
      <xdr:rowOff>1083733</xdr:rowOff>
    </xdr:from>
    <xdr:to>
      <xdr:col>5</xdr:col>
      <xdr:colOff>1169876</xdr:colOff>
      <xdr:row>25</xdr:row>
      <xdr:rowOff>1083733</xdr:rowOff>
    </xdr:to>
    <xdr:cxnSp macro="">
      <xdr:nvCxnSpPr>
        <xdr:cNvPr id="1626" name="Straight Connector 1625">
          <a:extLst>
            <a:ext uri="{FF2B5EF4-FFF2-40B4-BE49-F238E27FC236}">
              <a16:creationId xmlns:a16="http://schemas.microsoft.com/office/drawing/2014/main" id="{00000000-0008-0000-0800-00005A060000}"/>
            </a:ext>
          </a:extLst>
        </xdr:cNvPr>
        <xdr:cNvCxnSpPr/>
      </xdr:nvCxnSpPr>
      <xdr:spPr>
        <a:xfrm flipH="1">
          <a:off x="6111244" y="1182793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27</xdr:row>
      <xdr:rowOff>127001</xdr:rowOff>
    </xdr:from>
    <xdr:to>
      <xdr:col>5</xdr:col>
      <xdr:colOff>1168400</xdr:colOff>
      <xdr:row>27</xdr:row>
      <xdr:rowOff>127001</xdr:rowOff>
    </xdr:to>
    <xdr:cxnSp macro="">
      <xdr:nvCxnSpPr>
        <xdr:cNvPr id="1627" name="Straight Connector 1626">
          <a:extLst>
            <a:ext uri="{FF2B5EF4-FFF2-40B4-BE49-F238E27FC236}">
              <a16:creationId xmlns:a16="http://schemas.microsoft.com/office/drawing/2014/main" id="{00000000-0008-0000-0800-00005B060000}"/>
            </a:ext>
          </a:extLst>
        </xdr:cNvPr>
        <xdr:cNvCxnSpPr/>
      </xdr:nvCxnSpPr>
      <xdr:spPr>
        <a:xfrm flipH="1">
          <a:off x="6119708" y="1344676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27</xdr:row>
      <xdr:rowOff>1083733</xdr:rowOff>
    </xdr:from>
    <xdr:to>
      <xdr:col>5</xdr:col>
      <xdr:colOff>1169876</xdr:colOff>
      <xdr:row>27</xdr:row>
      <xdr:rowOff>1083733</xdr:rowOff>
    </xdr:to>
    <xdr:cxnSp macro="">
      <xdr:nvCxnSpPr>
        <xdr:cNvPr id="1628" name="Straight Connector 1627">
          <a:extLst>
            <a:ext uri="{FF2B5EF4-FFF2-40B4-BE49-F238E27FC236}">
              <a16:creationId xmlns:a16="http://schemas.microsoft.com/office/drawing/2014/main" id="{00000000-0008-0000-0800-00005C060000}"/>
            </a:ext>
          </a:extLst>
        </xdr:cNvPr>
        <xdr:cNvCxnSpPr/>
      </xdr:nvCxnSpPr>
      <xdr:spPr>
        <a:xfrm flipH="1">
          <a:off x="6111244" y="1440349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27</xdr:row>
      <xdr:rowOff>118533</xdr:rowOff>
    </xdr:from>
    <xdr:to>
      <xdr:col>5</xdr:col>
      <xdr:colOff>855134</xdr:colOff>
      <xdr:row>27</xdr:row>
      <xdr:rowOff>1066801</xdr:rowOff>
    </xdr:to>
    <xdr:cxnSp macro="">
      <xdr:nvCxnSpPr>
        <xdr:cNvPr id="1629" name="Straight Connector 1628">
          <a:extLst>
            <a:ext uri="{FF2B5EF4-FFF2-40B4-BE49-F238E27FC236}">
              <a16:creationId xmlns:a16="http://schemas.microsoft.com/office/drawing/2014/main" id="{00000000-0008-0000-0800-00005D060000}"/>
            </a:ext>
          </a:extLst>
        </xdr:cNvPr>
        <xdr:cNvCxnSpPr/>
      </xdr:nvCxnSpPr>
      <xdr:spPr>
        <a:xfrm flipH="1" flipV="1">
          <a:off x="6128173" y="1343829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27</xdr:row>
      <xdr:rowOff>127001</xdr:rowOff>
    </xdr:from>
    <xdr:to>
      <xdr:col>5</xdr:col>
      <xdr:colOff>1168400</xdr:colOff>
      <xdr:row>27</xdr:row>
      <xdr:rowOff>127001</xdr:rowOff>
    </xdr:to>
    <xdr:cxnSp macro="">
      <xdr:nvCxnSpPr>
        <xdr:cNvPr id="1630" name="Straight Connector 1629">
          <a:extLst>
            <a:ext uri="{FF2B5EF4-FFF2-40B4-BE49-F238E27FC236}">
              <a16:creationId xmlns:a16="http://schemas.microsoft.com/office/drawing/2014/main" id="{00000000-0008-0000-0800-00005E060000}"/>
            </a:ext>
          </a:extLst>
        </xdr:cNvPr>
        <xdr:cNvCxnSpPr/>
      </xdr:nvCxnSpPr>
      <xdr:spPr>
        <a:xfrm flipH="1">
          <a:off x="6119708" y="1344676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27</xdr:row>
      <xdr:rowOff>1083733</xdr:rowOff>
    </xdr:from>
    <xdr:to>
      <xdr:col>5</xdr:col>
      <xdr:colOff>1159935</xdr:colOff>
      <xdr:row>27</xdr:row>
      <xdr:rowOff>1083733</xdr:rowOff>
    </xdr:to>
    <xdr:cxnSp macro="">
      <xdr:nvCxnSpPr>
        <xdr:cNvPr id="1631" name="Straight Connector 1630">
          <a:extLst>
            <a:ext uri="{FF2B5EF4-FFF2-40B4-BE49-F238E27FC236}">
              <a16:creationId xmlns:a16="http://schemas.microsoft.com/office/drawing/2014/main" id="{00000000-0008-0000-0800-00005F060000}"/>
            </a:ext>
          </a:extLst>
        </xdr:cNvPr>
        <xdr:cNvCxnSpPr/>
      </xdr:nvCxnSpPr>
      <xdr:spPr>
        <a:xfrm flipH="1">
          <a:off x="6111243" y="1440349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44</xdr:row>
      <xdr:rowOff>400050</xdr:rowOff>
    </xdr:from>
    <xdr:to>
      <xdr:col>5</xdr:col>
      <xdr:colOff>1666875</xdr:colOff>
      <xdr:row>44</xdr:row>
      <xdr:rowOff>400050</xdr:rowOff>
    </xdr:to>
    <xdr:cxnSp macro="">
      <xdr:nvCxnSpPr>
        <xdr:cNvPr id="1632" name="Straight Connector 1631">
          <a:extLst>
            <a:ext uri="{FF2B5EF4-FFF2-40B4-BE49-F238E27FC236}">
              <a16:creationId xmlns:a16="http://schemas.microsoft.com/office/drawing/2014/main" id="{00000000-0008-0000-0800-000060060000}"/>
            </a:ext>
          </a:extLst>
        </xdr:cNvPr>
        <xdr:cNvCxnSpPr/>
      </xdr:nvCxnSpPr>
      <xdr:spPr>
        <a:xfrm>
          <a:off x="5625465" y="2425827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44</xdr:row>
      <xdr:rowOff>127000</xdr:rowOff>
    </xdr:from>
    <xdr:to>
      <xdr:col>5</xdr:col>
      <xdr:colOff>356810</xdr:colOff>
      <xdr:row>44</xdr:row>
      <xdr:rowOff>409912</xdr:rowOff>
    </xdr:to>
    <xdr:cxnSp macro="">
      <xdr:nvCxnSpPr>
        <xdr:cNvPr id="1633" name="Straight Connector 1632">
          <a:extLst>
            <a:ext uri="{FF2B5EF4-FFF2-40B4-BE49-F238E27FC236}">
              <a16:creationId xmlns:a16="http://schemas.microsoft.com/office/drawing/2014/main" id="{00000000-0008-0000-0800-000061060000}"/>
            </a:ext>
          </a:extLst>
        </xdr:cNvPr>
        <xdr:cNvCxnSpPr/>
      </xdr:nvCxnSpPr>
      <xdr:spPr>
        <a:xfrm flipH="1" flipV="1">
          <a:off x="5629849" y="2398522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44</xdr:row>
      <xdr:rowOff>125785</xdr:rowOff>
    </xdr:from>
    <xdr:to>
      <xdr:col>5</xdr:col>
      <xdr:colOff>1652211</xdr:colOff>
      <xdr:row>44</xdr:row>
      <xdr:rowOff>408697</xdr:rowOff>
    </xdr:to>
    <xdr:cxnSp macro="">
      <xdr:nvCxnSpPr>
        <xdr:cNvPr id="1634" name="Straight Connector 1633">
          <a:extLst>
            <a:ext uri="{FF2B5EF4-FFF2-40B4-BE49-F238E27FC236}">
              <a16:creationId xmlns:a16="http://schemas.microsoft.com/office/drawing/2014/main" id="{00000000-0008-0000-0800-000062060000}"/>
            </a:ext>
          </a:extLst>
        </xdr:cNvPr>
        <xdr:cNvCxnSpPr/>
      </xdr:nvCxnSpPr>
      <xdr:spPr>
        <a:xfrm flipH="1" flipV="1">
          <a:off x="6925250" y="23984005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45</xdr:row>
      <xdr:rowOff>400050</xdr:rowOff>
    </xdr:from>
    <xdr:to>
      <xdr:col>5</xdr:col>
      <xdr:colOff>1666875</xdr:colOff>
      <xdr:row>45</xdr:row>
      <xdr:rowOff>400050</xdr:rowOff>
    </xdr:to>
    <xdr:cxnSp macro="">
      <xdr:nvCxnSpPr>
        <xdr:cNvPr id="1635" name="Straight Connector 1634">
          <a:extLst>
            <a:ext uri="{FF2B5EF4-FFF2-40B4-BE49-F238E27FC236}">
              <a16:creationId xmlns:a16="http://schemas.microsoft.com/office/drawing/2014/main" id="{00000000-0008-0000-0800-000063060000}"/>
            </a:ext>
          </a:extLst>
        </xdr:cNvPr>
        <xdr:cNvCxnSpPr/>
      </xdr:nvCxnSpPr>
      <xdr:spPr>
        <a:xfrm>
          <a:off x="5625465" y="2481453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45</xdr:row>
      <xdr:rowOff>127000</xdr:rowOff>
    </xdr:from>
    <xdr:to>
      <xdr:col>5</xdr:col>
      <xdr:colOff>356810</xdr:colOff>
      <xdr:row>45</xdr:row>
      <xdr:rowOff>409912</xdr:rowOff>
    </xdr:to>
    <xdr:cxnSp macro="">
      <xdr:nvCxnSpPr>
        <xdr:cNvPr id="1636" name="Straight Connector 1635">
          <a:extLst>
            <a:ext uri="{FF2B5EF4-FFF2-40B4-BE49-F238E27FC236}">
              <a16:creationId xmlns:a16="http://schemas.microsoft.com/office/drawing/2014/main" id="{00000000-0008-0000-0800-000064060000}"/>
            </a:ext>
          </a:extLst>
        </xdr:cNvPr>
        <xdr:cNvCxnSpPr/>
      </xdr:nvCxnSpPr>
      <xdr:spPr>
        <a:xfrm flipH="1" flipV="1">
          <a:off x="5629849" y="2454148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45</xdr:row>
      <xdr:rowOff>125785</xdr:rowOff>
    </xdr:from>
    <xdr:to>
      <xdr:col>5</xdr:col>
      <xdr:colOff>1652211</xdr:colOff>
      <xdr:row>45</xdr:row>
      <xdr:rowOff>408697</xdr:rowOff>
    </xdr:to>
    <xdr:cxnSp macro="">
      <xdr:nvCxnSpPr>
        <xdr:cNvPr id="1637" name="Straight Connector 1636">
          <a:extLst>
            <a:ext uri="{FF2B5EF4-FFF2-40B4-BE49-F238E27FC236}">
              <a16:creationId xmlns:a16="http://schemas.microsoft.com/office/drawing/2014/main" id="{00000000-0008-0000-0800-000065060000}"/>
            </a:ext>
          </a:extLst>
        </xdr:cNvPr>
        <xdr:cNvCxnSpPr/>
      </xdr:nvCxnSpPr>
      <xdr:spPr>
        <a:xfrm flipH="1" flipV="1">
          <a:off x="6925250" y="24540265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17</xdr:row>
      <xdr:rowOff>127000</xdr:rowOff>
    </xdr:from>
    <xdr:to>
      <xdr:col>5</xdr:col>
      <xdr:colOff>356810</xdr:colOff>
      <xdr:row>17</xdr:row>
      <xdr:rowOff>409912</xdr:rowOff>
    </xdr:to>
    <xdr:cxnSp macro="">
      <xdr:nvCxnSpPr>
        <xdr:cNvPr id="1638" name="Straight Connector 1637">
          <a:extLst>
            <a:ext uri="{FF2B5EF4-FFF2-40B4-BE49-F238E27FC236}">
              <a16:creationId xmlns:a16="http://schemas.microsoft.com/office/drawing/2014/main" id="{00000000-0008-0000-0800-000066060000}"/>
            </a:ext>
          </a:extLst>
        </xdr:cNvPr>
        <xdr:cNvCxnSpPr/>
      </xdr:nvCxnSpPr>
      <xdr:spPr>
        <a:xfrm flipH="1" flipV="1">
          <a:off x="5629849" y="670306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17</xdr:row>
      <xdr:rowOff>125785</xdr:rowOff>
    </xdr:from>
    <xdr:to>
      <xdr:col>5</xdr:col>
      <xdr:colOff>1652211</xdr:colOff>
      <xdr:row>17</xdr:row>
      <xdr:rowOff>408697</xdr:rowOff>
    </xdr:to>
    <xdr:cxnSp macro="">
      <xdr:nvCxnSpPr>
        <xdr:cNvPr id="1639" name="Straight Connector 1638">
          <a:extLst>
            <a:ext uri="{FF2B5EF4-FFF2-40B4-BE49-F238E27FC236}">
              <a16:creationId xmlns:a16="http://schemas.microsoft.com/office/drawing/2014/main" id="{00000000-0008-0000-0800-000067060000}"/>
            </a:ext>
          </a:extLst>
        </xdr:cNvPr>
        <xdr:cNvCxnSpPr/>
      </xdr:nvCxnSpPr>
      <xdr:spPr>
        <a:xfrm flipH="1" flipV="1">
          <a:off x="6925250" y="6701845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46</xdr:row>
      <xdr:rowOff>137582</xdr:rowOff>
    </xdr:from>
    <xdr:to>
      <xdr:col>5</xdr:col>
      <xdr:colOff>1666875</xdr:colOff>
      <xdr:row>46</xdr:row>
      <xdr:rowOff>137582</xdr:rowOff>
    </xdr:to>
    <xdr:cxnSp macro="">
      <xdr:nvCxnSpPr>
        <xdr:cNvPr id="1640" name="Straight Connector 1639">
          <a:extLst>
            <a:ext uri="{FF2B5EF4-FFF2-40B4-BE49-F238E27FC236}">
              <a16:creationId xmlns:a16="http://schemas.microsoft.com/office/drawing/2014/main" id="{00000000-0008-0000-0800-000068060000}"/>
            </a:ext>
          </a:extLst>
        </xdr:cNvPr>
        <xdr:cNvCxnSpPr/>
      </xdr:nvCxnSpPr>
      <xdr:spPr>
        <a:xfrm>
          <a:off x="5625465" y="25108322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46</xdr:row>
      <xdr:rowOff>127000</xdr:rowOff>
    </xdr:from>
    <xdr:to>
      <xdr:col>5</xdr:col>
      <xdr:colOff>356810</xdr:colOff>
      <xdr:row>46</xdr:row>
      <xdr:rowOff>409912</xdr:rowOff>
    </xdr:to>
    <xdr:cxnSp macro="">
      <xdr:nvCxnSpPr>
        <xdr:cNvPr id="1641" name="Straight Connector 1640">
          <a:extLst>
            <a:ext uri="{FF2B5EF4-FFF2-40B4-BE49-F238E27FC236}">
              <a16:creationId xmlns:a16="http://schemas.microsoft.com/office/drawing/2014/main" id="{00000000-0008-0000-0800-000069060000}"/>
            </a:ext>
          </a:extLst>
        </xdr:cNvPr>
        <xdr:cNvCxnSpPr/>
      </xdr:nvCxnSpPr>
      <xdr:spPr>
        <a:xfrm flipH="1" flipV="1">
          <a:off x="5629849" y="2509774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46</xdr:row>
      <xdr:rowOff>134252</xdr:rowOff>
    </xdr:from>
    <xdr:to>
      <xdr:col>5</xdr:col>
      <xdr:colOff>1652211</xdr:colOff>
      <xdr:row>46</xdr:row>
      <xdr:rowOff>417164</xdr:rowOff>
    </xdr:to>
    <xdr:cxnSp macro="">
      <xdr:nvCxnSpPr>
        <xdr:cNvPr id="1642" name="Straight Connector 1641">
          <a:extLst>
            <a:ext uri="{FF2B5EF4-FFF2-40B4-BE49-F238E27FC236}">
              <a16:creationId xmlns:a16="http://schemas.microsoft.com/office/drawing/2014/main" id="{00000000-0008-0000-0800-00006A060000}"/>
            </a:ext>
          </a:extLst>
        </xdr:cNvPr>
        <xdr:cNvCxnSpPr/>
      </xdr:nvCxnSpPr>
      <xdr:spPr>
        <a:xfrm flipH="1" flipV="1">
          <a:off x="6925250" y="2510499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47</xdr:row>
      <xdr:rowOff>137582</xdr:rowOff>
    </xdr:from>
    <xdr:to>
      <xdr:col>5</xdr:col>
      <xdr:colOff>1666875</xdr:colOff>
      <xdr:row>47</xdr:row>
      <xdr:rowOff>137582</xdr:rowOff>
    </xdr:to>
    <xdr:cxnSp macro="">
      <xdr:nvCxnSpPr>
        <xdr:cNvPr id="1643" name="Straight Connector 1642">
          <a:extLst>
            <a:ext uri="{FF2B5EF4-FFF2-40B4-BE49-F238E27FC236}">
              <a16:creationId xmlns:a16="http://schemas.microsoft.com/office/drawing/2014/main" id="{00000000-0008-0000-0800-00006B060000}"/>
            </a:ext>
          </a:extLst>
        </xdr:cNvPr>
        <xdr:cNvCxnSpPr/>
      </xdr:nvCxnSpPr>
      <xdr:spPr>
        <a:xfrm>
          <a:off x="5625465" y="25664582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47</xdr:row>
      <xdr:rowOff>127000</xdr:rowOff>
    </xdr:from>
    <xdr:to>
      <xdr:col>5</xdr:col>
      <xdr:colOff>356810</xdr:colOff>
      <xdr:row>47</xdr:row>
      <xdr:rowOff>409912</xdr:rowOff>
    </xdr:to>
    <xdr:cxnSp macro="">
      <xdr:nvCxnSpPr>
        <xdr:cNvPr id="1644" name="Straight Connector 1643">
          <a:extLst>
            <a:ext uri="{FF2B5EF4-FFF2-40B4-BE49-F238E27FC236}">
              <a16:creationId xmlns:a16="http://schemas.microsoft.com/office/drawing/2014/main" id="{00000000-0008-0000-0800-00006C060000}"/>
            </a:ext>
          </a:extLst>
        </xdr:cNvPr>
        <xdr:cNvCxnSpPr/>
      </xdr:nvCxnSpPr>
      <xdr:spPr>
        <a:xfrm flipH="1" flipV="1">
          <a:off x="5629849" y="2565400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47</xdr:row>
      <xdr:rowOff>134252</xdr:rowOff>
    </xdr:from>
    <xdr:to>
      <xdr:col>5</xdr:col>
      <xdr:colOff>1652211</xdr:colOff>
      <xdr:row>47</xdr:row>
      <xdr:rowOff>417164</xdr:rowOff>
    </xdr:to>
    <xdr:cxnSp macro="">
      <xdr:nvCxnSpPr>
        <xdr:cNvPr id="1645" name="Straight Connector 1644">
          <a:extLst>
            <a:ext uri="{FF2B5EF4-FFF2-40B4-BE49-F238E27FC236}">
              <a16:creationId xmlns:a16="http://schemas.microsoft.com/office/drawing/2014/main" id="{00000000-0008-0000-0800-00006D060000}"/>
            </a:ext>
          </a:extLst>
        </xdr:cNvPr>
        <xdr:cNvCxnSpPr/>
      </xdr:nvCxnSpPr>
      <xdr:spPr>
        <a:xfrm flipH="1" flipV="1">
          <a:off x="6925250" y="2566125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44</xdr:row>
      <xdr:rowOff>127000</xdr:rowOff>
    </xdr:from>
    <xdr:to>
      <xdr:col>5</xdr:col>
      <xdr:colOff>356810</xdr:colOff>
      <xdr:row>44</xdr:row>
      <xdr:rowOff>409912</xdr:rowOff>
    </xdr:to>
    <xdr:cxnSp macro="">
      <xdr:nvCxnSpPr>
        <xdr:cNvPr id="1646" name="Straight Connector 1645">
          <a:extLst>
            <a:ext uri="{FF2B5EF4-FFF2-40B4-BE49-F238E27FC236}">
              <a16:creationId xmlns:a16="http://schemas.microsoft.com/office/drawing/2014/main" id="{00000000-0008-0000-0800-00006E060000}"/>
            </a:ext>
          </a:extLst>
        </xdr:cNvPr>
        <xdr:cNvCxnSpPr/>
      </xdr:nvCxnSpPr>
      <xdr:spPr>
        <a:xfrm flipH="1" flipV="1">
          <a:off x="5629849" y="2398522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44</xdr:row>
      <xdr:rowOff>134252</xdr:rowOff>
    </xdr:from>
    <xdr:to>
      <xdr:col>5</xdr:col>
      <xdr:colOff>1652211</xdr:colOff>
      <xdr:row>44</xdr:row>
      <xdr:rowOff>417164</xdr:rowOff>
    </xdr:to>
    <xdr:cxnSp macro="">
      <xdr:nvCxnSpPr>
        <xdr:cNvPr id="1647" name="Straight Connector 1646">
          <a:extLst>
            <a:ext uri="{FF2B5EF4-FFF2-40B4-BE49-F238E27FC236}">
              <a16:creationId xmlns:a16="http://schemas.microsoft.com/office/drawing/2014/main" id="{00000000-0008-0000-0800-00006F060000}"/>
            </a:ext>
          </a:extLst>
        </xdr:cNvPr>
        <xdr:cNvCxnSpPr/>
      </xdr:nvCxnSpPr>
      <xdr:spPr>
        <a:xfrm flipH="1" flipV="1">
          <a:off x="6925250" y="2399247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50</xdr:row>
      <xdr:rowOff>400050</xdr:rowOff>
    </xdr:from>
    <xdr:to>
      <xdr:col>5</xdr:col>
      <xdr:colOff>1666875</xdr:colOff>
      <xdr:row>50</xdr:row>
      <xdr:rowOff>400050</xdr:rowOff>
    </xdr:to>
    <xdr:cxnSp macro="">
      <xdr:nvCxnSpPr>
        <xdr:cNvPr id="1648" name="Straight Connector 1647">
          <a:extLst>
            <a:ext uri="{FF2B5EF4-FFF2-40B4-BE49-F238E27FC236}">
              <a16:creationId xmlns:a16="http://schemas.microsoft.com/office/drawing/2014/main" id="{00000000-0008-0000-0800-000070060000}"/>
            </a:ext>
          </a:extLst>
        </xdr:cNvPr>
        <xdr:cNvCxnSpPr/>
      </xdr:nvCxnSpPr>
      <xdr:spPr>
        <a:xfrm>
          <a:off x="5625465" y="2694051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50</xdr:row>
      <xdr:rowOff>127000</xdr:rowOff>
    </xdr:from>
    <xdr:to>
      <xdr:col>5</xdr:col>
      <xdr:colOff>356810</xdr:colOff>
      <xdr:row>50</xdr:row>
      <xdr:rowOff>409912</xdr:rowOff>
    </xdr:to>
    <xdr:cxnSp macro="">
      <xdr:nvCxnSpPr>
        <xdr:cNvPr id="1649" name="Straight Connector 1648">
          <a:extLst>
            <a:ext uri="{FF2B5EF4-FFF2-40B4-BE49-F238E27FC236}">
              <a16:creationId xmlns:a16="http://schemas.microsoft.com/office/drawing/2014/main" id="{00000000-0008-0000-0800-000071060000}"/>
            </a:ext>
          </a:extLst>
        </xdr:cNvPr>
        <xdr:cNvCxnSpPr/>
      </xdr:nvCxnSpPr>
      <xdr:spPr>
        <a:xfrm flipH="1" flipV="1">
          <a:off x="5629849" y="2666746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50</xdr:row>
      <xdr:rowOff>125785</xdr:rowOff>
    </xdr:from>
    <xdr:to>
      <xdr:col>5</xdr:col>
      <xdr:colOff>1652211</xdr:colOff>
      <xdr:row>50</xdr:row>
      <xdr:rowOff>408697</xdr:rowOff>
    </xdr:to>
    <xdr:cxnSp macro="">
      <xdr:nvCxnSpPr>
        <xdr:cNvPr id="1650" name="Straight Connector 1649">
          <a:extLst>
            <a:ext uri="{FF2B5EF4-FFF2-40B4-BE49-F238E27FC236}">
              <a16:creationId xmlns:a16="http://schemas.microsoft.com/office/drawing/2014/main" id="{00000000-0008-0000-0800-000072060000}"/>
            </a:ext>
          </a:extLst>
        </xdr:cNvPr>
        <xdr:cNvCxnSpPr/>
      </xdr:nvCxnSpPr>
      <xdr:spPr>
        <a:xfrm flipH="1" flipV="1">
          <a:off x="6925250" y="26666245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50</xdr:row>
      <xdr:rowOff>127000</xdr:rowOff>
    </xdr:from>
    <xdr:to>
      <xdr:col>5</xdr:col>
      <xdr:colOff>356810</xdr:colOff>
      <xdr:row>50</xdr:row>
      <xdr:rowOff>409912</xdr:rowOff>
    </xdr:to>
    <xdr:cxnSp macro="">
      <xdr:nvCxnSpPr>
        <xdr:cNvPr id="1651" name="Straight Connector 1650">
          <a:extLst>
            <a:ext uri="{FF2B5EF4-FFF2-40B4-BE49-F238E27FC236}">
              <a16:creationId xmlns:a16="http://schemas.microsoft.com/office/drawing/2014/main" id="{00000000-0008-0000-0800-000073060000}"/>
            </a:ext>
          </a:extLst>
        </xdr:cNvPr>
        <xdr:cNvCxnSpPr/>
      </xdr:nvCxnSpPr>
      <xdr:spPr>
        <a:xfrm flipH="1" flipV="1">
          <a:off x="5629849" y="2666746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50</xdr:row>
      <xdr:rowOff>134252</xdr:rowOff>
    </xdr:from>
    <xdr:to>
      <xdr:col>5</xdr:col>
      <xdr:colOff>1652211</xdr:colOff>
      <xdr:row>50</xdr:row>
      <xdr:rowOff>417164</xdr:rowOff>
    </xdr:to>
    <xdr:cxnSp macro="">
      <xdr:nvCxnSpPr>
        <xdr:cNvPr id="1652" name="Straight Connector 1651">
          <a:extLst>
            <a:ext uri="{FF2B5EF4-FFF2-40B4-BE49-F238E27FC236}">
              <a16:creationId xmlns:a16="http://schemas.microsoft.com/office/drawing/2014/main" id="{00000000-0008-0000-0800-000074060000}"/>
            </a:ext>
          </a:extLst>
        </xdr:cNvPr>
        <xdr:cNvCxnSpPr/>
      </xdr:nvCxnSpPr>
      <xdr:spPr>
        <a:xfrm flipH="1" flipV="1">
          <a:off x="6925250" y="2667471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51</xdr:row>
      <xdr:rowOff>400050</xdr:rowOff>
    </xdr:from>
    <xdr:to>
      <xdr:col>5</xdr:col>
      <xdr:colOff>1666875</xdr:colOff>
      <xdr:row>51</xdr:row>
      <xdr:rowOff>400050</xdr:rowOff>
    </xdr:to>
    <xdr:cxnSp macro="">
      <xdr:nvCxnSpPr>
        <xdr:cNvPr id="1653" name="Straight Connector 1652">
          <a:extLst>
            <a:ext uri="{FF2B5EF4-FFF2-40B4-BE49-F238E27FC236}">
              <a16:creationId xmlns:a16="http://schemas.microsoft.com/office/drawing/2014/main" id="{00000000-0008-0000-0800-000075060000}"/>
            </a:ext>
          </a:extLst>
        </xdr:cNvPr>
        <xdr:cNvCxnSpPr/>
      </xdr:nvCxnSpPr>
      <xdr:spPr>
        <a:xfrm>
          <a:off x="5625465" y="27496770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51</xdr:row>
      <xdr:rowOff>127000</xdr:rowOff>
    </xdr:from>
    <xdr:to>
      <xdr:col>5</xdr:col>
      <xdr:colOff>356810</xdr:colOff>
      <xdr:row>51</xdr:row>
      <xdr:rowOff>409912</xdr:rowOff>
    </xdr:to>
    <xdr:cxnSp macro="">
      <xdr:nvCxnSpPr>
        <xdr:cNvPr id="1654" name="Straight Connector 1653">
          <a:extLst>
            <a:ext uri="{FF2B5EF4-FFF2-40B4-BE49-F238E27FC236}">
              <a16:creationId xmlns:a16="http://schemas.microsoft.com/office/drawing/2014/main" id="{00000000-0008-0000-0800-000076060000}"/>
            </a:ext>
          </a:extLst>
        </xdr:cNvPr>
        <xdr:cNvCxnSpPr/>
      </xdr:nvCxnSpPr>
      <xdr:spPr>
        <a:xfrm flipH="1" flipV="1">
          <a:off x="5629849" y="2722372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51</xdr:row>
      <xdr:rowOff>125785</xdr:rowOff>
    </xdr:from>
    <xdr:to>
      <xdr:col>5</xdr:col>
      <xdr:colOff>1652211</xdr:colOff>
      <xdr:row>51</xdr:row>
      <xdr:rowOff>408697</xdr:rowOff>
    </xdr:to>
    <xdr:cxnSp macro="">
      <xdr:nvCxnSpPr>
        <xdr:cNvPr id="1655" name="Straight Connector 1654">
          <a:extLst>
            <a:ext uri="{FF2B5EF4-FFF2-40B4-BE49-F238E27FC236}">
              <a16:creationId xmlns:a16="http://schemas.microsoft.com/office/drawing/2014/main" id="{00000000-0008-0000-0800-000077060000}"/>
            </a:ext>
          </a:extLst>
        </xdr:cNvPr>
        <xdr:cNvCxnSpPr/>
      </xdr:nvCxnSpPr>
      <xdr:spPr>
        <a:xfrm flipH="1" flipV="1">
          <a:off x="6925250" y="27222505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51</xdr:row>
      <xdr:rowOff>127000</xdr:rowOff>
    </xdr:from>
    <xdr:to>
      <xdr:col>5</xdr:col>
      <xdr:colOff>356810</xdr:colOff>
      <xdr:row>51</xdr:row>
      <xdr:rowOff>409912</xdr:rowOff>
    </xdr:to>
    <xdr:cxnSp macro="">
      <xdr:nvCxnSpPr>
        <xdr:cNvPr id="1656" name="Straight Connector 1655">
          <a:extLst>
            <a:ext uri="{FF2B5EF4-FFF2-40B4-BE49-F238E27FC236}">
              <a16:creationId xmlns:a16="http://schemas.microsoft.com/office/drawing/2014/main" id="{00000000-0008-0000-0800-000078060000}"/>
            </a:ext>
          </a:extLst>
        </xdr:cNvPr>
        <xdr:cNvCxnSpPr/>
      </xdr:nvCxnSpPr>
      <xdr:spPr>
        <a:xfrm flipH="1" flipV="1">
          <a:off x="5629849" y="2722372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51</xdr:row>
      <xdr:rowOff>134252</xdr:rowOff>
    </xdr:from>
    <xdr:to>
      <xdr:col>5</xdr:col>
      <xdr:colOff>1652211</xdr:colOff>
      <xdr:row>51</xdr:row>
      <xdr:rowOff>417164</xdr:rowOff>
    </xdr:to>
    <xdr:cxnSp macro="">
      <xdr:nvCxnSpPr>
        <xdr:cNvPr id="1657" name="Straight Connector 1656">
          <a:extLst>
            <a:ext uri="{FF2B5EF4-FFF2-40B4-BE49-F238E27FC236}">
              <a16:creationId xmlns:a16="http://schemas.microsoft.com/office/drawing/2014/main" id="{00000000-0008-0000-0800-000079060000}"/>
            </a:ext>
          </a:extLst>
        </xdr:cNvPr>
        <xdr:cNvCxnSpPr/>
      </xdr:nvCxnSpPr>
      <xdr:spPr>
        <a:xfrm flipH="1" flipV="1">
          <a:off x="6925250" y="2723097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52</xdr:row>
      <xdr:rowOff>137582</xdr:rowOff>
    </xdr:from>
    <xdr:to>
      <xdr:col>5</xdr:col>
      <xdr:colOff>1666875</xdr:colOff>
      <xdr:row>52</xdr:row>
      <xdr:rowOff>137582</xdr:rowOff>
    </xdr:to>
    <xdr:cxnSp macro="">
      <xdr:nvCxnSpPr>
        <xdr:cNvPr id="1658" name="Straight Connector 1657">
          <a:extLst>
            <a:ext uri="{FF2B5EF4-FFF2-40B4-BE49-F238E27FC236}">
              <a16:creationId xmlns:a16="http://schemas.microsoft.com/office/drawing/2014/main" id="{00000000-0008-0000-0800-00007A060000}"/>
            </a:ext>
          </a:extLst>
        </xdr:cNvPr>
        <xdr:cNvCxnSpPr/>
      </xdr:nvCxnSpPr>
      <xdr:spPr>
        <a:xfrm>
          <a:off x="5625465" y="27790562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356809</xdr:colOff>
      <xdr:row>52</xdr:row>
      <xdr:rowOff>127000</xdr:rowOff>
    </xdr:from>
    <xdr:to>
      <xdr:col>5</xdr:col>
      <xdr:colOff>356810</xdr:colOff>
      <xdr:row>52</xdr:row>
      <xdr:rowOff>409912</xdr:rowOff>
    </xdr:to>
    <xdr:cxnSp macro="">
      <xdr:nvCxnSpPr>
        <xdr:cNvPr id="1659" name="Straight Connector 1658">
          <a:extLst>
            <a:ext uri="{FF2B5EF4-FFF2-40B4-BE49-F238E27FC236}">
              <a16:creationId xmlns:a16="http://schemas.microsoft.com/office/drawing/2014/main" id="{00000000-0008-0000-0800-00007B060000}"/>
            </a:ext>
          </a:extLst>
        </xdr:cNvPr>
        <xdr:cNvCxnSpPr/>
      </xdr:nvCxnSpPr>
      <xdr:spPr>
        <a:xfrm flipH="1" flipV="1">
          <a:off x="5629849" y="27779980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1652210</xdr:colOff>
      <xdr:row>52</xdr:row>
      <xdr:rowOff>134252</xdr:rowOff>
    </xdr:from>
    <xdr:to>
      <xdr:col>5</xdr:col>
      <xdr:colOff>1652211</xdr:colOff>
      <xdr:row>52</xdr:row>
      <xdr:rowOff>417164</xdr:rowOff>
    </xdr:to>
    <xdr:cxnSp macro="">
      <xdr:nvCxnSpPr>
        <xdr:cNvPr id="1660" name="Straight Connector 1659">
          <a:extLst>
            <a:ext uri="{FF2B5EF4-FFF2-40B4-BE49-F238E27FC236}">
              <a16:creationId xmlns:a16="http://schemas.microsoft.com/office/drawing/2014/main" id="{00000000-0008-0000-0800-00007C060000}"/>
            </a:ext>
          </a:extLst>
        </xdr:cNvPr>
        <xdr:cNvCxnSpPr/>
      </xdr:nvCxnSpPr>
      <xdr:spPr>
        <a:xfrm flipH="1" flipV="1">
          <a:off x="6925250" y="27787232"/>
          <a:ext cx="1" cy="28291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56</xdr:row>
      <xdr:rowOff>127001</xdr:rowOff>
    </xdr:from>
    <xdr:to>
      <xdr:col>5</xdr:col>
      <xdr:colOff>1168400</xdr:colOff>
      <xdr:row>56</xdr:row>
      <xdr:rowOff>127001</xdr:rowOff>
    </xdr:to>
    <xdr:cxnSp macro="">
      <xdr:nvCxnSpPr>
        <xdr:cNvPr id="1661" name="Straight Connector 1660">
          <a:extLst>
            <a:ext uri="{FF2B5EF4-FFF2-40B4-BE49-F238E27FC236}">
              <a16:creationId xmlns:a16="http://schemas.microsoft.com/office/drawing/2014/main" id="{00000000-0008-0000-0800-00007D060000}"/>
            </a:ext>
          </a:extLst>
        </xdr:cNvPr>
        <xdr:cNvCxnSpPr/>
      </xdr:nvCxnSpPr>
      <xdr:spPr>
        <a:xfrm flipH="1">
          <a:off x="6119708" y="2931922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56</xdr:row>
      <xdr:rowOff>1083733</xdr:rowOff>
    </xdr:from>
    <xdr:to>
      <xdr:col>5</xdr:col>
      <xdr:colOff>1159935</xdr:colOff>
      <xdr:row>56</xdr:row>
      <xdr:rowOff>1083733</xdr:rowOff>
    </xdr:to>
    <xdr:cxnSp macro="">
      <xdr:nvCxnSpPr>
        <xdr:cNvPr id="1662" name="Straight Connector 1661">
          <a:extLst>
            <a:ext uri="{FF2B5EF4-FFF2-40B4-BE49-F238E27FC236}">
              <a16:creationId xmlns:a16="http://schemas.microsoft.com/office/drawing/2014/main" id="{00000000-0008-0000-0800-00007E060000}"/>
            </a:ext>
          </a:extLst>
        </xdr:cNvPr>
        <xdr:cNvCxnSpPr/>
      </xdr:nvCxnSpPr>
      <xdr:spPr>
        <a:xfrm flipH="1">
          <a:off x="6111243" y="3027595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56</xdr:row>
      <xdr:rowOff>118533</xdr:rowOff>
    </xdr:from>
    <xdr:to>
      <xdr:col>5</xdr:col>
      <xdr:colOff>1151462</xdr:colOff>
      <xdr:row>56</xdr:row>
      <xdr:rowOff>1066801</xdr:rowOff>
    </xdr:to>
    <xdr:cxnSp macro="">
      <xdr:nvCxnSpPr>
        <xdr:cNvPr id="1663" name="Straight Connector 1662">
          <a:extLst>
            <a:ext uri="{FF2B5EF4-FFF2-40B4-BE49-F238E27FC236}">
              <a16:creationId xmlns:a16="http://schemas.microsoft.com/office/drawing/2014/main" id="{00000000-0008-0000-0800-00007F060000}"/>
            </a:ext>
          </a:extLst>
        </xdr:cNvPr>
        <xdr:cNvCxnSpPr/>
      </xdr:nvCxnSpPr>
      <xdr:spPr>
        <a:xfrm flipH="1" flipV="1">
          <a:off x="6424501" y="2931075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56</xdr:row>
      <xdr:rowOff>127001</xdr:rowOff>
    </xdr:from>
    <xdr:to>
      <xdr:col>5</xdr:col>
      <xdr:colOff>1168400</xdr:colOff>
      <xdr:row>56</xdr:row>
      <xdr:rowOff>127001</xdr:rowOff>
    </xdr:to>
    <xdr:cxnSp macro="">
      <xdr:nvCxnSpPr>
        <xdr:cNvPr id="1664" name="Straight Connector 1663">
          <a:extLst>
            <a:ext uri="{FF2B5EF4-FFF2-40B4-BE49-F238E27FC236}">
              <a16:creationId xmlns:a16="http://schemas.microsoft.com/office/drawing/2014/main" id="{00000000-0008-0000-0800-000080060000}"/>
            </a:ext>
          </a:extLst>
        </xdr:cNvPr>
        <xdr:cNvCxnSpPr/>
      </xdr:nvCxnSpPr>
      <xdr:spPr>
        <a:xfrm flipH="1">
          <a:off x="6119708" y="2931922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56</xdr:row>
      <xdr:rowOff>1083733</xdr:rowOff>
    </xdr:from>
    <xdr:to>
      <xdr:col>5</xdr:col>
      <xdr:colOff>1169876</xdr:colOff>
      <xdr:row>56</xdr:row>
      <xdr:rowOff>1083733</xdr:rowOff>
    </xdr:to>
    <xdr:cxnSp macro="">
      <xdr:nvCxnSpPr>
        <xdr:cNvPr id="1665" name="Straight Connector 1664">
          <a:extLst>
            <a:ext uri="{FF2B5EF4-FFF2-40B4-BE49-F238E27FC236}">
              <a16:creationId xmlns:a16="http://schemas.microsoft.com/office/drawing/2014/main" id="{00000000-0008-0000-0800-000081060000}"/>
            </a:ext>
          </a:extLst>
        </xdr:cNvPr>
        <xdr:cNvCxnSpPr/>
      </xdr:nvCxnSpPr>
      <xdr:spPr>
        <a:xfrm flipH="1">
          <a:off x="6111244" y="3027595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57</xdr:row>
      <xdr:rowOff>127001</xdr:rowOff>
    </xdr:from>
    <xdr:to>
      <xdr:col>5</xdr:col>
      <xdr:colOff>1168400</xdr:colOff>
      <xdr:row>57</xdr:row>
      <xdr:rowOff>127001</xdr:rowOff>
    </xdr:to>
    <xdr:cxnSp macro="">
      <xdr:nvCxnSpPr>
        <xdr:cNvPr id="1666" name="Straight Connector 1665">
          <a:extLst>
            <a:ext uri="{FF2B5EF4-FFF2-40B4-BE49-F238E27FC236}">
              <a16:creationId xmlns:a16="http://schemas.microsoft.com/office/drawing/2014/main" id="{00000000-0008-0000-0800-000082060000}"/>
            </a:ext>
          </a:extLst>
        </xdr:cNvPr>
        <xdr:cNvCxnSpPr/>
      </xdr:nvCxnSpPr>
      <xdr:spPr>
        <a:xfrm flipH="1">
          <a:off x="6119708" y="3060700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57</xdr:row>
      <xdr:rowOff>1083733</xdr:rowOff>
    </xdr:from>
    <xdr:to>
      <xdr:col>5</xdr:col>
      <xdr:colOff>1159935</xdr:colOff>
      <xdr:row>57</xdr:row>
      <xdr:rowOff>1083733</xdr:rowOff>
    </xdr:to>
    <xdr:cxnSp macro="">
      <xdr:nvCxnSpPr>
        <xdr:cNvPr id="1667" name="Straight Connector 1666">
          <a:extLst>
            <a:ext uri="{FF2B5EF4-FFF2-40B4-BE49-F238E27FC236}">
              <a16:creationId xmlns:a16="http://schemas.microsoft.com/office/drawing/2014/main" id="{00000000-0008-0000-0800-000083060000}"/>
            </a:ext>
          </a:extLst>
        </xdr:cNvPr>
        <xdr:cNvCxnSpPr/>
      </xdr:nvCxnSpPr>
      <xdr:spPr>
        <a:xfrm flipH="1">
          <a:off x="6111243" y="3156373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57</xdr:row>
      <xdr:rowOff>118533</xdr:rowOff>
    </xdr:from>
    <xdr:to>
      <xdr:col>5</xdr:col>
      <xdr:colOff>1151462</xdr:colOff>
      <xdr:row>57</xdr:row>
      <xdr:rowOff>1066801</xdr:rowOff>
    </xdr:to>
    <xdr:cxnSp macro="">
      <xdr:nvCxnSpPr>
        <xdr:cNvPr id="1668" name="Straight Connector 1667">
          <a:extLst>
            <a:ext uri="{FF2B5EF4-FFF2-40B4-BE49-F238E27FC236}">
              <a16:creationId xmlns:a16="http://schemas.microsoft.com/office/drawing/2014/main" id="{00000000-0008-0000-0800-000084060000}"/>
            </a:ext>
          </a:extLst>
        </xdr:cNvPr>
        <xdr:cNvCxnSpPr/>
      </xdr:nvCxnSpPr>
      <xdr:spPr>
        <a:xfrm flipH="1" flipV="1">
          <a:off x="6424501" y="3059853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57</xdr:row>
      <xdr:rowOff>127001</xdr:rowOff>
    </xdr:from>
    <xdr:to>
      <xdr:col>5</xdr:col>
      <xdr:colOff>1168400</xdr:colOff>
      <xdr:row>57</xdr:row>
      <xdr:rowOff>127001</xdr:rowOff>
    </xdr:to>
    <xdr:cxnSp macro="">
      <xdr:nvCxnSpPr>
        <xdr:cNvPr id="1669" name="Straight Connector 1668">
          <a:extLst>
            <a:ext uri="{FF2B5EF4-FFF2-40B4-BE49-F238E27FC236}">
              <a16:creationId xmlns:a16="http://schemas.microsoft.com/office/drawing/2014/main" id="{00000000-0008-0000-0800-000085060000}"/>
            </a:ext>
          </a:extLst>
        </xdr:cNvPr>
        <xdr:cNvCxnSpPr/>
      </xdr:nvCxnSpPr>
      <xdr:spPr>
        <a:xfrm flipH="1">
          <a:off x="6119708" y="3060700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57</xdr:row>
      <xdr:rowOff>1083733</xdr:rowOff>
    </xdr:from>
    <xdr:to>
      <xdr:col>5</xdr:col>
      <xdr:colOff>1169876</xdr:colOff>
      <xdr:row>57</xdr:row>
      <xdr:rowOff>1083733</xdr:rowOff>
    </xdr:to>
    <xdr:cxnSp macro="">
      <xdr:nvCxnSpPr>
        <xdr:cNvPr id="1670" name="Straight Connector 1669">
          <a:extLst>
            <a:ext uri="{FF2B5EF4-FFF2-40B4-BE49-F238E27FC236}">
              <a16:creationId xmlns:a16="http://schemas.microsoft.com/office/drawing/2014/main" id="{00000000-0008-0000-0800-000086060000}"/>
            </a:ext>
          </a:extLst>
        </xdr:cNvPr>
        <xdr:cNvCxnSpPr/>
      </xdr:nvCxnSpPr>
      <xdr:spPr>
        <a:xfrm flipH="1">
          <a:off x="6111244" y="3156373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58</xdr:row>
      <xdr:rowOff>127001</xdr:rowOff>
    </xdr:from>
    <xdr:to>
      <xdr:col>5</xdr:col>
      <xdr:colOff>1168400</xdr:colOff>
      <xdr:row>58</xdr:row>
      <xdr:rowOff>127001</xdr:rowOff>
    </xdr:to>
    <xdr:cxnSp macro="">
      <xdr:nvCxnSpPr>
        <xdr:cNvPr id="1671" name="Straight Connector 1670">
          <a:extLst>
            <a:ext uri="{FF2B5EF4-FFF2-40B4-BE49-F238E27FC236}">
              <a16:creationId xmlns:a16="http://schemas.microsoft.com/office/drawing/2014/main" id="{00000000-0008-0000-0800-000087060000}"/>
            </a:ext>
          </a:extLst>
        </xdr:cNvPr>
        <xdr:cNvCxnSpPr/>
      </xdr:nvCxnSpPr>
      <xdr:spPr>
        <a:xfrm flipH="1">
          <a:off x="6119708" y="3189478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58</xdr:row>
      <xdr:rowOff>1083733</xdr:rowOff>
    </xdr:from>
    <xdr:to>
      <xdr:col>5</xdr:col>
      <xdr:colOff>1169876</xdr:colOff>
      <xdr:row>58</xdr:row>
      <xdr:rowOff>1083733</xdr:rowOff>
    </xdr:to>
    <xdr:cxnSp macro="">
      <xdr:nvCxnSpPr>
        <xdr:cNvPr id="1672" name="Straight Connector 1671">
          <a:extLst>
            <a:ext uri="{FF2B5EF4-FFF2-40B4-BE49-F238E27FC236}">
              <a16:creationId xmlns:a16="http://schemas.microsoft.com/office/drawing/2014/main" id="{00000000-0008-0000-0800-000088060000}"/>
            </a:ext>
          </a:extLst>
        </xdr:cNvPr>
        <xdr:cNvCxnSpPr/>
      </xdr:nvCxnSpPr>
      <xdr:spPr>
        <a:xfrm flipH="1">
          <a:off x="6111244" y="3285151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58</xdr:row>
      <xdr:rowOff>118533</xdr:rowOff>
    </xdr:from>
    <xdr:to>
      <xdr:col>5</xdr:col>
      <xdr:colOff>855134</xdr:colOff>
      <xdr:row>58</xdr:row>
      <xdr:rowOff>1066801</xdr:rowOff>
    </xdr:to>
    <xdr:cxnSp macro="">
      <xdr:nvCxnSpPr>
        <xdr:cNvPr id="1673" name="Straight Connector 1672">
          <a:extLst>
            <a:ext uri="{FF2B5EF4-FFF2-40B4-BE49-F238E27FC236}">
              <a16:creationId xmlns:a16="http://schemas.microsoft.com/office/drawing/2014/main" id="{00000000-0008-0000-0800-000089060000}"/>
            </a:ext>
          </a:extLst>
        </xdr:cNvPr>
        <xdr:cNvCxnSpPr/>
      </xdr:nvCxnSpPr>
      <xdr:spPr>
        <a:xfrm flipH="1" flipV="1">
          <a:off x="6128173" y="3188631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58</xdr:row>
      <xdr:rowOff>127001</xdr:rowOff>
    </xdr:from>
    <xdr:to>
      <xdr:col>5</xdr:col>
      <xdr:colOff>1168400</xdr:colOff>
      <xdr:row>58</xdr:row>
      <xdr:rowOff>127001</xdr:rowOff>
    </xdr:to>
    <xdr:cxnSp macro="">
      <xdr:nvCxnSpPr>
        <xdr:cNvPr id="1674" name="Straight Connector 1673">
          <a:extLst>
            <a:ext uri="{FF2B5EF4-FFF2-40B4-BE49-F238E27FC236}">
              <a16:creationId xmlns:a16="http://schemas.microsoft.com/office/drawing/2014/main" id="{00000000-0008-0000-0800-00008A060000}"/>
            </a:ext>
          </a:extLst>
        </xdr:cNvPr>
        <xdr:cNvCxnSpPr/>
      </xdr:nvCxnSpPr>
      <xdr:spPr>
        <a:xfrm flipH="1">
          <a:off x="6119708" y="3189478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58</xdr:row>
      <xdr:rowOff>1083733</xdr:rowOff>
    </xdr:from>
    <xdr:to>
      <xdr:col>5</xdr:col>
      <xdr:colOff>1159935</xdr:colOff>
      <xdr:row>58</xdr:row>
      <xdr:rowOff>1083733</xdr:rowOff>
    </xdr:to>
    <xdr:cxnSp macro="">
      <xdr:nvCxnSpPr>
        <xdr:cNvPr id="1675" name="Straight Connector 1674">
          <a:extLst>
            <a:ext uri="{FF2B5EF4-FFF2-40B4-BE49-F238E27FC236}">
              <a16:creationId xmlns:a16="http://schemas.microsoft.com/office/drawing/2014/main" id="{00000000-0008-0000-0800-00008B060000}"/>
            </a:ext>
          </a:extLst>
        </xdr:cNvPr>
        <xdr:cNvCxnSpPr/>
      </xdr:nvCxnSpPr>
      <xdr:spPr>
        <a:xfrm flipH="1">
          <a:off x="6111243" y="3285151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59</xdr:row>
      <xdr:rowOff>127001</xdr:rowOff>
    </xdr:from>
    <xdr:to>
      <xdr:col>5</xdr:col>
      <xdr:colOff>1168400</xdr:colOff>
      <xdr:row>59</xdr:row>
      <xdr:rowOff>127001</xdr:rowOff>
    </xdr:to>
    <xdr:cxnSp macro="">
      <xdr:nvCxnSpPr>
        <xdr:cNvPr id="1676" name="Straight Connector 1675">
          <a:extLst>
            <a:ext uri="{FF2B5EF4-FFF2-40B4-BE49-F238E27FC236}">
              <a16:creationId xmlns:a16="http://schemas.microsoft.com/office/drawing/2014/main" id="{00000000-0008-0000-0800-00008C060000}"/>
            </a:ext>
          </a:extLst>
        </xdr:cNvPr>
        <xdr:cNvCxnSpPr/>
      </xdr:nvCxnSpPr>
      <xdr:spPr>
        <a:xfrm flipH="1">
          <a:off x="6119708" y="3318256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59</xdr:row>
      <xdr:rowOff>1083733</xdr:rowOff>
    </xdr:from>
    <xdr:to>
      <xdr:col>5</xdr:col>
      <xdr:colOff>1169876</xdr:colOff>
      <xdr:row>59</xdr:row>
      <xdr:rowOff>1083733</xdr:rowOff>
    </xdr:to>
    <xdr:cxnSp macro="">
      <xdr:nvCxnSpPr>
        <xdr:cNvPr id="1677" name="Straight Connector 1676">
          <a:extLst>
            <a:ext uri="{FF2B5EF4-FFF2-40B4-BE49-F238E27FC236}">
              <a16:creationId xmlns:a16="http://schemas.microsoft.com/office/drawing/2014/main" id="{00000000-0008-0000-0800-00008D060000}"/>
            </a:ext>
          </a:extLst>
        </xdr:cNvPr>
        <xdr:cNvCxnSpPr/>
      </xdr:nvCxnSpPr>
      <xdr:spPr>
        <a:xfrm flipH="1">
          <a:off x="6111244" y="3413929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59</xdr:row>
      <xdr:rowOff>118533</xdr:rowOff>
    </xdr:from>
    <xdr:to>
      <xdr:col>5</xdr:col>
      <xdr:colOff>855134</xdr:colOff>
      <xdr:row>59</xdr:row>
      <xdr:rowOff>1066801</xdr:rowOff>
    </xdr:to>
    <xdr:cxnSp macro="">
      <xdr:nvCxnSpPr>
        <xdr:cNvPr id="1678" name="Straight Connector 1677">
          <a:extLst>
            <a:ext uri="{FF2B5EF4-FFF2-40B4-BE49-F238E27FC236}">
              <a16:creationId xmlns:a16="http://schemas.microsoft.com/office/drawing/2014/main" id="{00000000-0008-0000-0800-00008E060000}"/>
            </a:ext>
          </a:extLst>
        </xdr:cNvPr>
        <xdr:cNvCxnSpPr/>
      </xdr:nvCxnSpPr>
      <xdr:spPr>
        <a:xfrm flipH="1" flipV="1">
          <a:off x="6128173" y="3317409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59</xdr:row>
      <xdr:rowOff>127001</xdr:rowOff>
    </xdr:from>
    <xdr:to>
      <xdr:col>5</xdr:col>
      <xdr:colOff>1168400</xdr:colOff>
      <xdr:row>59</xdr:row>
      <xdr:rowOff>127001</xdr:rowOff>
    </xdr:to>
    <xdr:cxnSp macro="">
      <xdr:nvCxnSpPr>
        <xdr:cNvPr id="1679" name="Straight Connector 1678">
          <a:extLst>
            <a:ext uri="{FF2B5EF4-FFF2-40B4-BE49-F238E27FC236}">
              <a16:creationId xmlns:a16="http://schemas.microsoft.com/office/drawing/2014/main" id="{00000000-0008-0000-0800-00008F060000}"/>
            </a:ext>
          </a:extLst>
        </xdr:cNvPr>
        <xdr:cNvCxnSpPr/>
      </xdr:nvCxnSpPr>
      <xdr:spPr>
        <a:xfrm flipH="1">
          <a:off x="6119708" y="3318256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59</xdr:row>
      <xdr:rowOff>1083733</xdr:rowOff>
    </xdr:from>
    <xdr:to>
      <xdr:col>5</xdr:col>
      <xdr:colOff>1159935</xdr:colOff>
      <xdr:row>59</xdr:row>
      <xdr:rowOff>1083733</xdr:rowOff>
    </xdr:to>
    <xdr:cxnSp macro="">
      <xdr:nvCxnSpPr>
        <xdr:cNvPr id="1680" name="Straight Connector 1679">
          <a:extLst>
            <a:ext uri="{FF2B5EF4-FFF2-40B4-BE49-F238E27FC236}">
              <a16:creationId xmlns:a16="http://schemas.microsoft.com/office/drawing/2014/main" id="{00000000-0008-0000-0800-000090060000}"/>
            </a:ext>
          </a:extLst>
        </xdr:cNvPr>
        <xdr:cNvCxnSpPr/>
      </xdr:nvCxnSpPr>
      <xdr:spPr>
        <a:xfrm flipH="1">
          <a:off x="6111243" y="3413929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30</xdr:row>
      <xdr:rowOff>127001</xdr:rowOff>
    </xdr:from>
    <xdr:to>
      <xdr:col>5</xdr:col>
      <xdr:colOff>1168400</xdr:colOff>
      <xdr:row>30</xdr:row>
      <xdr:rowOff>127001</xdr:rowOff>
    </xdr:to>
    <xdr:cxnSp macro="">
      <xdr:nvCxnSpPr>
        <xdr:cNvPr id="1681" name="Straight Connector 1680">
          <a:extLst>
            <a:ext uri="{FF2B5EF4-FFF2-40B4-BE49-F238E27FC236}">
              <a16:creationId xmlns:a16="http://schemas.microsoft.com/office/drawing/2014/main" id="{00000000-0008-0000-0800-000091060000}"/>
            </a:ext>
          </a:extLst>
        </xdr:cNvPr>
        <xdr:cNvCxnSpPr/>
      </xdr:nvCxnSpPr>
      <xdr:spPr>
        <a:xfrm flipH="1">
          <a:off x="6119708" y="1519174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30</xdr:row>
      <xdr:rowOff>1083733</xdr:rowOff>
    </xdr:from>
    <xdr:to>
      <xdr:col>5</xdr:col>
      <xdr:colOff>1159935</xdr:colOff>
      <xdr:row>30</xdr:row>
      <xdr:rowOff>1083733</xdr:rowOff>
    </xdr:to>
    <xdr:cxnSp macro="">
      <xdr:nvCxnSpPr>
        <xdr:cNvPr id="1682" name="Straight Connector 1681">
          <a:extLst>
            <a:ext uri="{FF2B5EF4-FFF2-40B4-BE49-F238E27FC236}">
              <a16:creationId xmlns:a16="http://schemas.microsoft.com/office/drawing/2014/main" id="{00000000-0008-0000-0800-000092060000}"/>
            </a:ext>
          </a:extLst>
        </xdr:cNvPr>
        <xdr:cNvCxnSpPr/>
      </xdr:nvCxnSpPr>
      <xdr:spPr>
        <a:xfrm flipH="1">
          <a:off x="6111243" y="1614847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30</xdr:row>
      <xdr:rowOff>118533</xdr:rowOff>
    </xdr:from>
    <xdr:to>
      <xdr:col>5</xdr:col>
      <xdr:colOff>1151462</xdr:colOff>
      <xdr:row>30</xdr:row>
      <xdr:rowOff>1066801</xdr:rowOff>
    </xdr:to>
    <xdr:cxnSp macro="">
      <xdr:nvCxnSpPr>
        <xdr:cNvPr id="1683" name="Straight Connector 1682">
          <a:extLst>
            <a:ext uri="{FF2B5EF4-FFF2-40B4-BE49-F238E27FC236}">
              <a16:creationId xmlns:a16="http://schemas.microsoft.com/office/drawing/2014/main" id="{00000000-0008-0000-0800-000093060000}"/>
            </a:ext>
          </a:extLst>
        </xdr:cNvPr>
        <xdr:cNvCxnSpPr/>
      </xdr:nvCxnSpPr>
      <xdr:spPr>
        <a:xfrm flipH="1" flipV="1">
          <a:off x="6424501" y="1518327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30</xdr:row>
      <xdr:rowOff>127001</xdr:rowOff>
    </xdr:from>
    <xdr:to>
      <xdr:col>5</xdr:col>
      <xdr:colOff>1168400</xdr:colOff>
      <xdr:row>30</xdr:row>
      <xdr:rowOff>127001</xdr:rowOff>
    </xdr:to>
    <xdr:cxnSp macro="">
      <xdr:nvCxnSpPr>
        <xdr:cNvPr id="1684" name="Straight Connector 1683">
          <a:extLst>
            <a:ext uri="{FF2B5EF4-FFF2-40B4-BE49-F238E27FC236}">
              <a16:creationId xmlns:a16="http://schemas.microsoft.com/office/drawing/2014/main" id="{00000000-0008-0000-0800-000094060000}"/>
            </a:ext>
          </a:extLst>
        </xdr:cNvPr>
        <xdr:cNvCxnSpPr/>
      </xdr:nvCxnSpPr>
      <xdr:spPr>
        <a:xfrm flipH="1">
          <a:off x="6119708" y="1519174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30</xdr:row>
      <xdr:rowOff>1083733</xdr:rowOff>
    </xdr:from>
    <xdr:to>
      <xdr:col>5</xdr:col>
      <xdr:colOff>1169876</xdr:colOff>
      <xdr:row>30</xdr:row>
      <xdr:rowOff>1083733</xdr:rowOff>
    </xdr:to>
    <xdr:cxnSp macro="">
      <xdr:nvCxnSpPr>
        <xdr:cNvPr id="1685" name="Straight Connector 1684">
          <a:extLst>
            <a:ext uri="{FF2B5EF4-FFF2-40B4-BE49-F238E27FC236}">
              <a16:creationId xmlns:a16="http://schemas.microsoft.com/office/drawing/2014/main" id="{00000000-0008-0000-0800-000095060000}"/>
            </a:ext>
          </a:extLst>
        </xdr:cNvPr>
        <xdr:cNvCxnSpPr/>
      </xdr:nvCxnSpPr>
      <xdr:spPr>
        <a:xfrm flipH="1">
          <a:off x="6111244" y="1614847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31</xdr:row>
      <xdr:rowOff>127001</xdr:rowOff>
    </xdr:from>
    <xdr:to>
      <xdr:col>5</xdr:col>
      <xdr:colOff>1168400</xdr:colOff>
      <xdr:row>31</xdr:row>
      <xdr:rowOff>127001</xdr:rowOff>
    </xdr:to>
    <xdr:cxnSp macro="">
      <xdr:nvCxnSpPr>
        <xdr:cNvPr id="1686" name="Straight Connector 1685">
          <a:extLst>
            <a:ext uri="{FF2B5EF4-FFF2-40B4-BE49-F238E27FC236}">
              <a16:creationId xmlns:a16="http://schemas.microsoft.com/office/drawing/2014/main" id="{00000000-0008-0000-0800-000096060000}"/>
            </a:ext>
          </a:extLst>
        </xdr:cNvPr>
        <xdr:cNvCxnSpPr/>
      </xdr:nvCxnSpPr>
      <xdr:spPr>
        <a:xfrm flipH="1">
          <a:off x="6119708" y="1647952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31</xdr:row>
      <xdr:rowOff>1083733</xdr:rowOff>
    </xdr:from>
    <xdr:to>
      <xdr:col>5</xdr:col>
      <xdr:colOff>1159935</xdr:colOff>
      <xdr:row>31</xdr:row>
      <xdr:rowOff>1083733</xdr:rowOff>
    </xdr:to>
    <xdr:cxnSp macro="">
      <xdr:nvCxnSpPr>
        <xdr:cNvPr id="1687" name="Straight Connector 1686">
          <a:extLst>
            <a:ext uri="{FF2B5EF4-FFF2-40B4-BE49-F238E27FC236}">
              <a16:creationId xmlns:a16="http://schemas.microsoft.com/office/drawing/2014/main" id="{00000000-0008-0000-0800-000097060000}"/>
            </a:ext>
          </a:extLst>
        </xdr:cNvPr>
        <xdr:cNvCxnSpPr/>
      </xdr:nvCxnSpPr>
      <xdr:spPr>
        <a:xfrm flipH="1">
          <a:off x="6111243" y="1743625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31</xdr:row>
      <xdr:rowOff>118533</xdr:rowOff>
    </xdr:from>
    <xdr:to>
      <xdr:col>5</xdr:col>
      <xdr:colOff>1151462</xdr:colOff>
      <xdr:row>31</xdr:row>
      <xdr:rowOff>1066801</xdr:rowOff>
    </xdr:to>
    <xdr:cxnSp macro="">
      <xdr:nvCxnSpPr>
        <xdr:cNvPr id="1688" name="Straight Connector 1687">
          <a:extLst>
            <a:ext uri="{FF2B5EF4-FFF2-40B4-BE49-F238E27FC236}">
              <a16:creationId xmlns:a16="http://schemas.microsoft.com/office/drawing/2014/main" id="{00000000-0008-0000-0800-000098060000}"/>
            </a:ext>
          </a:extLst>
        </xdr:cNvPr>
        <xdr:cNvCxnSpPr/>
      </xdr:nvCxnSpPr>
      <xdr:spPr>
        <a:xfrm flipH="1" flipV="1">
          <a:off x="6424501" y="1647105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31</xdr:row>
      <xdr:rowOff>127001</xdr:rowOff>
    </xdr:from>
    <xdr:to>
      <xdr:col>5</xdr:col>
      <xdr:colOff>1168400</xdr:colOff>
      <xdr:row>31</xdr:row>
      <xdr:rowOff>127001</xdr:rowOff>
    </xdr:to>
    <xdr:cxnSp macro="">
      <xdr:nvCxnSpPr>
        <xdr:cNvPr id="1689" name="Straight Connector 1688">
          <a:extLst>
            <a:ext uri="{FF2B5EF4-FFF2-40B4-BE49-F238E27FC236}">
              <a16:creationId xmlns:a16="http://schemas.microsoft.com/office/drawing/2014/main" id="{00000000-0008-0000-0800-000099060000}"/>
            </a:ext>
          </a:extLst>
        </xdr:cNvPr>
        <xdr:cNvCxnSpPr/>
      </xdr:nvCxnSpPr>
      <xdr:spPr>
        <a:xfrm flipH="1">
          <a:off x="6119708" y="1647952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31</xdr:row>
      <xdr:rowOff>1083733</xdr:rowOff>
    </xdr:from>
    <xdr:to>
      <xdr:col>5</xdr:col>
      <xdr:colOff>1169876</xdr:colOff>
      <xdr:row>31</xdr:row>
      <xdr:rowOff>1083733</xdr:rowOff>
    </xdr:to>
    <xdr:cxnSp macro="">
      <xdr:nvCxnSpPr>
        <xdr:cNvPr id="1690" name="Straight Connector 1689">
          <a:extLst>
            <a:ext uri="{FF2B5EF4-FFF2-40B4-BE49-F238E27FC236}">
              <a16:creationId xmlns:a16="http://schemas.microsoft.com/office/drawing/2014/main" id="{00000000-0008-0000-0800-00009A060000}"/>
            </a:ext>
          </a:extLst>
        </xdr:cNvPr>
        <xdr:cNvCxnSpPr/>
      </xdr:nvCxnSpPr>
      <xdr:spPr>
        <a:xfrm flipH="1">
          <a:off x="6111244" y="1743625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32</xdr:row>
      <xdr:rowOff>127001</xdr:rowOff>
    </xdr:from>
    <xdr:to>
      <xdr:col>5</xdr:col>
      <xdr:colOff>1168400</xdr:colOff>
      <xdr:row>32</xdr:row>
      <xdr:rowOff>127001</xdr:rowOff>
    </xdr:to>
    <xdr:cxnSp macro="">
      <xdr:nvCxnSpPr>
        <xdr:cNvPr id="1691" name="Straight Connector 1690">
          <a:extLst>
            <a:ext uri="{FF2B5EF4-FFF2-40B4-BE49-F238E27FC236}">
              <a16:creationId xmlns:a16="http://schemas.microsoft.com/office/drawing/2014/main" id="{00000000-0008-0000-0800-00009B060000}"/>
            </a:ext>
          </a:extLst>
        </xdr:cNvPr>
        <xdr:cNvCxnSpPr/>
      </xdr:nvCxnSpPr>
      <xdr:spPr>
        <a:xfrm flipH="1">
          <a:off x="6119708" y="1776730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32</xdr:row>
      <xdr:rowOff>1083733</xdr:rowOff>
    </xdr:from>
    <xdr:to>
      <xdr:col>5</xdr:col>
      <xdr:colOff>1169876</xdr:colOff>
      <xdr:row>32</xdr:row>
      <xdr:rowOff>1083733</xdr:rowOff>
    </xdr:to>
    <xdr:cxnSp macro="">
      <xdr:nvCxnSpPr>
        <xdr:cNvPr id="1692" name="Straight Connector 1691">
          <a:extLst>
            <a:ext uri="{FF2B5EF4-FFF2-40B4-BE49-F238E27FC236}">
              <a16:creationId xmlns:a16="http://schemas.microsoft.com/office/drawing/2014/main" id="{00000000-0008-0000-0800-00009C060000}"/>
            </a:ext>
          </a:extLst>
        </xdr:cNvPr>
        <xdr:cNvCxnSpPr/>
      </xdr:nvCxnSpPr>
      <xdr:spPr>
        <a:xfrm flipH="1">
          <a:off x="6111244" y="1872403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32</xdr:row>
      <xdr:rowOff>118533</xdr:rowOff>
    </xdr:from>
    <xdr:to>
      <xdr:col>5</xdr:col>
      <xdr:colOff>855134</xdr:colOff>
      <xdr:row>32</xdr:row>
      <xdr:rowOff>1066801</xdr:rowOff>
    </xdr:to>
    <xdr:cxnSp macro="">
      <xdr:nvCxnSpPr>
        <xdr:cNvPr id="1693" name="Straight Connector 1692">
          <a:extLst>
            <a:ext uri="{FF2B5EF4-FFF2-40B4-BE49-F238E27FC236}">
              <a16:creationId xmlns:a16="http://schemas.microsoft.com/office/drawing/2014/main" id="{00000000-0008-0000-0800-00009D060000}"/>
            </a:ext>
          </a:extLst>
        </xdr:cNvPr>
        <xdr:cNvCxnSpPr/>
      </xdr:nvCxnSpPr>
      <xdr:spPr>
        <a:xfrm flipH="1" flipV="1">
          <a:off x="6128173" y="1775883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32</xdr:row>
      <xdr:rowOff>127001</xdr:rowOff>
    </xdr:from>
    <xdr:to>
      <xdr:col>5</xdr:col>
      <xdr:colOff>1168400</xdr:colOff>
      <xdr:row>32</xdr:row>
      <xdr:rowOff>127001</xdr:rowOff>
    </xdr:to>
    <xdr:cxnSp macro="">
      <xdr:nvCxnSpPr>
        <xdr:cNvPr id="1694" name="Straight Connector 1693">
          <a:extLst>
            <a:ext uri="{FF2B5EF4-FFF2-40B4-BE49-F238E27FC236}">
              <a16:creationId xmlns:a16="http://schemas.microsoft.com/office/drawing/2014/main" id="{00000000-0008-0000-0800-00009E060000}"/>
            </a:ext>
          </a:extLst>
        </xdr:cNvPr>
        <xdr:cNvCxnSpPr/>
      </xdr:nvCxnSpPr>
      <xdr:spPr>
        <a:xfrm flipH="1">
          <a:off x="6119708" y="1776730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32</xdr:row>
      <xdr:rowOff>1083733</xdr:rowOff>
    </xdr:from>
    <xdr:to>
      <xdr:col>5</xdr:col>
      <xdr:colOff>1159935</xdr:colOff>
      <xdr:row>32</xdr:row>
      <xdr:rowOff>1083733</xdr:rowOff>
    </xdr:to>
    <xdr:cxnSp macro="">
      <xdr:nvCxnSpPr>
        <xdr:cNvPr id="1695" name="Straight Connector 1694">
          <a:extLst>
            <a:ext uri="{FF2B5EF4-FFF2-40B4-BE49-F238E27FC236}">
              <a16:creationId xmlns:a16="http://schemas.microsoft.com/office/drawing/2014/main" id="{00000000-0008-0000-0800-00009F060000}"/>
            </a:ext>
          </a:extLst>
        </xdr:cNvPr>
        <xdr:cNvCxnSpPr/>
      </xdr:nvCxnSpPr>
      <xdr:spPr>
        <a:xfrm flipH="1">
          <a:off x="6111243" y="1872403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33</xdr:row>
      <xdr:rowOff>127001</xdr:rowOff>
    </xdr:from>
    <xdr:to>
      <xdr:col>5</xdr:col>
      <xdr:colOff>1168400</xdr:colOff>
      <xdr:row>33</xdr:row>
      <xdr:rowOff>127001</xdr:rowOff>
    </xdr:to>
    <xdr:cxnSp macro="">
      <xdr:nvCxnSpPr>
        <xdr:cNvPr id="1696" name="Straight Connector 1695">
          <a:extLst>
            <a:ext uri="{FF2B5EF4-FFF2-40B4-BE49-F238E27FC236}">
              <a16:creationId xmlns:a16="http://schemas.microsoft.com/office/drawing/2014/main" id="{00000000-0008-0000-0800-0000A0060000}"/>
            </a:ext>
          </a:extLst>
        </xdr:cNvPr>
        <xdr:cNvCxnSpPr/>
      </xdr:nvCxnSpPr>
      <xdr:spPr>
        <a:xfrm flipH="1">
          <a:off x="6119708" y="1905508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33</xdr:row>
      <xdr:rowOff>1083733</xdr:rowOff>
    </xdr:from>
    <xdr:to>
      <xdr:col>5</xdr:col>
      <xdr:colOff>1169876</xdr:colOff>
      <xdr:row>33</xdr:row>
      <xdr:rowOff>1083733</xdr:rowOff>
    </xdr:to>
    <xdr:cxnSp macro="">
      <xdr:nvCxnSpPr>
        <xdr:cNvPr id="1697" name="Straight Connector 1696">
          <a:extLst>
            <a:ext uri="{FF2B5EF4-FFF2-40B4-BE49-F238E27FC236}">
              <a16:creationId xmlns:a16="http://schemas.microsoft.com/office/drawing/2014/main" id="{00000000-0008-0000-0800-0000A1060000}"/>
            </a:ext>
          </a:extLst>
        </xdr:cNvPr>
        <xdr:cNvCxnSpPr/>
      </xdr:nvCxnSpPr>
      <xdr:spPr>
        <a:xfrm flipH="1">
          <a:off x="6111244" y="2001181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33</xdr:row>
      <xdr:rowOff>118533</xdr:rowOff>
    </xdr:from>
    <xdr:to>
      <xdr:col>5</xdr:col>
      <xdr:colOff>855134</xdr:colOff>
      <xdr:row>33</xdr:row>
      <xdr:rowOff>1066801</xdr:rowOff>
    </xdr:to>
    <xdr:cxnSp macro="">
      <xdr:nvCxnSpPr>
        <xdr:cNvPr id="1698" name="Straight Connector 1697">
          <a:extLst>
            <a:ext uri="{FF2B5EF4-FFF2-40B4-BE49-F238E27FC236}">
              <a16:creationId xmlns:a16="http://schemas.microsoft.com/office/drawing/2014/main" id="{00000000-0008-0000-0800-0000A2060000}"/>
            </a:ext>
          </a:extLst>
        </xdr:cNvPr>
        <xdr:cNvCxnSpPr/>
      </xdr:nvCxnSpPr>
      <xdr:spPr>
        <a:xfrm flipH="1" flipV="1">
          <a:off x="6128173" y="1904661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33</xdr:row>
      <xdr:rowOff>127001</xdr:rowOff>
    </xdr:from>
    <xdr:to>
      <xdr:col>5</xdr:col>
      <xdr:colOff>1168400</xdr:colOff>
      <xdr:row>33</xdr:row>
      <xdr:rowOff>127001</xdr:rowOff>
    </xdr:to>
    <xdr:cxnSp macro="">
      <xdr:nvCxnSpPr>
        <xdr:cNvPr id="1699" name="Straight Connector 1698">
          <a:extLst>
            <a:ext uri="{FF2B5EF4-FFF2-40B4-BE49-F238E27FC236}">
              <a16:creationId xmlns:a16="http://schemas.microsoft.com/office/drawing/2014/main" id="{00000000-0008-0000-0800-0000A3060000}"/>
            </a:ext>
          </a:extLst>
        </xdr:cNvPr>
        <xdr:cNvCxnSpPr/>
      </xdr:nvCxnSpPr>
      <xdr:spPr>
        <a:xfrm flipH="1">
          <a:off x="6119708" y="1905508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33</xdr:row>
      <xdr:rowOff>1083733</xdr:rowOff>
    </xdr:from>
    <xdr:to>
      <xdr:col>5</xdr:col>
      <xdr:colOff>1159935</xdr:colOff>
      <xdr:row>33</xdr:row>
      <xdr:rowOff>1083733</xdr:rowOff>
    </xdr:to>
    <xdr:cxnSp macro="">
      <xdr:nvCxnSpPr>
        <xdr:cNvPr id="1700" name="Straight Connector 1699">
          <a:extLst>
            <a:ext uri="{FF2B5EF4-FFF2-40B4-BE49-F238E27FC236}">
              <a16:creationId xmlns:a16="http://schemas.microsoft.com/office/drawing/2014/main" id="{00000000-0008-0000-0800-0000A4060000}"/>
            </a:ext>
          </a:extLst>
        </xdr:cNvPr>
        <xdr:cNvCxnSpPr/>
      </xdr:nvCxnSpPr>
      <xdr:spPr>
        <a:xfrm flipH="1">
          <a:off x="6111243" y="2001181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62</xdr:row>
      <xdr:rowOff>127001</xdr:rowOff>
    </xdr:from>
    <xdr:to>
      <xdr:col>5</xdr:col>
      <xdr:colOff>1168400</xdr:colOff>
      <xdr:row>62</xdr:row>
      <xdr:rowOff>127001</xdr:rowOff>
    </xdr:to>
    <xdr:cxnSp macro="">
      <xdr:nvCxnSpPr>
        <xdr:cNvPr id="1701" name="Straight Connector 1700">
          <a:extLst>
            <a:ext uri="{FF2B5EF4-FFF2-40B4-BE49-F238E27FC236}">
              <a16:creationId xmlns:a16="http://schemas.microsoft.com/office/drawing/2014/main" id="{00000000-0008-0000-0800-0000A5060000}"/>
            </a:ext>
          </a:extLst>
        </xdr:cNvPr>
        <xdr:cNvCxnSpPr/>
      </xdr:nvCxnSpPr>
      <xdr:spPr>
        <a:xfrm flipH="1">
          <a:off x="6119708" y="3492754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62</xdr:row>
      <xdr:rowOff>1083733</xdr:rowOff>
    </xdr:from>
    <xdr:to>
      <xdr:col>5</xdr:col>
      <xdr:colOff>1159935</xdr:colOff>
      <xdr:row>62</xdr:row>
      <xdr:rowOff>1083733</xdr:rowOff>
    </xdr:to>
    <xdr:cxnSp macro="">
      <xdr:nvCxnSpPr>
        <xdr:cNvPr id="1702" name="Straight Connector 1701">
          <a:extLst>
            <a:ext uri="{FF2B5EF4-FFF2-40B4-BE49-F238E27FC236}">
              <a16:creationId xmlns:a16="http://schemas.microsoft.com/office/drawing/2014/main" id="{00000000-0008-0000-0800-0000A6060000}"/>
            </a:ext>
          </a:extLst>
        </xdr:cNvPr>
        <xdr:cNvCxnSpPr/>
      </xdr:nvCxnSpPr>
      <xdr:spPr>
        <a:xfrm flipH="1">
          <a:off x="6111243" y="3588427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62</xdr:row>
      <xdr:rowOff>118533</xdr:rowOff>
    </xdr:from>
    <xdr:to>
      <xdr:col>5</xdr:col>
      <xdr:colOff>1151462</xdr:colOff>
      <xdr:row>62</xdr:row>
      <xdr:rowOff>1066801</xdr:rowOff>
    </xdr:to>
    <xdr:cxnSp macro="">
      <xdr:nvCxnSpPr>
        <xdr:cNvPr id="1703" name="Straight Connector 1702">
          <a:extLst>
            <a:ext uri="{FF2B5EF4-FFF2-40B4-BE49-F238E27FC236}">
              <a16:creationId xmlns:a16="http://schemas.microsoft.com/office/drawing/2014/main" id="{00000000-0008-0000-0800-0000A7060000}"/>
            </a:ext>
          </a:extLst>
        </xdr:cNvPr>
        <xdr:cNvCxnSpPr/>
      </xdr:nvCxnSpPr>
      <xdr:spPr>
        <a:xfrm flipH="1" flipV="1">
          <a:off x="6424501" y="3491907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62</xdr:row>
      <xdr:rowOff>127001</xdr:rowOff>
    </xdr:from>
    <xdr:to>
      <xdr:col>5</xdr:col>
      <xdr:colOff>1168400</xdr:colOff>
      <xdr:row>62</xdr:row>
      <xdr:rowOff>127001</xdr:rowOff>
    </xdr:to>
    <xdr:cxnSp macro="">
      <xdr:nvCxnSpPr>
        <xdr:cNvPr id="1704" name="Straight Connector 1703">
          <a:extLst>
            <a:ext uri="{FF2B5EF4-FFF2-40B4-BE49-F238E27FC236}">
              <a16:creationId xmlns:a16="http://schemas.microsoft.com/office/drawing/2014/main" id="{00000000-0008-0000-0800-0000A8060000}"/>
            </a:ext>
          </a:extLst>
        </xdr:cNvPr>
        <xdr:cNvCxnSpPr/>
      </xdr:nvCxnSpPr>
      <xdr:spPr>
        <a:xfrm flipH="1">
          <a:off x="6119708" y="3492754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62</xdr:row>
      <xdr:rowOff>1083733</xdr:rowOff>
    </xdr:from>
    <xdr:to>
      <xdr:col>5</xdr:col>
      <xdr:colOff>1169876</xdr:colOff>
      <xdr:row>62</xdr:row>
      <xdr:rowOff>1083733</xdr:rowOff>
    </xdr:to>
    <xdr:cxnSp macro="">
      <xdr:nvCxnSpPr>
        <xdr:cNvPr id="1705" name="Straight Connector 1704">
          <a:extLst>
            <a:ext uri="{FF2B5EF4-FFF2-40B4-BE49-F238E27FC236}">
              <a16:creationId xmlns:a16="http://schemas.microsoft.com/office/drawing/2014/main" id="{00000000-0008-0000-0800-0000A9060000}"/>
            </a:ext>
          </a:extLst>
        </xdr:cNvPr>
        <xdr:cNvCxnSpPr/>
      </xdr:nvCxnSpPr>
      <xdr:spPr>
        <a:xfrm flipH="1">
          <a:off x="6111244" y="3588427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63</xdr:row>
      <xdr:rowOff>127001</xdr:rowOff>
    </xdr:from>
    <xdr:to>
      <xdr:col>5</xdr:col>
      <xdr:colOff>1168400</xdr:colOff>
      <xdr:row>63</xdr:row>
      <xdr:rowOff>127001</xdr:rowOff>
    </xdr:to>
    <xdr:cxnSp macro="">
      <xdr:nvCxnSpPr>
        <xdr:cNvPr id="1706" name="Straight Connector 1705">
          <a:extLst>
            <a:ext uri="{FF2B5EF4-FFF2-40B4-BE49-F238E27FC236}">
              <a16:creationId xmlns:a16="http://schemas.microsoft.com/office/drawing/2014/main" id="{00000000-0008-0000-0800-0000AA060000}"/>
            </a:ext>
          </a:extLst>
        </xdr:cNvPr>
        <xdr:cNvCxnSpPr/>
      </xdr:nvCxnSpPr>
      <xdr:spPr>
        <a:xfrm flipH="1">
          <a:off x="6119708" y="3621532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63</xdr:row>
      <xdr:rowOff>1083733</xdr:rowOff>
    </xdr:from>
    <xdr:to>
      <xdr:col>5</xdr:col>
      <xdr:colOff>1159935</xdr:colOff>
      <xdr:row>63</xdr:row>
      <xdr:rowOff>1083733</xdr:rowOff>
    </xdr:to>
    <xdr:cxnSp macro="">
      <xdr:nvCxnSpPr>
        <xdr:cNvPr id="1707" name="Straight Connector 1706">
          <a:extLst>
            <a:ext uri="{FF2B5EF4-FFF2-40B4-BE49-F238E27FC236}">
              <a16:creationId xmlns:a16="http://schemas.microsoft.com/office/drawing/2014/main" id="{00000000-0008-0000-0800-0000AB060000}"/>
            </a:ext>
          </a:extLst>
        </xdr:cNvPr>
        <xdr:cNvCxnSpPr/>
      </xdr:nvCxnSpPr>
      <xdr:spPr>
        <a:xfrm flipH="1">
          <a:off x="6111243" y="3717205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1151461</xdr:colOff>
      <xdr:row>63</xdr:row>
      <xdr:rowOff>118533</xdr:rowOff>
    </xdr:from>
    <xdr:to>
      <xdr:col>5</xdr:col>
      <xdr:colOff>1151462</xdr:colOff>
      <xdr:row>63</xdr:row>
      <xdr:rowOff>1066801</xdr:rowOff>
    </xdr:to>
    <xdr:cxnSp macro="">
      <xdr:nvCxnSpPr>
        <xdr:cNvPr id="1708" name="Straight Connector 1707">
          <a:extLst>
            <a:ext uri="{FF2B5EF4-FFF2-40B4-BE49-F238E27FC236}">
              <a16:creationId xmlns:a16="http://schemas.microsoft.com/office/drawing/2014/main" id="{00000000-0008-0000-0800-0000AC060000}"/>
            </a:ext>
          </a:extLst>
        </xdr:cNvPr>
        <xdr:cNvCxnSpPr/>
      </xdr:nvCxnSpPr>
      <xdr:spPr>
        <a:xfrm flipH="1" flipV="1">
          <a:off x="6424501" y="3620685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63</xdr:row>
      <xdr:rowOff>127001</xdr:rowOff>
    </xdr:from>
    <xdr:to>
      <xdr:col>5</xdr:col>
      <xdr:colOff>1168400</xdr:colOff>
      <xdr:row>63</xdr:row>
      <xdr:rowOff>127001</xdr:rowOff>
    </xdr:to>
    <xdr:cxnSp macro="">
      <xdr:nvCxnSpPr>
        <xdr:cNvPr id="1709" name="Straight Connector 1708">
          <a:extLst>
            <a:ext uri="{FF2B5EF4-FFF2-40B4-BE49-F238E27FC236}">
              <a16:creationId xmlns:a16="http://schemas.microsoft.com/office/drawing/2014/main" id="{00000000-0008-0000-0800-0000AD060000}"/>
            </a:ext>
          </a:extLst>
        </xdr:cNvPr>
        <xdr:cNvCxnSpPr/>
      </xdr:nvCxnSpPr>
      <xdr:spPr>
        <a:xfrm flipH="1">
          <a:off x="6119708" y="3621532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63</xdr:row>
      <xdr:rowOff>1083733</xdr:rowOff>
    </xdr:from>
    <xdr:to>
      <xdr:col>5</xdr:col>
      <xdr:colOff>1169876</xdr:colOff>
      <xdr:row>63</xdr:row>
      <xdr:rowOff>1083733</xdr:rowOff>
    </xdr:to>
    <xdr:cxnSp macro="">
      <xdr:nvCxnSpPr>
        <xdr:cNvPr id="1710" name="Straight Connector 1709">
          <a:extLst>
            <a:ext uri="{FF2B5EF4-FFF2-40B4-BE49-F238E27FC236}">
              <a16:creationId xmlns:a16="http://schemas.microsoft.com/office/drawing/2014/main" id="{00000000-0008-0000-0800-0000AE060000}"/>
            </a:ext>
          </a:extLst>
        </xdr:cNvPr>
        <xdr:cNvCxnSpPr/>
      </xdr:nvCxnSpPr>
      <xdr:spPr>
        <a:xfrm flipH="1">
          <a:off x="6111244" y="3717205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64</xdr:row>
      <xdr:rowOff>127001</xdr:rowOff>
    </xdr:from>
    <xdr:to>
      <xdr:col>5</xdr:col>
      <xdr:colOff>1168400</xdr:colOff>
      <xdr:row>64</xdr:row>
      <xdr:rowOff>127001</xdr:rowOff>
    </xdr:to>
    <xdr:cxnSp macro="">
      <xdr:nvCxnSpPr>
        <xdr:cNvPr id="1711" name="Straight Connector 1710">
          <a:extLst>
            <a:ext uri="{FF2B5EF4-FFF2-40B4-BE49-F238E27FC236}">
              <a16:creationId xmlns:a16="http://schemas.microsoft.com/office/drawing/2014/main" id="{00000000-0008-0000-0800-0000AF060000}"/>
            </a:ext>
          </a:extLst>
        </xdr:cNvPr>
        <xdr:cNvCxnSpPr/>
      </xdr:nvCxnSpPr>
      <xdr:spPr>
        <a:xfrm flipH="1">
          <a:off x="6119708" y="3750310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64</xdr:row>
      <xdr:rowOff>1083733</xdr:rowOff>
    </xdr:from>
    <xdr:to>
      <xdr:col>5</xdr:col>
      <xdr:colOff>1169876</xdr:colOff>
      <xdr:row>64</xdr:row>
      <xdr:rowOff>1083733</xdr:rowOff>
    </xdr:to>
    <xdr:cxnSp macro="">
      <xdr:nvCxnSpPr>
        <xdr:cNvPr id="1712" name="Straight Connector 1711">
          <a:extLst>
            <a:ext uri="{FF2B5EF4-FFF2-40B4-BE49-F238E27FC236}">
              <a16:creationId xmlns:a16="http://schemas.microsoft.com/office/drawing/2014/main" id="{00000000-0008-0000-0800-0000B0060000}"/>
            </a:ext>
          </a:extLst>
        </xdr:cNvPr>
        <xdr:cNvCxnSpPr/>
      </xdr:nvCxnSpPr>
      <xdr:spPr>
        <a:xfrm flipH="1">
          <a:off x="6111244" y="3845983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64</xdr:row>
      <xdr:rowOff>118533</xdr:rowOff>
    </xdr:from>
    <xdr:to>
      <xdr:col>5</xdr:col>
      <xdr:colOff>855134</xdr:colOff>
      <xdr:row>64</xdr:row>
      <xdr:rowOff>1066801</xdr:rowOff>
    </xdr:to>
    <xdr:cxnSp macro="">
      <xdr:nvCxnSpPr>
        <xdr:cNvPr id="1713" name="Straight Connector 1712">
          <a:extLst>
            <a:ext uri="{FF2B5EF4-FFF2-40B4-BE49-F238E27FC236}">
              <a16:creationId xmlns:a16="http://schemas.microsoft.com/office/drawing/2014/main" id="{00000000-0008-0000-0800-0000B1060000}"/>
            </a:ext>
          </a:extLst>
        </xdr:cNvPr>
        <xdr:cNvCxnSpPr/>
      </xdr:nvCxnSpPr>
      <xdr:spPr>
        <a:xfrm flipH="1" flipV="1">
          <a:off x="6128173" y="3749463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64</xdr:row>
      <xdr:rowOff>127001</xdr:rowOff>
    </xdr:from>
    <xdr:to>
      <xdr:col>5</xdr:col>
      <xdr:colOff>1168400</xdr:colOff>
      <xdr:row>64</xdr:row>
      <xdr:rowOff>127001</xdr:rowOff>
    </xdr:to>
    <xdr:cxnSp macro="">
      <xdr:nvCxnSpPr>
        <xdr:cNvPr id="1714" name="Straight Connector 1713">
          <a:extLst>
            <a:ext uri="{FF2B5EF4-FFF2-40B4-BE49-F238E27FC236}">
              <a16:creationId xmlns:a16="http://schemas.microsoft.com/office/drawing/2014/main" id="{00000000-0008-0000-0800-0000B2060000}"/>
            </a:ext>
          </a:extLst>
        </xdr:cNvPr>
        <xdr:cNvCxnSpPr/>
      </xdr:nvCxnSpPr>
      <xdr:spPr>
        <a:xfrm flipH="1">
          <a:off x="6119708" y="3750310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64</xdr:row>
      <xdr:rowOff>1083733</xdr:rowOff>
    </xdr:from>
    <xdr:to>
      <xdr:col>5</xdr:col>
      <xdr:colOff>1159935</xdr:colOff>
      <xdr:row>64</xdr:row>
      <xdr:rowOff>1083733</xdr:rowOff>
    </xdr:to>
    <xdr:cxnSp macro="">
      <xdr:nvCxnSpPr>
        <xdr:cNvPr id="1715" name="Straight Connector 1714">
          <a:extLst>
            <a:ext uri="{FF2B5EF4-FFF2-40B4-BE49-F238E27FC236}">
              <a16:creationId xmlns:a16="http://schemas.microsoft.com/office/drawing/2014/main" id="{00000000-0008-0000-0800-0000B3060000}"/>
            </a:ext>
          </a:extLst>
        </xdr:cNvPr>
        <xdr:cNvCxnSpPr/>
      </xdr:nvCxnSpPr>
      <xdr:spPr>
        <a:xfrm flipH="1">
          <a:off x="6111243" y="3845983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65</xdr:row>
      <xdr:rowOff>127001</xdr:rowOff>
    </xdr:from>
    <xdr:to>
      <xdr:col>5</xdr:col>
      <xdr:colOff>1168400</xdr:colOff>
      <xdr:row>65</xdr:row>
      <xdr:rowOff>127001</xdr:rowOff>
    </xdr:to>
    <xdr:cxnSp macro="">
      <xdr:nvCxnSpPr>
        <xdr:cNvPr id="1716" name="Straight Connector 1715">
          <a:extLst>
            <a:ext uri="{FF2B5EF4-FFF2-40B4-BE49-F238E27FC236}">
              <a16:creationId xmlns:a16="http://schemas.microsoft.com/office/drawing/2014/main" id="{00000000-0008-0000-0800-0000B4060000}"/>
            </a:ext>
          </a:extLst>
        </xdr:cNvPr>
        <xdr:cNvCxnSpPr/>
      </xdr:nvCxnSpPr>
      <xdr:spPr>
        <a:xfrm flipH="1">
          <a:off x="6119708" y="3879088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838204</xdr:colOff>
      <xdr:row>65</xdr:row>
      <xdr:rowOff>1083733</xdr:rowOff>
    </xdr:from>
    <xdr:to>
      <xdr:col>5</xdr:col>
      <xdr:colOff>1169876</xdr:colOff>
      <xdr:row>65</xdr:row>
      <xdr:rowOff>1083733</xdr:rowOff>
    </xdr:to>
    <xdr:cxnSp macro="">
      <xdr:nvCxnSpPr>
        <xdr:cNvPr id="1717" name="Straight Connector 1716">
          <a:extLst>
            <a:ext uri="{FF2B5EF4-FFF2-40B4-BE49-F238E27FC236}">
              <a16:creationId xmlns:a16="http://schemas.microsoft.com/office/drawing/2014/main" id="{00000000-0008-0000-0800-0000B5060000}"/>
            </a:ext>
          </a:extLst>
        </xdr:cNvPr>
        <xdr:cNvCxnSpPr/>
      </xdr:nvCxnSpPr>
      <xdr:spPr>
        <a:xfrm flipH="1">
          <a:off x="6111244" y="39747613"/>
          <a:ext cx="33167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855133</xdr:colOff>
      <xdr:row>65</xdr:row>
      <xdr:rowOff>118533</xdr:rowOff>
    </xdr:from>
    <xdr:to>
      <xdr:col>5</xdr:col>
      <xdr:colOff>855134</xdr:colOff>
      <xdr:row>65</xdr:row>
      <xdr:rowOff>1066801</xdr:rowOff>
    </xdr:to>
    <xdr:cxnSp macro="">
      <xdr:nvCxnSpPr>
        <xdr:cNvPr id="1718" name="Straight Connector 1717">
          <a:extLst>
            <a:ext uri="{FF2B5EF4-FFF2-40B4-BE49-F238E27FC236}">
              <a16:creationId xmlns:a16="http://schemas.microsoft.com/office/drawing/2014/main" id="{00000000-0008-0000-0800-0000B6060000}"/>
            </a:ext>
          </a:extLst>
        </xdr:cNvPr>
        <xdr:cNvCxnSpPr/>
      </xdr:nvCxnSpPr>
      <xdr:spPr>
        <a:xfrm flipH="1" flipV="1">
          <a:off x="6128173" y="38782413"/>
          <a:ext cx="1" cy="94826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846668</xdr:colOff>
      <xdr:row>65</xdr:row>
      <xdr:rowOff>127001</xdr:rowOff>
    </xdr:from>
    <xdr:to>
      <xdr:col>5</xdr:col>
      <xdr:colOff>1168400</xdr:colOff>
      <xdr:row>65</xdr:row>
      <xdr:rowOff>127001</xdr:rowOff>
    </xdr:to>
    <xdr:cxnSp macro="">
      <xdr:nvCxnSpPr>
        <xdr:cNvPr id="1719" name="Straight Connector 1718">
          <a:extLst>
            <a:ext uri="{FF2B5EF4-FFF2-40B4-BE49-F238E27FC236}">
              <a16:creationId xmlns:a16="http://schemas.microsoft.com/office/drawing/2014/main" id="{00000000-0008-0000-0800-0000B7060000}"/>
            </a:ext>
          </a:extLst>
        </xdr:cNvPr>
        <xdr:cNvCxnSpPr/>
      </xdr:nvCxnSpPr>
      <xdr:spPr>
        <a:xfrm flipH="1">
          <a:off x="6119708" y="38790881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838203</xdr:colOff>
      <xdr:row>65</xdr:row>
      <xdr:rowOff>1083733</xdr:rowOff>
    </xdr:from>
    <xdr:to>
      <xdr:col>5</xdr:col>
      <xdr:colOff>1159935</xdr:colOff>
      <xdr:row>65</xdr:row>
      <xdr:rowOff>1083733</xdr:rowOff>
    </xdr:to>
    <xdr:cxnSp macro="">
      <xdr:nvCxnSpPr>
        <xdr:cNvPr id="1720" name="Straight Connector 1719">
          <a:extLst>
            <a:ext uri="{FF2B5EF4-FFF2-40B4-BE49-F238E27FC236}">
              <a16:creationId xmlns:a16="http://schemas.microsoft.com/office/drawing/2014/main" id="{00000000-0008-0000-0800-0000B8060000}"/>
            </a:ext>
          </a:extLst>
        </xdr:cNvPr>
        <xdr:cNvCxnSpPr/>
      </xdr:nvCxnSpPr>
      <xdr:spPr>
        <a:xfrm flipH="1">
          <a:off x="6111243" y="39747613"/>
          <a:ext cx="32173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347133</xdr:colOff>
      <xdr:row>67</xdr:row>
      <xdr:rowOff>296332</xdr:rowOff>
    </xdr:from>
    <xdr:to>
      <xdr:col>5</xdr:col>
      <xdr:colOff>1661583</xdr:colOff>
      <xdr:row>67</xdr:row>
      <xdr:rowOff>296332</xdr:rowOff>
    </xdr:to>
    <xdr:cxnSp macro="">
      <xdr:nvCxnSpPr>
        <xdr:cNvPr id="1721" name="Straight Connector 1720">
          <a:extLst>
            <a:ext uri="{FF2B5EF4-FFF2-40B4-BE49-F238E27FC236}">
              <a16:creationId xmlns:a16="http://schemas.microsoft.com/office/drawing/2014/main" id="{00000000-0008-0000-0800-0000B9060000}"/>
            </a:ext>
          </a:extLst>
        </xdr:cNvPr>
        <xdr:cNvCxnSpPr/>
      </xdr:nvCxnSpPr>
      <xdr:spPr>
        <a:xfrm>
          <a:off x="5620173" y="40476592"/>
          <a:ext cx="131445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2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topLeftCell="A109" workbookViewId="0">
      <selection activeCell="A123" sqref="A123"/>
    </sheetView>
  </sheetViews>
  <sheetFormatPr defaultColWidth="9.01171875" defaultRowHeight="15" x14ac:dyDescent="0.2"/>
  <cols>
    <col min="1" max="1" width="6.3203125" customWidth="1"/>
    <col min="2" max="2" width="44.390625" customWidth="1"/>
    <col min="3" max="3" width="9.68359375" customWidth="1"/>
    <col min="4" max="4" width="11.97265625" customWidth="1"/>
    <col min="5" max="5" width="13.31640625" customWidth="1"/>
    <col min="6" max="6" width="11.703125" customWidth="1"/>
    <col min="7" max="7" width="15.33203125" customWidth="1"/>
    <col min="8" max="8" width="21.38671875" customWidth="1"/>
  </cols>
  <sheetData>
    <row r="1" spans="1:8" ht="23.25" x14ac:dyDescent="0.3">
      <c r="A1" s="253" t="s">
        <v>0</v>
      </c>
      <c r="B1" s="253"/>
      <c r="C1" s="253"/>
      <c r="D1" s="253"/>
      <c r="E1" s="253"/>
      <c r="F1" s="253"/>
      <c r="G1" s="253"/>
      <c r="H1" s="253"/>
    </row>
    <row r="2" spans="1:8" ht="18.75" x14ac:dyDescent="0.25">
      <c r="A2" s="70" t="s">
        <v>1</v>
      </c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</row>
    <row r="3" spans="1:8" s="81" customFormat="1" ht="18.75" x14ac:dyDescent="0.25">
      <c r="A3" s="71"/>
      <c r="B3" s="71"/>
      <c r="C3" s="71"/>
      <c r="D3" s="71"/>
      <c r="E3" s="71"/>
      <c r="F3" s="71"/>
      <c r="G3" s="71"/>
      <c r="H3" s="71"/>
    </row>
    <row r="4" spans="1:8" x14ac:dyDescent="0.2">
      <c r="A4" s="254" t="s">
        <v>9</v>
      </c>
      <c r="B4" s="254"/>
      <c r="C4" s="254"/>
      <c r="D4" s="254"/>
      <c r="E4" s="254"/>
      <c r="F4" s="254"/>
      <c r="G4" s="254"/>
      <c r="H4" s="254"/>
    </row>
    <row r="5" spans="1:8" x14ac:dyDescent="0.2">
      <c r="A5" s="48">
        <v>1</v>
      </c>
      <c r="B5" s="74" t="s">
        <v>10</v>
      </c>
      <c r="C5" s="75"/>
      <c r="D5" s="30"/>
      <c r="E5" s="30"/>
      <c r="F5" s="30"/>
      <c r="G5" s="30"/>
      <c r="H5" s="30"/>
    </row>
    <row r="6" spans="1:8" x14ac:dyDescent="0.2">
      <c r="A6" s="48">
        <v>1.1000000000000001</v>
      </c>
      <c r="B6" s="97" t="s">
        <v>11</v>
      </c>
      <c r="C6" s="75"/>
      <c r="D6" s="76"/>
      <c r="E6" s="76"/>
      <c r="F6" s="76"/>
      <c r="G6" s="76"/>
      <c r="H6" s="76"/>
    </row>
    <row r="7" spans="1:8" x14ac:dyDescent="0.2">
      <c r="A7" s="79"/>
      <c r="B7" s="30" t="s">
        <v>12</v>
      </c>
      <c r="C7" s="75">
        <v>11</v>
      </c>
      <c r="D7" s="76">
        <v>5</v>
      </c>
      <c r="E7" s="76">
        <v>4.5</v>
      </c>
      <c r="F7" s="76">
        <v>5</v>
      </c>
      <c r="G7" s="76">
        <f>$D7*$E7*$F7</f>
        <v>112.5</v>
      </c>
      <c r="H7" s="76">
        <f>$G7*$C7</f>
        <v>1237.5</v>
      </c>
    </row>
    <row r="8" spans="1:8" x14ac:dyDescent="0.2">
      <c r="A8" s="79"/>
      <c r="B8" s="30" t="s">
        <v>13</v>
      </c>
      <c r="C8" s="75">
        <v>13</v>
      </c>
      <c r="D8" s="76">
        <v>6</v>
      </c>
      <c r="E8" s="76">
        <v>5.5</v>
      </c>
      <c r="F8" s="76">
        <v>5</v>
      </c>
      <c r="G8" s="76">
        <f t="shared" ref="G8:G72" si="0">$D8*$E8*$F8</f>
        <v>165</v>
      </c>
      <c r="H8" s="76">
        <f t="shared" ref="H8:H72" si="1">$G8*$C8</f>
        <v>2145</v>
      </c>
    </row>
    <row r="9" spans="1:8" x14ac:dyDescent="0.2">
      <c r="A9" s="79"/>
      <c r="B9" s="30" t="s">
        <v>14</v>
      </c>
      <c r="C9" s="75">
        <v>1</v>
      </c>
      <c r="D9" s="76">
        <v>3</v>
      </c>
      <c r="E9" s="76">
        <v>6</v>
      </c>
      <c r="F9" s="76">
        <v>5</v>
      </c>
      <c r="G9" s="76">
        <f t="shared" si="0"/>
        <v>90</v>
      </c>
      <c r="H9" s="76">
        <f t="shared" si="1"/>
        <v>90</v>
      </c>
    </row>
    <row r="10" spans="1:8" x14ac:dyDescent="0.2">
      <c r="A10" s="79"/>
      <c r="B10" s="30" t="s">
        <v>15</v>
      </c>
      <c r="C10" s="75">
        <v>22</v>
      </c>
      <c r="D10" s="76">
        <v>3.5</v>
      </c>
      <c r="E10" s="76">
        <v>4</v>
      </c>
      <c r="F10" s="76">
        <v>5</v>
      </c>
      <c r="G10" s="76">
        <f t="shared" si="0"/>
        <v>70</v>
      </c>
      <c r="H10" s="76">
        <f t="shared" si="1"/>
        <v>1540</v>
      </c>
    </row>
    <row r="11" spans="1:8" x14ac:dyDescent="0.2">
      <c r="A11" s="79"/>
      <c r="B11" s="30" t="s">
        <v>16</v>
      </c>
      <c r="C11" s="75">
        <v>3</v>
      </c>
      <c r="D11" s="76">
        <v>3.5</v>
      </c>
      <c r="E11" s="76">
        <v>3.5</v>
      </c>
      <c r="F11" s="76">
        <v>5</v>
      </c>
      <c r="G11" s="76">
        <f t="shared" si="0"/>
        <v>61.25</v>
      </c>
      <c r="H11" s="76">
        <f t="shared" si="1"/>
        <v>183.75</v>
      </c>
    </row>
    <row r="12" spans="1:8" x14ac:dyDescent="0.2">
      <c r="A12" s="79"/>
      <c r="B12" s="30" t="s">
        <v>17</v>
      </c>
      <c r="C12" s="75">
        <v>5</v>
      </c>
      <c r="D12" s="76">
        <v>5</v>
      </c>
      <c r="E12" s="76">
        <v>5.5</v>
      </c>
      <c r="F12" s="76">
        <v>5</v>
      </c>
      <c r="G12" s="76">
        <f t="shared" si="0"/>
        <v>137.5</v>
      </c>
      <c r="H12" s="76">
        <f t="shared" si="1"/>
        <v>687.5</v>
      </c>
    </row>
    <row r="13" spans="1:8" x14ac:dyDescent="0.2">
      <c r="A13" s="79"/>
      <c r="B13" s="30" t="s">
        <v>18</v>
      </c>
      <c r="C13" s="75">
        <v>0</v>
      </c>
      <c r="D13" s="76">
        <v>3.5</v>
      </c>
      <c r="E13" s="76">
        <v>3.5</v>
      </c>
      <c r="F13" s="76">
        <v>5</v>
      </c>
      <c r="G13" s="76">
        <f t="shared" si="0"/>
        <v>61.25</v>
      </c>
      <c r="H13" s="76">
        <f t="shared" si="1"/>
        <v>0</v>
      </c>
    </row>
    <row r="14" spans="1:8" x14ac:dyDescent="0.2">
      <c r="A14" s="79"/>
      <c r="B14" s="30" t="s">
        <v>19</v>
      </c>
      <c r="C14" s="75">
        <v>1</v>
      </c>
      <c r="D14" s="76">
        <v>6.5</v>
      </c>
      <c r="E14" s="76">
        <v>3.5</v>
      </c>
      <c r="F14" s="76">
        <v>5</v>
      </c>
      <c r="G14" s="76">
        <f t="shared" si="0"/>
        <v>113.75</v>
      </c>
      <c r="H14" s="76">
        <f t="shared" si="1"/>
        <v>113.75</v>
      </c>
    </row>
    <row r="15" spans="1:8" x14ac:dyDescent="0.2">
      <c r="A15" s="48">
        <v>1.2</v>
      </c>
      <c r="B15" s="97" t="s">
        <v>20</v>
      </c>
      <c r="C15" s="75"/>
      <c r="D15" s="76"/>
      <c r="E15" s="76"/>
      <c r="F15" s="76"/>
      <c r="G15" s="76"/>
      <c r="H15" s="76"/>
    </row>
    <row r="16" spans="1:8" x14ac:dyDescent="0.2">
      <c r="A16" s="79"/>
      <c r="B16" s="30" t="s">
        <v>21</v>
      </c>
      <c r="C16" s="75">
        <v>1</v>
      </c>
      <c r="D16" s="76">
        <f>88.75-3.5-(5*4)-5-6-3</f>
        <v>51.25</v>
      </c>
      <c r="E16" s="76">
        <v>1.5</v>
      </c>
      <c r="F16" s="76">
        <v>2</v>
      </c>
      <c r="G16" s="76">
        <f t="shared" si="0"/>
        <v>153.75</v>
      </c>
      <c r="H16" s="76">
        <f t="shared" si="1"/>
        <v>153.75</v>
      </c>
    </row>
    <row r="17" spans="1:8" x14ac:dyDescent="0.2">
      <c r="A17" s="79"/>
      <c r="B17" s="30" t="s">
        <v>22</v>
      </c>
      <c r="C17" s="75">
        <v>1</v>
      </c>
      <c r="D17" s="76">
        <f>88.75-(2*3.5)-(8*4)</f>
        <v>49.75</v>
      </c>
      <c r="E17" s="76">
        <v>1.5</v>
      </c>
      <c r="F17" s="76">
        <v>2</v>
      </c>
      <c r="G17" s="76">
        <f t="shared" si="0"/>
        <v>149.25</v>
      </c>
      <c r="H17" s="76">
        <f t="shared" si="1"/>
        <v>149.25</v>
      </c>
    </row>
    <row r="18" spans="1:8" x14ac:dyDescent="0.2">
      <c r="A18" s="79"/>
      <c r="B18" s="30" t="s">
        <v>23</v>
      </c>
      <c r="C18" s="75">
        <v>1</v>
      </c>
      <c r="D18" s="76">
        <f>50-(2*3)-(4*4)</f>
        <v>28</v>
      </c>
      <c r="E18" s="76">
        <v>1.5</v>
      </c>
      <c r="F18" s="76">
        <v>2</v>
      </c>
      <c r="G18" s="76">
        <f t="shared" si="0"/>
        <v>84</v>
      </c>
      <c r="H18" s="76">
        <f t="shared" si="1"/>
        <v>84</v>
      </c>
    </row>
    <row r="19" spans="1:8" x14ac:dyDescent="0.2">
      <c r="A19" s="79"/>
      <c r="B19" s="30" t="s">
        <v>24</v>
      </c>
      <c r="C19" s="75">
        <v>1</v>
      </c>
      <c r="D19" s="76">
        <f>50-(2*3)-(2*4)-(2*3.5)-9.33</f>
        <v>19.670000000000002</v>
      </c>
      <c r="E19" s="76">
        <v>1.5</v>
      </c>
      <c r="F19" s="76">
        <v>2</v>
      </c>
      <c r="G19" s="76">
        <f t="shared" si="0"/>
        <v>59.010000000000005</v>
      </c>
      <c r="H19" s="76">
        <f t="shared" si="1"/>
        <v>59.010000000000005</v>
      </c>
    </row>
    <row r="20" spans="1:8" x14ac:dyDescent="0.2">
      <c r="A20" s="48">
        <v>1.3</v>
      </c>
      <c r="B20" s="97" t="s">
        <v>25</v>
      </c>
      <c r="C20" s="75"/>
      <c r="D20" s="76"/>
      <c r="E20" s="76"/>
      <c r="F20" s="76"/>
      <c r="G20" s="76"/>
      <c r="H20" s="76"/>
    </row>
    <row r="21" spans="1:8" x14ac:dyDescent="0.2">
      <c r="A21" s="79"/>
      <c r="B21" s="30" t="s">
        <v>26</v>
      </c>
      <c r="C21" s="75">
        <v>1</v>
      </c>
      <c r="D21" s="76">
        <f>(6.5+8+7.5+1.75+4.25+1.75+4.75+11.25+6.167+6.833+2+6.4176+1.25)-(2.5+0.5)-5-6-(4.5/2)-(2.5+0.5)-5.5-2.25-2-(3+0.625)</f>
        <v>35.792599999999993</v>
      </c>
      <c r="E21" s="76">
        <v>1.5</v>
      </c>
      <c r="F21" s="76">
        <v>2</v>
      </c>
      <c r="G21" s="76">
        <f t="shared" si="0"/>
        <v>107.37779999999998</v>
      </c>
      <c r="H21" s="76">
        <f t="shared" si="1"/>
        <v>107.37779999999998</v>
      </c>
    </row>
    <row r="22" spans="1:8" x14ac:dyDescent="0.2">
      <c r="A22" s="79"/>
      <c r="B22" s="30" t="s">
        <v>27</v>
      </c>
      <c r="C22" s="75">
        <v>1</v>
      </c>
      <c r="D22" s="76">
        <f>(6.5+8+7.5+1.75+4.25+1.75+4.75+11.25+6.167+6.833+2+6.4176+1.25)-(2.5+0.5)-(3*5)-5.5-(2.5+0.5)</f>
        <v>41.917599999999993</v>
      </c>
      <c r="E22" s="76">
        <v>1.5</v>
      </c>
      <c r="F22" s="76">
        <v>2</v>
      </c>
      <c r="G22" s="76">
        <f t="shared" si="0"/>
        <v>125.75279999999998</v>
      </c>
      <c r="H22" s="76">
        <f t="shared" si="1"/>
        <v>125.75279999999998</v>
      </c>
    </row>
    <row r="23" spans="1:8" x14ac:dyDescent="0.2">
      <c r="A23" s="79"/>
      <c r="B23" s="30" t="s">
        <v>28</v>
      </c>
      <c r="C23" s="75">
        <v>1</v>
      </c>
      <c r="D23" s="76">
        <f>(7.25+1.75+0.333+3.167+1+1.5+4+0.5+1.333+8.167+1.75+4.75)-(4.5/2)-6-5.5-5.5-(4.5/2)</f>
        <v>14</v>
      </c>
      <c r="E23" s="76">
        <v>1.5</v>
      </c>
      <c r="F23" s="76">
        <v>2</v>
      </c>
      <c r="G23" s="76">
        <f t="shared" si="0"/>
        <v>42</v>
      </c>
      <c r="H23" s="76">
        <f t="shared" si="1"/>
        <v>42</v>
      </c>
    </row>
    <row r="24" spans="1:8" x14ac:dyDescent="0.2">
      <c r="A24" s="79"/>
      <c r="B24" s="30" t="s">
        <v>29</v>
      </c>
      <c r="C24" s="75">
        <v>1</v>
      </c>
      <c r="D24" s="76">
        <f>(7.25+1.75+0.333+3.167+1+1.5+4+0.5+1.333+8.167+1.75+4.75)-(2.5+0.5)-4.5-5.5-4-(4.5/2)</f>
        <v>16.25</v>
      </c>
      <c r="E24" s="76">
        <v>1.5</v>
      </c>
      <c r="F24" s="76">
        <v>2</v>
      </c>
      <c r="G24" s="76">
        <f t="shared" si="0"/>
        <v>48.75</v>
      </c>
      <c r="H24" s="76">
        <f t="shared" si="1"/>
        <v>48.75</v>
      </c>
    </row>
    <row r="25" spans="1:8" x14ac:dyDescent="0.2">
      <c r="A25" s="48">
        <v>1.4</v>
      </c>
      <c r="B25" s="97" t="s">
        <v>30</v>
      </c>
      <c r="C25" s="75"/>
      <c r="D25" s="76"/>
      <c r="E25" s="76"/>
      <c r="F25" s="76"/>
      <c r="G25" s="76"/>
      <c r="H25" s="76"/>
    </row>
    <row r="26" spans="1:8" x14ac:dyDescent="0.2">
      <c r="A26" s="79"/>
      <c r="B26" s="30" t="s">
        <v>31</v>
      </c>
      <c r="C26" s="75">
        <v>1</v>
      </c>
      <c r="D26" s="76">
        <f>8+(16/12)</f>
        <v>9.3333333333333339</v>
      </c>
      <c r="E26" s="76">
        <f>8+(16/12)</f>
        <v>9.3333333333333339</v>
      </c>
      <c r="F26" s="76">
        <v>8</v>
      </c>
      <c r="G26" s="76">
        <f t="shared" si="0"/>
        <v>696.88888888888903</v>
      </c>
      <c r="H26" s="76">
        <f t="shared" si="1"/>
        <v>696.88888888888903</v>
      </c>
    </row>
    <row r="27" spans="1:8" x14ac:dyDescent="0.2">
      <c r="A27" s="48">
        <v>1.5</v>
      </c>
      <c r="B27" s="97" t="s">
        <v>32</v>
      </c>
      <c r="C27" s="75"/>
      <c r="D27" s="76"/>
      <c r="E27" s="76"/>
      <c r="F27" s="76"/>
      <c r="G27" s="76"/>
      <c r="H27" s="77">
        <f>SUM(H7:H26)</f>
        <v>7464.2794888888893</v>
      </c>
    </row>
    <row r="28" spans="1:8" x14ac:dyDescent="0.2">
      <c r="A28" s="79"/>
      <c r="B28" s="30"/>
      <c r="C28" s="75"/>
      <c r="D28" s="76"/>
      <c r="E28" s="76"/>
      <c r="F28" s="76"/>
      <c r="G28" s="76"/>
      <c r="H28" s="76"/>
    </row>
    <row r="29" spans="1:8" x14ac:dyDescent="0.2">
      <c r="A29" s="48">
        <v>2</v>
      </c>
      <c r="B29" s="97" t="s">
        <v>33</v>
      </c>
      <c r="C29" s="75"/>
      <c r="D29" s="76"/>
      <c r="E29" s="76"/>
      <c r="F29" s="76"/>
      <c r="G29" s="76"/>
      <c r="H29" s="76"/>
    </row>
    <row r="30" spans="1:8" x14ac:dyDescent="0.2">
      <c r="A30" s="48">
        <v>2.1</v>
      </c>
      <c r="B30" s="97" t="s">
        <v>34</v>
      </c>
      <c r="C30" s="75"/>
      <c r="D30" s="76"/>
      <c r="E30" s="76"/>
      <c r="F30" s="76"/>
      <c r="G30" s="76"/>
      <c r="H30" s="76"/>
    </row>
    <row r="31" spans="1:8" x14ac:dyDescent="0.2">
      <c r="A31" s="102"/>
      <c r="B31" s="103" t="s">
        <v>12</v>
      </c>
      <c r="C31" s="104">
        <v>11</v>
      </c>
      <c r="D31" s="105">
        <v>5</v>
      </c>
      <c r="E31" s="105">
        <v>4.5</v>
      </c>
      <c r="F31" s="105">
        <v>0.5</v>
      </c>
      <c r="G31" s="76">
        <f t="shared" si="0"/>
        <v>11.25</v>
      </c>
      <c r="H31" s="76">
        <f t="shared" si="1"/>
        <v>123.75</v>
      </c>
    </row>
    <row r="32" spans="1:8" x14ac:dyDescent="0.2">
      <c r="A32" s="102"/>
      <c r="B32" s="103" t="s">
        <v>13</v>
      </c>
      <c r="C32" s="104">
        <v>13</v>
      </c>
      <c r="D32" s="105">
        <v>6</v>
      </c>
      <c r="E32" s="105">
        <v>5.5</v>
      </c>
      <c r="F32" s="105">
        <v>0.5</v>
      </c>
      <c r="G32" s="76">
        <f t="shared" si="0"/>
        <v>16.5</v>
      </c>
      <c r="H32" s="76">
        <f t="shared" si="1"/>
        <v>214.5</v>
      </c>
    </row>
    <row r="33" spans="1:8" x14ac:dyDescent="0.2">
      <c r="A33" s="102"/>
      <c r="B33" s="103" t="s">
        <v>14</v>
      </c>
      <c r="C33" s="104">
        <v>1</v>
      </c>
      <c r="D33" s="105">
        <v>3</v>
      </c>
      <c r="E33" s="105">
        <v>6</v>
      </c>
      <c r="F33" s="105">
        <v>0.5</v>
      </c>
      <c r="G33" s="76">
        <f t="shared" si="0"/>
        <v>9</v>
      </c>
      <c r="H33" s="76">
        <f t="shared" si="1"/>
        <v>9</v>
      </c>
    </row>
    <row r="34" spans="1:8" x14ac:dyDescent="0.2">
      <c r="A34" s="102"/>
      <c r="B34" s="103" t="s">
        <v>15</v>
      </c>
      <c r="C34" s="104">
        <v>22</v>
      </c>
      <c r="D34" s="105">
        <v>3.5</v>
      </c>
      <c r="E34" s="105">
        <v>4</v>
      </c>
      <c r="F34" s="105">
        <v>0.5</v>
      </c>
      <c r="G34" s="76">
        <f t="shared" si="0"/>
        <v>7</v>
      </c>
      <c r="H34" s="76">
        <f t="shared" si="1"/>
        <v>154</v>
      </c>
    </row>
    <row r="35" spans="1:8" x14ac:dyDescent="0.2">
      <c r="A35" s="102"/>
      <c r="B35" s="103" t="s">
        <v>16</v>
      </c>
      <c r="C35" s="104">
        <v>3</v>
      </c>
      <c r="D35" s="105">
        <v>3.5</v>
      </c>
      <c r="E35" s="105">
        <v>3.5</v>
      </c>
      <c r="F35" s="105">
        <v>0.5</v>
      </c>
      <c r="G35" s="76">
        <f t="shared" si="0"/>
        <v>6.125</v>
      </c>
      <c r="H35" s="76">
        <f t="shared" si="1"/>
        <v>18.375</v>
      </c>
    </row>
    <row r="36" spans="1:8" x14ac:dyDescent="0.2">
      <c r="A36" s="102"/>
      <c r="B36" s="103" t="s">
        <v>17</v>
      </c>
      <c r="C36" s="104">
        <v>5</v>
      </c>
      <c r="D36" s="105">
        <v>5</v>
      </c>
      <c r="E36" s="105">
        <v>5.5</v>
      </c>
      <c r="F36" s="105">
        <v>0.5</v>
      </c>
      <c r="G36" s="76">
        <f t="shared" si="0"/>
        <v>13.75</v>
      </c>
      <c r="H36" s="76">
        <f t="shared" si="1"/>
        <v>68.75</v>
      </c>
    </row>
    <row r="37" spans="1:8" x14ac:dyDescent="0.2">
      <c r="A37" s="102"/>
      <c r="B37" s="103" t="s">
        <v>18</v>
      </c>
      <c r="C37" s="104">
        <v>0</v>
      </c>
      <c r="D37" s="105">
        <v>3.5</v>
      </c>
      <c r="E37" s="105">
        <v>3.5</v>
      </c>
      <c r="F37" s="105">
        <v>0.5</v>
      </c>
      <c r="G37" s="76">
        <f t="shared" si="0"/>
        <v>6.125</v>
      </c>
      <c r="H37" s="76">
        <f t="shared" si="1"/>
        <v>0</v>
      </c>
    </row>
    <row r="38" spans="1:8" x14ac:dyDescent="0.2">
      <c r="A38" s="102"/>
      <c r="B38" s="103" t="s">
        <v>19</v>
      </c>
      <c r="C38" s="104">
        <v>1</v>
      </c>
      <c r="D38" s="105">
        <v>6.5</v>
      </c>
      <c r="E38" s="105">
        <v>3.5</v>
      </c>
      <c r="F38" s="105">
        <v>0.5</v>
      </c>
      <c r="G38" s="76">
        <f t="shared" si="0"/>
        <v>11.375</v>
      </c>
      <c r="H38" s="76">
        <f t="shared" si="1"/>
        <v>11.375</v>
      </c>
    </row>
    <row r="39" spans="1:8" x14ac:dyDescent="0.2">
      <c r="A39" s="48">
        <v>2.2000000000000002</v>
      </c>
      <c r="B39" s="97" t="s">
        <v>35</v>
      </c>
      <c r="C39" s="75"/>
      <c r="D39" s="76"/>
      <c r="E39" s="76"/>
      <c r="F39" s="76"/>
      <c r="G39" s="76"/>
      <c r="H39" s="76"/>
    </row>
    <row r="40" spans="1:8" x14ac:dyDescent="0.2">
      <c r="A40" s="102"/>
      <c r="B40" s="103" t="s">
        <v>36</v>
      </c>
      <c r="C40" s="104">
        <v>1</v>
      </c>
      <c r="D40" s="105">
        <f>8+(16/12)</f>
        <v>9.3333333333333339</v>
      </c>
      <c r="E40" s="105">
        <f>6+(16/12)</f>
        <v>7.333333333333333</v>
      </c>
      <c r="F40" s="105">
        <f>4/12</f>
        <v>0.33333333333333331</v>
      </c>
      <c r="G40" s="76">
        <f t="shared" si="0"/>
        <v>22.814814814814813</v>
      </c>
      <c r="H40" s="76">
        <f t="shared" si="1"/>
        <v>22.814814814814813</v>
      </c>
    </row>
    <row r="41" spans="1:8" x14ac:dyDescent="0.2">
      <c r="A41" s="48">
        <v>2.2999999999999998</v>
      </c>
      <c r="B41" s="97" t="s">
        <v>37</v>
      </c>
      <c r="C41" s="75"/>
      <c r="D41" s="76"/>
      <c r="E41" s="76"/>
      <c r="F41" s="76"/>
      <c r="G41" s="76"/>
      <c r="H41" s="76"/>
    </row>
    <row r="42" spans="1:8" x14ac:dyDescent="0.2">
      <c r="A42" s="30"/>
      <c r="B42" s="30" t="s">
        <v>21</v>
      </c>
      <c r="C42" s="75">
        <v>1</v>
      </c>
      <c r="D42" s="76">
        <f>88.75-(6*1)-(21/12)-(21/12)-1</f>
        <v>78.25</v>
      </c>
      <c r="E42" s="105">
        <v>1.5</v>
      </c>
      <c r="F42" s="105">
        <v>0.5</v>
      </c>
      <c r="G42" s="76">
        <f t="shared" si="0"/>
        <v>58.6875</v>
      </c>
      <c r="H42" s="76">
        <f t="shared" si="1"/>
        <v>58.6875</v>
      </c>
    </row>
    <row r="43" spans="1:8" x14ac:dyDescent="0.2">
      <c r="A43" s="30"/>
      <c r="B43" s="30" t="s">
        <v>22</v>
      </c>
      <c r="C43" s="75">
        <v>1</v>
      </c>
      <c r="D43" s="76">
        <f>88.75-(10*1)</f>
        <v>78.75</v>
      </c>
      <c r="E43" s="105">
        <v>1.5</v>
      </c>
      <c r="F43" s="105">
        <v>0.5</v>
      </c>
      <c r="G43" s="76">
        <f t="shared" si="0"/>
        <v>59.0625</v>
      </c>
      <c r="H43" s="76">
        <f t="shared" si="1"/>
        <v>59.0625</v>
      </c>
    </row>
    <row r="44" spans="1:8" x14ac:dyDescent="0.2">
      <c r="A44" s="30"/>
      <c r="B44" s="30" t="s">
        <v>23</v>
      </c>
      <c r="C44" s="75">
        <v>1</v>
      </c>
      <c r="D44" s="76">
        <f>50-(2*0.5)-(4*1)</f>
        <v>45</v>
      </c>
      <c r="E44" s="105">
        <v>1.5</v>
      </c>
      <c r="F44" s="105">
        <v>0.5</v>
      </c>
      <c r="G44" s="76">
        <f t="shared" si="0"/>
        <v>33.75</v>
      </c>
      <c r="H44" s="76">
        <f t="shared" si="1"/>
        <v>33.75</v>
      </c>
    </row>
    <row r="45" spans="1:8" x14ac:dyDescent="0.2">
      <c r="A45" s="30"/>
      <c r="B45" s="30" t="s">
        <v>24</v>
      </c>
      <c r="C45" s="75">
        <v>1</v>
      </c>
      <c r="D45" s="76">
        <f>50-3-1-1-0.5-12.5</f>
        <v>32</v>
      </c>
      <c r="E45" s="105">
        <v>1.5</v>
      </c>
      <c r="F45" s="105">
        <v>0.5</v>
      </c>
      <c r="G45" s="76">
        <f t="shared" si="0"/>
        <v>24</v>
      </c>
      <c r="H45" s="76">
        <f t="shared" si="1"/>
        <v>24</v>
      </c>
    </row>
    <row r="46" spans="1:8" x14ac:dyDescent="0.2">
      <c r="A46" s="48">
        <v>2.4</v>
      </c>
      <c r="B46" s="97" t="s">
        <v>38</v>
      </c>
      <c r="C46" s="75"/>
      <c r="D46" s="76"/>
      <c r="E46" s="76"/>
      <c r="F46" s="76"/>
      <c r="G46" s="76"/>
      <c r="H46" s="76"/>
    </row>
    <row r="47" spans="1:8" x14ac:dyDescent="0.2">
      <c r="A47" s="30"/>
      <c r="B47" s="30" t="s">
        <v>39</v>
      </c>
      <c r="C47" s="75">
        <v>1</v>
      </c>
      <c r="D47" s="76">
        <f>(6.5+8+7.5+1.75+4.25+1.75+4.75+11.25+6.167+6.833+0.5)-1.167-1.5-1.5-0.5-0.5-1.5-1.5-0.5</f>
        <v>50.582999999999998</v>
      </c>
      <c r="E47" s="76">
        <v>1.5</v>
      </c>
      <c r="F47" s="76">
        <v>0.5</v>
      </c>
      <c r="G47" s="76">
        <f t="shared" si="0"/>
        <v>37.937249999999999</v>
      </c>
      <c r="H47" s="76">
        <f t="shared" si="1"/>
        <v>37.937249999999999</v>
      </c>
    </row>
    <row r="48" spans="1:8" x14ac:dyDescent="0.2">
      <c r="A48" s="30"/>
      <c r="B48" s="30" t="s">
        <v>40</v>
      </c>
      <c r="C48" s="75">
        <v>1</v>
      </c>
      <c r="D48" s="76">
        <f>4.25-0.5+1.75+0.5-(14/12)</f>
        <v>4.833333333333333</v>
      </c>
      <c r="E48" s="76">
        <v>1.5</v>
      </c>
      <c r="F48" s="76">
        <v>0.5</v>
      </c>
      <c r="G48" s="76">
        <f t="shared" si="0"/>
        <v>3.625</v>
      </c>
      <c r="H48" s="76">
        <f t="shared" si="1"/>
        <v>3.625</v>
      </c>
    </row>
    <row r="49" spans="1:8" x14ac:dyDescent="0.2">
      <c r="A49" s="30"/>
      <c r="B49" s="30" t="s">
        <v>41</v>
      </c>
      <c r="C49" s="75">
        <v>1</v>
      </c>
      <c r="D49" s="76">
        <f>6.5+0.5-(14/12)</f>
        <v>5.833333333333333</v>
      </c>
      <c r="E49" s="76">
        <v>1.5</v>
      </c>
      <c r="F49" s="76">
        <v>0.5</v>
      </c>
      <c r="G49" s="76">
        <f t="shared" si="0"/>
        <v>4.375</v>
      </c>
      <c r="H49" s="76">
        <f t="shared" si="1"/>
        <v>4.375</v>
      </c>
    </row>
    <row r="50" spans="1:8" x14ac:dyDescent="0.2">
      <c r="A50" s="30"/>
      <c r="B50" s="30" t="s">
        <v>42</v>
      </c>
      <c r="C50" s="75">
        <v>1</v>
      </c>
      <c r="D50" s="76">
        <f>6.167+6.833+2+0.5-(18/12)</f>
        <v>14</v>
      </c>
      <c r="E50" s="76">
        <v>1.5</v>
      </c>
      <c r="F50" s="76">
        <v>0.5</v>
      </c>
      <c r="G50" s="76">
        <f t="shared" si="0"/>
        <v>10.5</v>
      </c>
      <c r="H50" s="76">
        <f t="shared" si="1"/>
        <v>10.5</v>
      </c>
    </row>
    <row r="51" spans="1:8" x14ac:dyDescent="0.2">
      <c r="A51" s="30"/>
      <c r="B51" s="30" t="s">
        <v>43</v>
      </c>
      <c r="C51" s="75">
        <v>1</v>
      </c>
      <c r="D51" s="76">
        <f>(6.5+8+7.5+1.75+4.25+1.75+4.75+11.25+0.5)-0.5-(21/12)-1.5-1.5</f>
        <v>41</v>
      </c>
      <c r="E51" s="76">
        <v>1.5</v>
      </c>
      <c r="F51" s="76">
        <v>0.5</v>
      </c>
      <c r="G51" s="76">
        <f t="shared" si="0"/>
        <v>30.75</v>
      </c>
      <c r="H51" s="76">
        <f t="shared" si="1"/>
        <v>30.75</v>
      </c>
    </row>
    <row r="52" spans="1:8" x14ac:dyDescent="0.2">
      <c r="A52" s="30"/>
      <c r="B52" s="30" t="s">
        <v>44</v>
      </c>
      <c r="C52" s="75">
        <v>1</v>
      </c>
      <c r="D52" s="76">
        <f>1.25+6.4167+0.5-0.5-0.5</f>
        <v>7.1666999999999987</v>
      </c>
      <c r="E52" s="76">
        <v>1.5</v>
      </c>
      <c r="F52" s="76">
        <v>0.5</v>
      </c>
      <c r="G52" s="76">
        <f t="shared" si="0"/>
        <v>5.3750249999999991</v>
      </c>
      <c r="H52" s="76">
        <f t="shared" si="1"/>
        <v>5.3750249999999991</v>
      </c>
    </row>
    <row r="53" spans="1:8" x14ac:dyDescent="0.2">
      <c r="A53" s="30"/>
      <c r="B53" s="30" t="s">
        <v>45</v>
      </c>
      <c r="C53" s="75">
        <v>1</v>
      </c>
      <c r="D53" s="76">
        <f>(7.5+1.75+4.25+1.75+4.75+0.5)-1.5-1.5-0.5</f>
        <v>17</v>
      </c>
      <c r="E53" s="76">
        <v>1.5</v>
      </c>
      <c r="F53" s="76">
        <v>0.5</v>
      </c>
      <c r="G53" s="76">
        <f t="shared" si="0"/>
        <v>12.75</v>
      </c>
      <c r="H53" s="76">
        <f t="shared" si="1"/>
        <v>12.75</v>
      </c>
    </row>
    <row r="54" spans="1:8" x14ac:dyDescent="0.2">
      <c r="A54" s="30"/>
      <c r="B54" s="30" t="s">
        <v>46</v>
      </c>
      <c r="C54" s="75">
        <v>1</v>
      </c>
      <c r="D54" s="76">
        <f>(6.833+2+6.4167+1.25+0.5)-0.5-1.5-0.5</f>
        <v>14.499700000000001</v>
      </c>
      <c r="E54" s="76">
        <v>1.5</v>
      </c>
      <c r="F54" s="76">
        <v>0.5</v>
      </c>
      <c r="G54" s="76">
        <f t="shared" si="0"/>
        <v>10.874775</v>
      </c>
      <c r="H54" s="76">
        <f t="shared" si="1"/>
        <v>10.874775</v>
      </c>
    </row>
    <row r="55" spans="1:8" x14ac:dyDescent="0.2">
      <c r="A55" s="30"/>
      <c r="B55" s="30" t="s">
        <v>47</v>
      </c>
      <c r="C55" s="75">
        <v>1</v>
      </c>
      <c r="D55" s="76">
        <f>(1.75+4.75+0.5)</f>
        <v>7</v>
      </c>
      <c r="E55" s="76">
        <v>1.5</v>
      </c>
      <c r="F55" s="76">
        <v>0.5</v>
      </c>
      <c r="G55" s="76">
        <f t="shared" si="0"/>
        <v>5.25</v>
      </c>
      <c r="H55" s="76">
        <f t="shared" si="1"/>
        <v>5.25</v>
      </c>
    </row>
    <row r="56" spans="1:8" x14ac:dyDescent="0.2">
      <c r="A56" s="30"/>
      <c r="B56" s="30" t="s">
        <v>48</v>
      </c>
      <c r="C56" s="75">
        <v>1</v>
      </c>
      <c r="D56" s="76">
        <f>(6.5+8+0.5)-1.5</f>
        <v>13.5</v>
      </c>
      <c r="E56" s="76">
        <v>1.5</v>
      </c>
      <c r="F56" s="76">
        <v>0.5</v>
      </c>
      <c r="G56" s="76">
        <f t="shared" si="0"/>
        <v>10.125</v>
      </c>
      <c r="H56" s="76">
        <f t="shared" si="1"/>
        <v>10.125</v>
      </c>
    </row>
    <row r="57" spans="1:8" x14ac:dyDescent="0.2">
      <c r="A57" s="30"/>
      <c r="B57" s="30" t="s">
        <v>27</v>
      </c>
      <c r="C57" s="75">
        <v>1</v>
      </c>
      <c r="D57" s="76">
        <f>(6.5+8+7.5+1.75+4.25+1.75+4.75+11.25+6.167+6.833+2+6.4176+1.25+0.5)-1.5-0.5-0.5-0.5-(21/12)-(21/12)-(21/12)</f>
        <v>60.667599999999993</v>
      </c>
      <c r="E57" s="76">
        <v>1.5</v>
      </c>
      <c r="F57" s="76">
        <v>0.5</v>
      </c>
      <c r="G57" s="76">
        <f t="shared" si="0"/>
        <v>45.500699999999995</v>
      </c>
      <c r="H57" s="76">
        <f t="shared" si="1"/>
        <v>45.500699999999995</v>
      </c>
    </row>
    <row r="58" spans="1:8" x14ac:dyDescent="0.2">
      <c r="A58" s="48">
        <v>2.5</v>
      </c>
      <c r="B58" s="97" t="s">
        <v>49</v>
      </c>
      <c r="C58" s="75"/>
      <c r="D58" s="76"/>
      <c r="E58" s="76"/>
      <c r="F58" s="76"/>
      <c r="G58" s="76"/>
      <c r="H58" s="76"/>
    </row>
    <row r="59" spans="1:8" x14ac:dyDescent="0.2">
      <c r="A59" s="30"/>
      <c r="B59" s="30" t="s">
        <v>28</v>
      </c>
      <c r="C59" s="75">
        <v>1</v>
      </c>
      <c r="D59" s="76">
        <f>(7.25+1.75+0.333+3.167+1+1.5+4+0.5+1.333+8.167+1.75+4.75+0.5)-(6*0.5)-1.5</f>
        <v>31.5</v>
      </c>
      <c r="E59" s="76">
        <v>1.5</v>
      </c>
      <c r="F59" s="76">
        <v>0.5</v>
      </c>
      <c r="G59" s="76">
        <f t="shared" si="0"/>
        <v>23.625</v>
      </c>
      <c r="H59" s="76">
        <f t="shared" si="1"/>
        <v>23.625</v>
      </c>
    </row>
    <row r="60" spans="1:8" x14ac:dyDescent="0.2">
      <c r="A60" s="30"/>
      <c r="B60" s="30" t="s">
        <v>50</v>
      </c>
      <c r="C60" s="75">
        <v>1</v>
      </c>
      <c r="D60" s="76">
        <f>(7.25+1.75+0.333+3.167+1+0.5)-0.5-0.5</f>
        <v>13</v>
      </c>
      <c r="E60" s="76">
        <v>1.5</v>
      </c>
      <c r="F60" s="76">
        <v>0.5</v>
      </c>
      <c r="G60" s="76">
        <f t="shared" si="0"/>
        <v>9.75</v>
      </c>
      <c r="H60" s="76">
        <f t="shared" si="1"/>
        <v>9.75</v>
      </c>
    </row>
    <row r="61" spans="1:8" x14ac:dyDescent="0.2">
      <c r="A61" s="30"/>
      <c r="B61" s="30" t="s">
        <v>51</v>
      </c>
      <c r="C61" s="75">
        <v>1</v>
      </c>
      <c r="D61" s="76">
        <f>(4.75+1.75+0.5)-(2*1)</f>
        <v>5</v>
      </c>
      <c r="E61" s="76">
        <v>1.5</v>
      </c>
      <c r="F61" s="76">
        <v>0.5</v>
      </c>
      <c r="G61" s="76">
        <f t="shared" si="0"/>
        <v>3.75</v>
      </c>
      <c r="H61" s="76">
        <f t="shared" si="1"/>
        <v>3.75</v>
      </c>
    </row>
    <row r="62" spans="1:8" x14ac:dyDescent="0.2">
      <c r="A62" s="30"/>
      <c r="B62" s="30" t="s">
        <v>52</v>
      </c>
      <c r="C62" s="75">
        <v>1</v>
      </c>
      <c r="D62" s="76">
        <f>(1.5+4+0.5+1.333+8.167+1.75+4.75+0.5)-0.5-(21/12)-1.5-0.5</f>
        <v>18.25</v>
      </c>
      <c r="E62" s="76">
        <v>1.5</v>
      </c>
      <c r="F62" s="76">
        <v>0.5</v>
      </c>
      <c r="G62" s="76">
        <f t="shared" si="0"/>
        <v>13.6875</v>
      </c>
      <c r="H62" s="76">
        <f t="shared" si="1"/>
        <v>13.6875</v>
      </c>
    </row>
    <row r="63" spans="1:8" x14ac:dyDescent="0.2">
      <c r="A63" s="30"/>
      <c r="B63" s="30" t="s">
        <v>53</v>
      </c>
      <c r="C63" s="75">
        <v>1</v>
      </c>
      <c r="D63" s="76">
        <f>(7.25+1.75+0.333+3.167+1+0.5)-0.5-0.5-1.5</f>
        <v>11.5</v>
      </c>
      <c r="E63" s="76">
        <v>1.5</v>
      </c>
      <c r="F63" s="76">
        <v>0.5</v>
      </c>
      <c r="G63" s="76">
        <f t="shared" si="0"/>
        <v>8.625</v>
      </c>
      <c r="H63" s="76">
        <f t="shared" si="1"/>
        <v>8.625</v>
      </c>
    </row>
    <row r="64" spans="1:8" x14ac:dyDescent="0.2">
      <c r="A64" s="30"/>
      <c r="B64" s="30" t="s">
        <v>54</v>
      </c>
      <c r="C64" s="75">
        <v>1</v>
      </c>
      <c r="D64" s="76">
        <f>7.25+0.5-(14/12)-0.5-1.5</f>
        <v>4.583333333333333</v>
      </c>
      <c r="E64" s="76">
        <v>1.5</v>
      </c>
      <c r="F64" s="76">
        <v>0.5</v>
      </c>
      <c r="G64" s="76">
        <f t="shared" si="0"/>
        <v>3.4375</v>
      </c>
      <c r="H64" s="76">
        <f t="shared" si="1"/>
        <v>3.4375</v>
      </c>
    </row>
    <row r="65" spans="1:8" x14ac:dyDescent="0.2">
      <c r="A65" s="30"/>
      <c r="B65" s="30" t="s">
        <v>55</v>
      </c>
      <c r="C65" s="75">
        <v>1</v>
      </c>
      <c r="D65" s="76">
        <f>(0.5+1.333+8.167+1.75+4.75+0.5)-0.5-1.5-1.5</f>
        <v>13.5</v>
      </c>
      <c r="E65" s="76">
        <v>1.5</v>
      </c>
      <c r="F65" s="76">
        <v>0.5</v>
      </c>
      <c r="G65" s="76">
        <f t="shared" si="0"/>
        <v>10.125</v>
      </c>
      <c r="H65" s="76">
        <f t="shared" si="1"/>
        <v>10.125</v>
      </c>
    </row>
    <row r="66" spans="1:8" x14ac:dyDescent="0.2">
      <c r="A66" s="30"/>
      <c r="B66" s="30" t="s">
        <v>56</v>
      </c>
      <c r="C66" s="75">
        <v>1</v>
      </c>
      <c r="D66" s="76">
        <f>(7.25+1.75+0.333+3.167+1+0.5+1.333+8.167+1.75+4.75+0.5)-0.5-0.5-2-0.5-1.5-1.5</f>
        <v>24</v>
      </c>
      <c r="E66" s="76">
        <v>1.5</v>
      </c>
      <c r="F66" s="76">
        <v>0.5</v>
      </c>
      <c r="G66" s="76">
        <f t="shared" si="0"/>
        <v>18</v>
      </c>
      <c r="H66" s="76">
        <f t="shared" si="1"/>
        <v>18</v>
      </c>
    </row>
    <row r="67" spans="1:8" x14ac:dyDescent="0.2">
      <c r="A67" s="30"/>
      <c r="B67" s="30" t="s">
        <v>57</v>
      </c>
      <c r="C67" s="75">
        <v>1</v>
      </c>
      <c r="D67" s="76">
        <f>(7.25+1.75+0.333+3.167+0.5)-0.5-1.5-1.5</f>
        <v>9.5</v>
      </c>
      <c r="E67" s="76">
        <v>1.5</v>
      </c>
      <c r="F67" s="76">
        <v>0.5</v>
      </c>
      <c r="G67" s="76">
        <f t="shared" si="0"/>
        <v>7.125</v>
      </c>
      <c r="H67" s="76">
        <f t="shared" si="1"/>
        <v>7.125</v>
      </c>
    </row>
    <row r="68" spans="1:8" x14ac:dyDescent="0.2">
      <c r="A68" s="30"/>
      <c r="B68" s="30" t="s">
        <v>58</v>
      </c>
      <c r="C68" s="75">
        <v>1</v>
      </c>
      <c r="D68" s="76">
        <v>9.3000000000000007</v>
      </c>
      <c r="E68" s="76">
        <v>1.5</v>
      </c>
      <c r="F68" s="76">
        <v>0.5</v>
      </c>
      <c r="G68" s="76">
        <f t="shared" si="0"/>
        <v>6.9750000000000005</v>
      </c>
      <c r="H68" s="76">
        <f t="shared" si="1"/>
        <v>6.9750000000000005</v>
      </c>
    </row>
    <row r="69" spans="1:8" x14ac:dyDescent="0.2">
      <c r="A69" s="30"/>
      <c r="B69" s="30" t="s">
        <v>59</v>
      </c>
      <c r="C69" s="75">
        <v>1</v>
      </c>
      <c r="D69" s="76">
        <f>(1.333+8.167+1.75+4.75+0.5)-0.5-2</f>
        <v>14</v>
      </c>
      <c r="E69" s="76">
        <v>1.5</v>
      </c>
      <c r="F69" s="76">
        <v>0.5</v>
      </c>
      <c r="G69" s="76">
        <f t="shared" si="0"/>
        <v>10.5</v>
      </c>
      <c r="H69" s="76">
        <f t="shared" si="1"/>
        <v>10.5</v>
      </c>
    </row>
    <row r="70" spans="1:8" x14ac:dyDescent="0.2">
      <c r="A70" s="30"/>
      <c r="B70" s="30" t="s">
        <v>60</v>
      </c>
      <c r="C70" s="75">
        <v>1</v>
      </c>
      <c r="D70" s="76">
        <f>(7.25+1.75+0.333+0.5)-1.5-1</f>
        <v>7.3330000000000002</v>
      </c>
      <c r="E70" s="76">
        <v>1.5</v>
      </c>
      <c r="F70" s="76">
        <v>0.5</v>
      </c>
      <c r="G70" s="76">
        <f t="shared" si="0"/>
        <v>5.4997500000000006</v>
      </c>
      <c r="H70" s="76">
        <f t="shared" si="1"/>
        <v>5.4997500000000006</v>
      </c>
    </row>
    <row r="71" spans="1:8" x14ac:dyDescent="0.2">
      <c r="A71" s="30"/>
      <c r="B71" s="30" t="s">
        <v>61</v>
      </c>
      <c r="C71" s="75">
        <v>1</v>
      </c>
      <c r="D71" s="76">
        <f>(3.167+1+1.5+4+0.5+0.5)-0.5-0.5-1.5</f>
        <v>8.1669999999999998</v>
      </c>
      <c r="E71" s="76">
        <v>1.5</v>
      </c>
      <c r="F71" s="76">
        <v>0.5</v>
      </c>
      <c r="G71" s="76">
        <f t="shared" si="0"/>
        <v>6.1252499999999994</v>
      </c>
      <c r="H71" s="76">
        <f t="shared" si="1"/>
        <v>6.1252499999999994</v>
      </c>
    </row>
    <row r="72" spans="1:8" x14ac:dyDescent="0.2">
      <c r="A72" s="30"/>
      <c r="B72" s="30" t="s">
        <v>62</v>
      </c>
      <c r="C72" s="75">
        <v>1</v>
      </c>
      <c r="D72" s="76">
        <f>(4+0.5+1.333+8.167+1.75+4.75+0.5)-1.5-(21/12)-0.5</f>
        <v>17.25</v>
      </c>
      <c r="E72" s="76">
        <v>1.5</v>
      </c>
      <c r="F72" s="76">
        <v>0.5</v>
      </c>
      <c r="G72" s="76">
        <f t="shared" si="0"/>
        <v>12.9375</v>
      </c>
      <c r="H72" s="76">
        <f t="shared" si="1"/>
        <v>12.9375</v>
      </c>
    </row>
    <row r="73" spans="1:8" x14ac:dyDescent="0.2">
      <c r="A73" s="48">
        <v>2.5</v>
      </c>
      <c r="B73" s="97" t="s">
        <v>63</v>
      </c>
      <c r="C73" s="75"/>
      <c r="D73" s="76"/>
      <c r="E73" s="76"/>
      <c r="F73" s="76"/>
      <c r="G73" s="76"/>
      <c r="H73" s="77">
        <f>SUM(H31:H72)</f>
        <v>1115.2900648148147</v>
      </c>
    </row>
    <row r="74" spans="1:8" x14ac:dyDescent="0.2">
      <c r="A74" s="30"/>
      <c r="B74" s="30"/>
      <c r="C74" s="75"/>
      <c r="D74" s="76"/>
      <c r="E74" s="76"/>
      <c r="F74" s="76"/>
      <c r="G74" s="76"/>
      <c r="H74" s="76"/>
    </row>
    <row r="75" spans="1:8" x14ac:dyDescent="0.2">
      <c r="A75" s="48">
        <v>3</v>
      </c>
      <c r="B75" s="97" t="s">
        <v>64</v>
      </c>
      <c r="C75" s="75"/>
      <c r="D75" s="76"/>
      <c r="E75" s="76"/>
      <c r="F75" s="76"/>
      <c r="G75" s="76"/>
      <c r="H75" s="76"/>
    </row>
    <row r="76" spans="1:8" x14ac:dyDescent="0.2">
      <c r="A76" s="48">
        <v>3.1</v>
      </c>
      <c r="B76" s="97" t="s">
        <v>65</v>
      </c>
      <c r="C76" s="75"/>
      <c r="D76" s="76"/>
      <c r="E76" s="76"/>
      <c r="F76" s="76"/>
      <c r="G76" s="76"/>
      <c r="H76" s="76"/>
    </row>
    <row r="77" spans="1:8" x14ac:dyDescent="0.2">
      <c r="A77" s="30"/>
      <c r="B77" s="30" t="s">
        <v>21</v>
      </c>
      <c r="C77" s="75">
        <v>1</v>
      </c>
      <c r="D77" s="76">
        <f>88.75-(6*1)-(21/12)-(21/12)-1</f>
        <v>78.25</v>
      </c>
      <c r="E77" s="105">
        <v>1.5</v>
      </c>
      <c r="F77" s="105">
        <v>1.5</v>
      </c>
      <c r="G77" s="76">
        <f t="shared" ref="G77:G80" si="2">$D77*$E77*$F77</f>
        <v>176.0625</v>
      </c>
      <c r="H77" s="76">
        <f t="shared" ref="H77:H80" si="3">$G77*$C77</f>
        <v>176.0625</v>
      </c>
    </row>
    <row r="78" spans="1:8" x14ac:dyDescent="0.2">
      <c r="A78" s="30"/>
      <c r="B78" s="30" t="s">
        <v>22</v>
      </c>
      <c r="C78" s="75">
        <v>1</v>
      </c>
      <c r="D78" s="76">
        <f>88.75-(10*1)</f>
        <v>78.75</v>
      </c>
      <c r="E78" s="105">
        <v>1.5</v>
      </c>
      <c r="F78" s="105">
        <v>1.5</v>
      </c>
      <c r="G78" s="76">
        <f t="shared" si="2"/>
        <v>177.1875</v>
      </c>
      <c r="H78" s="76">
        <f t="shared" si="3"/>
        <v>177.1875</v>
      </c>
    </row>
    <row r="79" spans="1:8" x14ac:dyDescent="0.2">
      <c r="A79" s="30"/>
      <c r="B79" s="30" t="s">
        <v>23</v>
      </c>
      <c r="C79" s="75">
        <v>1</v>
      </c>
      <c r="D79" s="76">
        <f>50-(2*0.5)-(4*1)</f>
        <v>45</v>
      </c>
      <c r="E79" s="105">
        <v>1.5</v>
      </c>
      <c r="F79" s="105">
        <v>1.5</v>
      </c>
      <c r="G79" s="76">
        <f t="shared" si="2"/>
        <v>101.25</v>
      </c>
      <c r="H79" s="76">
        <f t="shared" si="3"/>
        <v>101.25</v>
      </c>
    </row>
    <row r="80" spans="1:8" x14ac:dyDescent="0.2">
      <c r="A80" s="30"/>
      <c r="B80" s="30" t="s">
        <v>24</v>
      </c>
      <c r="C80" s="75">
        <v>1</v>
      </c>
      <c r="D80" s="76">
        <f>50-3-1-1-0.5-12.5</f>
        <v>32</v>
      </c>
      <c r="E80" s="105">
        <v>1.5</v>
      </c>
      <c r="F80" s="105">
        <v>1.5</v>
      </c>
      <c r="G80" s="76">
        <f t="shared" si="2"/>
        <v>72</v>
      </c>
      <c r="H80" s="76">
        <f t="shared" si="3"/>
        <v>72</v>
      </c>
    </row>
    <row r="81" spans="1:9" x14ac:dyDescent="0.2">
      <c r="A81" s="48">
        <v>3.2</v>
      </c>
      <c r="B81" s="97" t="s">
        <v>66</v>
      </c>
      <c r="C81" s="75"/>
      <c r="D81" s="76"/>
      <c r="E81" s="76"/>
      <c r="F81" s="105"/>
      <c r="G81" s="76"/>
      <c r="H81" s="76"/>
    </row>
    <row r="82" spans="1:9" x14ac:dyDescent="0.2">
      <c r="A82" s="30"/>
      <c r="B82" s="30" t="s">
        <v>26</v>
      </c>
      <c r="C82" s="75">
        <v>1</v>
      </c>
      <c r="D82" s="76">
        <f>(6.5+8+7.5+1.75+4.25+1.75+4.75+11.25+6.167+6.833+2+6.4176+1.25+0.5)-1.167-1.5-1.5-0.5-0.5-1.5-1.5-0.5-1.5-0.5-0.5</f>
        <v>57.750599999999991</v>
      </c>
      <c r="E82" s="76">
        <v>1.5</v>
      </c>
      <c r="F82" s="105">
        <v>1.5</v>
      </c>
      <c r="G82" s="76">
        <f t="shared" ref="G82:G85" si="4">$D82*$E82*$F82</f>
        <v>129.93884999999997</v>
      </c>
      <c r="H82" s="76">
        <f t="shared" ref="H82:H85" si="5">$G82*$C82</f>
        <v>129.93884999999997</v>
      </c>
    </row>
    <row r="83" spans="1:9" x14ac:dyDescent="0.2">
      <c r="A83" s="30"/>
      <c r="B83" s="30" t="s">
        <v>27</v>
      </c>
      <c r="C83" s="75">
        <v>1</v>
      </c>
      <c r="D83" s="76">
        <f>(6.5+8+7.5+1.75+4.25+1.75+4.75+11.25+6.167+6.833+2+6.4176+1.25+0.5)-1.5-0.5-0.5-0.5-(21/12)-(21/12)-(21/12)</f>
        <v>60.667599999999993</v>
      </c>
      <c r="E83" s="76">
        <v>1.5</v>
      </c>
      <c r="F83" s="105">
        <v>1.5</v>
      </c>
      <c r="G83" s="76">
        <f t="shared" si="4"/>
        <v>136.50209999999998</v>
      </c>
      <c r="H83" s="76">
        <f t="shared" si="5"/>
        <v>136.50209999999998</v>
      </c>
    </row>
    <row r="84" spans="1:9" x14ac:dyDescent="0.2">
      <c r="A84" s="30"/>
      <c r="B84" s="30" t="s">
        <v>28</v>
      </c>
      <c r="C84" s="75">
        <v>1</v>
      </c>
      <c r="D84" s="76">
        <f>(7.25+1.75+0.333+3.167+1+1.5+4+0.5+1.333+8.167+1.75+4.75+0.5)-(6*0.5)-1.5</f>
        <v>31.5</v>
      </c>
      <c r="E84" s="76">
        <v>1.5</v>
      </c>
      <c r="F84" s="105">
        <v>1.5</v>
      </c>
      <c r="G84" s="76">
        <f t="shared" si="4"/>
        <v>70.875</v>
      </c>
      <c r="H84" s="76">
        <f t="shared" si="5"/>
        <v>70.875</v>
      </c>
    </row>
    <row r="85" spans="1:9" x14ac:dyDescent="0.2">
      <c r="A85" s="30"/>
      <c r="B85" s="30" t="s">
        <v>29</v>
      </c>
      <c r="C85" s="75">
        <v>1</v>
      </c>
      <c r="D85" s="76">
        <f>(7.25+1.75+0.333+3.167+1+1.5+4+0.5+1.333+8.167+1.75+4.75+0.5)-1.5-(21/12)-0.5-0.5-1.5</f>
        <v>30.25</v>
      </c>
      <c r="E85" s="76">
        <v>1.5</v>
      </c>
      <c r="F85" s="105">
        <v>1.5</v>
      </c>
      <c r="G85" s="76">
        <f t="shared" si="4"/>
        <v>68.0625</v>
      </c>
      <c r="H85" s="76">
        <f t="shared" si="5"/>
        <v>68.0625</v>
      </c>
    </row>
    <row r="86" spans="1:9" x14ac:dyDescent="0.2">
      <c r="A86" s="48">
        <v>3.3</v>
      </c>
      <c r="B86" s="97" t="s">
        <v>67</v>
      </c>
      <c r="C86" s="75"/>
      <c r="D86" s="76"/>
      <c r="E86" s="76"/>
      <c r="F86" s="76"/>
      <c r="G86" s="76"/>
      <c r="H86" s="77">
        <f>SUM(H77:H85)</f>
        <v>931.87844999999993</v>
      </c>
    </row>
    <row r="87" spans="1:9" x14ac:dyDescent="0.2">
      <c r="A87" s="30"/>
      <c r="B87" s="30"/>
      <c r="C87" s="75"/>
      <c r="D87" s="76"/>
      <c r="E87" s="76"/>
      <c r="F87" s="76"/>
      <c r="G87" s="76"/>
      <c r="H87" s="76"/>
    </row>
    <row r="88" spans="1:9" x14ac:dyDescent="0.2">
      <c r="A88" s="48">
        <v>4</v>
      </c>
      <c r="B88" s="97" t="s">
        <v>68</v>
      </c>
      <c r="C88" s="75"/>
      <c r="D88" s="76"/>
      <c r="E88" s="76"/>
      <c r="F88" s="76"/>
      <c r="G88" s="76"/>
      <c r="H88" s="76"/>
    </row>
    <row r="89" spans="1:9" x14ac:dyDescent="0.2">
      <c r="A89" s="48">
        <v>4.0999999999999996</v>
      </c>
      <c r="B89" s="97" t="s">
        <v>69</v>
      </c>
      <c r="C89" s="75"/>
      <c r="D89" s="76"/>
      <c r="E89" s="76"/>
      <c r="F89" s="76"/>
      <c r="G89" s="76"/>
      <c r="H89" s="76"/>
    </row>
    <row r="90" spans="1:9" x14ac:dyDescent="0.2">
      <c r="A90" s="30"/>
      <c r="B90" s="30" t="s">
        <v>12</v>
      </c>
      <c r="C90" s="75">
        <v>11</v>
      </c>
      <c r="D90" s="76">
        <v>4</v>
      </c>
      <c r="E90" s="76">
        <v>3.5</v>
      </c>
      <c r="F90" s="76">
        <v>1.5</v>
      </c>
      <c r="G90" s="76">
        <f t="shared" ref="G90:G97" si="6">$D90*$E90*$F90</f>
        <v>21</v>
      </c>
      <c r="H90" s="76">
        <f t="shared" ref="H90:H97" si="7">$G90*$C90</f>
        <v>231</v>
      </c>
    </row>
    <row r="91" spans="1:9" x14ac:dyDescent="0.2">
      <c r="A91" s="30"/>
      <c r="B91" s="30" t="s">
        <v>13</v>
      </c>
      <c r="C91" s="75">
        <v>13</v>
      </c>
      <c r="D91" s="76">
        <v>5</v>
      </c>
      <c r="E91" s="76">
        <v>4.5</v>
      </c>
      <c r="F91" s="76">
        <v>1.5</v>
      </c>
      <c r="G91" s="76">
        <f t="shared" si="6"/>
        <v>33.75</v>
      </c>
      <c r="H91" s="76">
        <f t="shared" si="7"/>
        <v>438.75</v>
      </c>
    </row>
    <row r="92" spans="1:9" x14ac:dyDescent="0.2">
      <c r="A92" s="30"/>
      <c r="B92" s="30" t="s">
        <v>14</v>
      </c>
      <c r="C92" s="75">
        <v>1</v>
      </c>
      <c r="D92" s="76">
        <v>2</v>
      </c>
      <c r="E92" s="76">
        <v>5</v>
      </c>
      <c r="F92" s="76">
        <v>1.5</v>
      </c>
      <c r="G92" s="76">
        <f t="shared" si="6"/>
        <v>15</v>
      </c>
      <c r="H92" s="76">
        <f t="shared" si="7"/>
        <v>15</v>
      </c>
      <c r="I92" s="95"/>
    </row>
    <row r="93" spans="1:9" x14ac:dyDescent="0.2">
      <c r="A93" s="30"/>
      <c r="B93" s="30" t="s">
        <v>15</v>
      </c>
      <c r="C93" s="75">
        <v>22</v>
      </c>
      <c r="D93" s="76">
        <v>2.5</v>
      </c>
      <c r="E93" s="76">
        <v>3</v>
      </c>
      <c r="F93" s="76">
        <v>1.5</v>
      </c>
      <c r="G93" s="76">
        <f t="shared" si="6"/>
        <v>11.25</v>
      </c>
      <c r="H93" s="76">
        <f t="shared" si="7"/>
        <v>247.5</v>
      </c>
    </row>
    <row r="94" spans="1:9" x14ac:dyDescent="0.2">
      <c r="A94" s="30"/>
      <c r="B94" s="30" t="s">
        <v>16</v>
      </c>
      <c r="C94" s="75">
        <v>3</v>
      </c>
      <c r="D94" s="76">
        <v>2.5</v>
      </c>
      <c r="E94" s="76">
        <v>2.5</v>
      </c>
      <c r="F94" s="76">
        <v>1.5</v>
      </c>
      <c r="G94" s="76">
        <f t="shared" si="6"/>
        <v>9.375</v>
      </c>
      <c r="H94" s="76">
        <f t="shared" si="7"/>
        <v>28.125</v>
      </c>
    </row>
    <row r="95" spans="1:9" x14ac:dyDescent="0.2">
      <c r="A95" s="30"/>
      <c r="B95" s="30" t="s">
        <v>17</v>
      </c>
      <c r="C95" s="75">
        <v>5</v>
      </c>
      <c r="D95" s="76">
        <v>4</v>
      </c>
      <c r="E95" s="76">
        <v>4.5</v>
      </c>
      <c r="F95" s="76">
        <v>1.5</v>
      </c>
      <c r="G95" s="76">
        <f t="shared" si="6"/>
        <v>27</v>
      </c>
      <c r="H95" s="76">
        <f t="shared" si="7"/>
        <v>135</v>
      </c>
    </row>
    <row r="96" spans="1:9" x14ac:dyDescent="0.2">
      <c r="A96" s="30"/>
      <c r="B96" s="30" t="s">
        <v>18</v>
      </c>
      <c r="C96" s="75">
        <v>0</v>
      </c>
      <c r="D96" s="76">
        <v>2.5</v>
      </c>
      <c r="E96" s="76">
        <v>2.5</v>
      </c>
      <c r="F96" s="76">
        <v>1.5</v>
      </c>
      <c r="G96" s="76">
        <f t="shared" si="6"/>
        <v>9.375</v>
      </c>
      <c r="H96" s="76">
        <f t="shared" si="7"/>
        <v>0</v>
      </c>
    </row>
    <row r="97" spans="1:9" x14ac:dyDescent="0.2">
      <c r="A97" s="30"/>
      <c r="B97" s="30" t="s">
        <v>19</v>
      </c>
      <c r="C97" s="75">
        <v>1</v>
      </c>
      <c r="D97" s="76">
        <v>5.5</v>
      </c>
      <c r="E97" s="76">
        <v>2.5</v>
      </c>
      <c r="F97" s="76">
        <v>1.5</v>
      </c>
      <c r="G97" s="76">
        <f t="shared" si="6"/>
        <v>20.625</v>
      </c>
      <c r="H97" s="76">
        <f t="shared" si="7"/>
        <v>20.625</v>
      </c>
    </row>
    <row r="98" spans="1:9" x14ac:dyDescent="0.2">
      <c r="A98" s="48"/>
      <c r="B98" s="97" t="s">
        <v>70</v>
      </c>
      <c r="C98" s="75"/>
      <c r="D98" s="76"/>
      <c r="E98" s="76"/>
      <c r="F98" s="76"/>
      <c r="G98" s="76"/>
      <c r="H98" s="77">
        <f>SUM(H90:H97)</f>
        <v>1116</v>
      </c>
    </row>
    <row r="99" spans="1:9" x14ac:dyDescent="0.2">
      <c r="A99" s="48"/>
      <c r="B99" s="97"/>
      <c r="C99" s="75"/>
      <c r="D99" s="76"/>
      <c r="E99" s="76"/>
      <c r="F99" s="76"/>
      <c r="G99" s="76"/>
      <c r="H99" s="76"/>
    </row>
    <row r="100" spans="1:9" s="30" customFormat="1" ht="18.600000000000001" customHeight="1" x14ac:dyDescent="0.2">
      <c r="A100" s="48">
        <v>4.2</v>
      </c>
      <c r="B100" s="97" t="s">
        <v>71</v>
      </c>
      <c r="C100" s="75"/>
      <c r="D100" s="76"/>
      <c r="E100" s="76"/>
      <c r="F100" s="76"/>
      <c r="G100" s="76"/>
      <c r="H100" s="76"/>
    </row>
    <row r="101" spans="1:9" x14ac:dyDescent="0.2">
      <c r="A101" s="30"/>
      <c r="B101" s="30" t="s">
        <v>72</v>
      </c>
      <c r="C101" s="75">
        <v>18</v>
      </c>
      <c r="D101" s="76">
        <v>1.5</v>
      </c>
      <c r="E101" s="76">
        <v>0.5</v>
      </c>
      <c r="F101" s="76">
        <v>3</v>
      </c>
      <c r="G101" s="76">
        <f t="shared" ref="G101:G108" si="8">$D101*$E101*$F101</f>
        <v>2.25</v>
      </c>
      <c r="H101" s="76">
        <f t="shared" ref="H101:H108" si="9">$G101*$C101</f>
        <v>40.5</v>
      </c>
    </row>
    <row r="102" spans="1:9" x14ac:dyDescent="0.2">
      <c r="A102" s="30"/>
      <c r="B102" s="30" t="s">
        <v>73</v>
      </c>
      <c r="C102" s="75">
        <v>6</v>
      </c>
      <c r="D102" s="76">
        <f>21/12</f>
        <v>1.75</v>
      </c>
      <c r="E102" s="76">
        <v>0.5</v>
      </c>
      <c r="F102" s="76">
        <v>3</v>
      </c>
      <c r="G102" s="76">
        <f t="shared" si="8"/>
        <v>2.625</v>
      </c>
      <c r="H102" s="76">
        <f t="shared" si="9"/>
        <v>15.75</v>
      </c>
    </row>
    <row r="103" spans="1:9" x14ac:dyDescent="0.2">
      <c r="A103" s="30"/>
      <c r="B103" s="30" t="s">
        <v>74</v>
      </c>
      <c r="C103" s="75">
        <v>7</v>
      </c>
      <c r="D103" s="76">
        <f>14/12</f>
        <v>1.1666666666666667</v>
      </c>
      <c r="E103" s="76">
        <v>0.5</v>
      </c>
      <c r="F103" s="76">
        <v>3</v>
      </c>
      <c r="G103" s="76">
        <f t="shared" si="8"/>
        <v>1.75</v>
      </c>
      <c r="H103" s="76">
        <f t="shared" si="9"/>
        <v>12.25</v>
      </c>
      <c r="I103" s="95"/>
    </row>
    <row r="104" spans="1:9" x14ac:dyDescent="0.2">
      <c r="A104" s="30"/>
      <c r="B104" s="30" t="s">
        <v>75</v>
      </c>
      <c r="C104" s="75">
        <v>2</v>
      </c>
      <c r="D104" s="76">
        <v>2</v>
      </c>
      <c r="E104" s="76">
        <v>0.5</v>
      </c>
      <c r="F104" s="76">
        <v>3</v>
      </c>
      <c r="G104" s="76">
        <f t="shared" si="8"/>
        <v>3</v>
      </c>
      <c r="H104" s="76">
        <f t="shared" si="9"/>
        <v>6</v>
      </c>
    </row>
    <row r="105" spans="1:9" x14ac:dyDescent="0.2">
      <c r="A105" s="30"/>
      <c r="B105" s="30" t="s">
        <v>76</v>
      </c>
      <c r="C105" s="75">
        <v>1</v>
      </c>
      <c r="D105" s="76">
        <f>21/12</f>
        <v>1.75</v>
      </c>
      <c r="E105" s="76">
        <f>8/12</f>
        <v>0.66666666666666663</v>
      </c>
      <c r="F105" s="76">
        <v>3</v>
      </c>
      <c r="G105" s="76">
        <f t="shared" si="8"/>
        <v>3.4999999999999996</v>
      </c>
      <c r="H105" s="76">
        <f t="shared" si="9"/>
        <v>3.4999999999999996</v>
      </c>
    </row>
    <row r="106" spans="1:9" x14ac:dyDescent="0.2">
      <c r="A106" s="30"/>
      <c r="B106" s="30" t="s">
        <v>77</v>
      </c>
      <c r="C106" s="75">
        <v>1</v>
      </c>
      <c r="D106" s="76">
        <f>21/12</f>
        <v>1.75</v>
      </c>
      <c r="E106" s="76">
        <f>8/12</f>
        <v>0.66666666666666663</v>
      </c>
      <c r="F106" s="76">
        <v>3</v>
      </c>
      <c r="G106" s="76">
        <f t="shared" si="8"/>
        <v>3.4999999999999996</v>
      </c>
      <c r="H106" s="76">
        <f t="shared" si="9"/>
        <v>3.4999999999999996</v>
      </c>
    </row>
    <row r="107" spans="1:9" x14ac:dyDescent="0.2">
      <c r="A107" s="30"/>
      <c r="B107" s="30" t="s">
        <v>78</v>
      </c>
      <c r="C107" s="75">
        <v>22</v>
      </c>
      <c r="D107" s="76">
        <v>1</v>
      </c>
      <c r="E107" s="76">
        <v>0.5</v>
      </c>
      <c r="F107" s="76">
        <v>3</v>
      </c>
      <c r="G107" s="76">
        <f t="shared" si="8"/>
        <v>1.5</v>
      </c>
      <c r="H107" s="76">
        <f t="shared" si="9"/>
        <v>33</v>
      </c>
    </row>
    <row r="108" spans="1:9" x14ac:dyDescent="0.2">
      <c r="A108" s="30"/>
      <c r="B108" s="30" t="s">
        <v>79</v>
      </c>
      <c r="C108" s="75">
        <v>3</v>
      </c>
      <c r="D108" s="76">
        <v>1</v>
      </c>
      <c r="E108" s="76">
        <v>1</v>
      </c>
      <c r="F108" s="76">
        <v>3</v>
      </c>
      <c r="G108" s="76">
        <f t="shared" si="8"/>
        <v>3</v>
      </c>
      <c r="H108" s="76">
        <f t="shared" si="9"/>
        <v>9</v>
      </c>
    </row>
    <row r="109" spans="1:9" x14ac:dyDescent="0.2">
      <c r="A109" s="48"/>
      <c r="B109" s="97" t="s">
        <v>80</v>
      </c>
      <c r="C109" s="75"/>
      <c r="D109" s="76"/>
      <c r="E109" s="76"/>
      <c r="F109" s="76"/>
      <c r="G109" s="76"/>
      <c r="H109" s="77">
        <f>SUM(H101:H108)</f>
        <v>123.5</v>
      </c>
    </row>
    <row r="110" spans="1:9" x14ac:dyDescent="0.2">
      <c r="A110" s="30"/>
      <c r="B110" s="30"/>
      <c r="C110" s="75"/>
      <c r="D110" s="76"/>
      <c r="E110" s="76"/>
      <c r="F110" s="76"/>
      <c r="G110" s="76"/>
      <c r="H110" s="76"/>
    </row>
    <row r="111" spans="1:9" s="30" customFormat="1" ht="18.600000000000001" customHeight="1" x14ac:dyDescent="0.2">
      <c r="A111" s="48">
        <v>4.3</v>
      </c>
      <c r="B111" s="74" t="s">
        <v>81</v>
      </c>
      <c r="C111" s="75"/>
      <c r="D111" s="76"/>
      <c r="E111" s="76"/>
      <c r="F111" s="76"/>
      <c r="G111" s="76"/>
      <c r="H111" s="76"/>
    </row>
    <row r="112" spans="1:9" x14ac:dyDescent="0.2">
      <c r="A112" s="30"/>
      <c r="B112" s="30" t="s">
        <v>82</v>
      </c>
      <c r="C112" s="104">
        <v>1</v>
      </c>
      <c r="D112" s="105">
        <f>8+(16/12)</f>
        <v>9.3333333333333339</v>
      </c>
      <c r="E112" s="105">
        <f>6+(16/12)</f>
        <v>7.333333333333333</v>
      </c>
      <c r="F112" s="105">
        <v>1</v>
      </c>
      <c r="G112" s="76">
        <f t="shared" ref="G112:G115" si="10">$D112*$E112*$F112</f>
        <v>68.444444444444443</v>
      </c>
      <c r="H112" s="76">
        <f t="shared" ref="H112:H115" si="11">$G112*$C112</f>
        <v>68.444444444444443</v>
      </c>
    </row>
    <row r="113" spans="1:8" x14ac:dyDescent="0.2">
      <c r="A113" s="30"/>
      <c r="B113" s="30" t="s">
        <v>83</v>
      </c>
      <c r="C113" s="104">
        <v>1</v>
      </c>
      <c r="D113" s="105">
        <f>8+(16/12)</f>
        <v>9.3333333333333339</v>
      </c>
      <c r="E113" s="105">
        <f>6+(16/12)</f>
        <v>7.333333333333333</v>
      </c>
      <c r="F113" s="105">
        <f>8/12</f>
        <v>0.66666666666666663</v>
      </c>
      <c r="G113" s="76">
        <f t="shared" si="10"/>
        <v>45.629629629629626</v>
      </c>
      <c r="H113" s="76">
        <f t="shared" si="11"/>
        <v>45.629629629629626</v>
      </c>
    </row>
    <row r="114" spans="1:8" x14ac:dyDescent="0.2">
      <c r="A114" s="30"/>
      <c r="B114" s="30" t="s">
        <v>84</v>
      </c>
      <c r="C114" s="75">
        <v>2</v>
      </c>
      <c r="D114" s="76">
        <v>8</v>
      </c>
      <c r="E114" s="76">
        <f>8/12</f>
        <v>0.66666666666666663</v>
      </c>
      <c r="F114" s="76">
        <v>6</v>
      </c>
      <c r="G114" s="76">
        <f t="shared" si="10"/>
        <v>32</v>
      </c>
      <c r="H114" s="76">
        <f t="shared" si="11"/>
        <v>64</v>
      </c>
    </row>
    <row r="115" spans="1:8" x14ac:dyDescent="0.2">
      <c r="A115" s="30"/>
      <c r="B115" s="30" t="s">
        <v>85</v>
      </c>
      <c r="C115" s="30">
        <v>2</v>
      </c>
      <c r="D115" s="76">
        <v>6</v>
      </c>
      <c r="E115" s="76">
        <f>8/12</f>
        <v>0.66666666666666663</v>
      </c>
      <c r="F115" s="76">
        <v>6</v>
      </c>
      <c r="G115" s="76">
        <f t="shared" si="10"/>
        <v>24</v>
      </c>
      <c r="H115" s="76">
        <f t="shared" si="11"/>
        <v>48</v>
      </c>
    </row>
    <row r="116" spans="1:8" x14ac:dyDescent="0.2">
      <c r="A116" s="48"/>
      <c r="B116" s="74" t="s">
        <v>86</v>
      </c>
      <c r="C116" s="75"/>
      <c r="D116" s="76"/>
      <c r="E116" s="76"/>
      <c r="F116" s="76"/>
      <c r="G116" s="76"/>
      <c r="H116" s="77">
        <f>SUM(H112:H115)</f>
        <v>226.07407407407408</v>
      </c>
    </row>
    <row r="117" spans="1:8" x14ac:dyDescent="0.2">
      <c r="A117" s="30"/>
      <c r="B117" s="30"/>
      <c r="C117" s="30"/>
      <c r="D117" s="76"/>
      <c r="E117" s="76"/>
      <c r="F117" s="76"/>
      <c r="G117" s="76"/>
      <c r="H117" s="76"/>
    </row>
    <row r="118" spans="1:8" x14ac:dyDescent="0.2">
      <c r="A118" s="48">
        <v>4.4000000000000004</v>
      </c>
      <c r="B118" s="74" t="s">
        <v>87</v>
      </c>
      <c r="C118" s="75"/>
      <c r="D118" s="76"/>
      <c r="E118" s="76"/>
      <c r="F118" s="76"/>
      <c r="G118" s="76"/>
      <c r="H118" s="77">
        <f>H116+H109+H98</f>
        <v>1465.5740740740741</v>
      </c>
    </row>
    <row r="119" spans="1:8" x14ac:dyDescent="0.2">
      <c r="A119" s="30"/>
      <c r="B119" s="30"/>
      <c r="C119" s="30"/>
      <c r="D119" s="76"/>
      <c r="E119" s="76"/>
      <c r="F119" s="76"/>
      <c r="G119" s="76"/>
      <c r="H119" s="76"/>
    </row>
    <row r="120" spans="1:8" x14ac:dyDescent="0.2">
      <c r="A120" s="48">
        <v>4.5</v>
      </c>
      <c r="B120" s="74" t="s">
        <v>88</v>
      </c>
      <c r="C120" s="75"/>
      <c r="D120" s="76"/>
      <c r="E120" s="76"/>
      <c r="F120" s="76"/>
      <c r="G120" s="76"/>
      <c r="H120" s="77"/>
    </row>
    <row r="121" spans="1:8" x14ac:dyDescent="0.2">
      <c r="A121" s="30"/>
      <c r="B121" s="106" t="s">
        <v>89</v>
      </c>
      <c r="C121" s="30"/>
      <c r="D121" s="76"/>
      <c r="E121" s="76"/>
      <c r="F121" s="76"/>
      <c r="G121" s="76"/>
      <c r="H121" s="77">
        <f>H27-H73-H86-H118-(8*6*6)</f>
        <v>3663.5369000000001</v>
      </c>
    </row>
    <row r="139" spans="1:8" s="30" customFormat="1" ht="18.600000000000001" customHeight="1" x14ac:dyDescent="0.2"/>
    <row r="140" spans="1:8" x14ac:dyDescent="0.2">
      <c r="A140" s="30"/>
      <c r="B140" s="30"/>
      <c r="C140" s="75"/>
      <c r="D140" s="76"/>
      <c r="E140" s="76"/>
      <c r="F140" s="76"/>
      <c r="G140" s="76"/>
      <c r="H140" s="76"/>
    </row>
    <row r="141" spans="1:8" s="30" customFormat="1" ht="18.600000000000001" customHeight="1" x14ac:dyDescent="0.2">
      <c r="A141" s="48"/>
      <c r="B141" s="74"/>
      <c r="C141" s="75"/>
      <c r="D141" s="76"/>
      <c r="E141" s="76"/>
      <c r="F141" s="76"/>
      <c r="G141" s="76"/>
      <c r="H141" s="76"/>
    </row>
    <row r="142" spans="1:8" x14ac:dyDescent="0.2">
      <c r="A142" s="30"/>
      <c r="B142" s="30"/>
      <c r="C142" s="104"/>
      <c r="D142" s="105"/>
      <c r="E142" s="105"/>
      <c r="F142" s="105"/>
      <c r="G142" s="76"/>
      <c r="H142" s="76"/>
    </row>
    <row r="143" spans="1:8" x14ac:dyDescent="0.2">
      <c r="A143" s="30"/>
      <c r="B143" s="30"/>
      <c r="C143" s="104"/>
      <c r="D143" s="105"/>
      <c r="E143" s="105"/>
      <c r="F143" s="105"/>
      <c r="G143" s="76"/>
      <c r="H143" s="76"/>
    </row>
    <row r="144" spans="1:8" x14ac:dyDescent="0.2">
      <c r="A144" s="30"/>
      <c r="B144" s="30"/>
      <c r="C144" s="75"/>
      <c r="D144" s="76"/>
      <c r="E144" s="76"/>
      <c r="F144" s="76"/>
      <c r="G144" s="76"/>
      <c r="H144" s="76"/>
    </row>
    <row r="145" spans="1:8" x14ac:dyDescent="0.2">
      <c r="A145" s="30"/>
      <c r="B145" s="30"/>
      <c r="C145" s="30"/>
      <c r="D145" s="76"/>
      <c r="E145" s="76"/>
      <c r="F145" s="76"/>
      <c r="G145" s="76"/>
      <c r="H145" s="76"/>
    </row>
    <row r="146" spans="1:8" s="30" customFormat="1" ht="18.600000000000001" customHeight="1" x14ac:dyDescent="0.2">
      <c r="A146" s="48"/>
      <c r="B146" s="74"/>
      <c r="C146" s="75"/>
      <c r="D146" s="76"/>
      <c r="E146" s="76"/>
      <c r="F146" s="76"/>
      <c r="G146" s="76"/>
      <c r="H146" s="77"/>
    </row>
    <row r="147" spans="1:8" x14ac:dyDescent="0.2">
      <c r="A147" s="30"/>
      <c r="B147" s="30"/>
      <c r="C147" s="30"/>
      <c r="D147" s="76"/>
      <c r="E147" s="76"/>
      <c r="F147" s="76"/>
      <c r="G147" s="76"/>
      <c r="H147" s="76"/>
    </row>
    <row r="148" spans="1:8" s="30" customFormat="1" ht="18.600000000000001" customHeight="1" x14ac:dyDescent="0.2">
      <c r="A148" s="48"/>
      <c r="B148" s="74"/>
      <c r="C148" s="75"/>
      <c r="D148" s="76"/>
      <c r="E148" s="76"/>
      <c r="F148" s="76"/>
      <c r="G148" s="76"/>
      <c r="H148" s="77"/>
    </row>
    <row r="149" spans="1:8" x14ac:dyDescent="0.2">
      <c r="A149" s="30"/>
      <c r="B149" s="30"/>
      <c r="C149" s="30"/>
      <c r="D149" s="76"/>
      <c r="E149" s="76"/>
      <c r="F149" s="76"/>
      <c r="G149" s="76"/>
      <c r="H149" s="76"/>
    </row>
    <row r="150" spans="1:8" s="30" customFormat="1" ht="18.600000000000001" customHeight="1" x14ac:dyDescent="0.2">
      <c r="A150" s="48"/>
      <c r="B150" s="74"/>
      <c r="C150" s="75"/>
      <c r="D150" s="76"/>
      <c r="E150" s="76"/>
      <c r="F150" s="76"/>
      <c r="G150" s="76"/>
      <c r="H150" s="77"/>
    </row>
    <row r="151" spans="1:8" x14ac:dyDescent="0.2">
      <c r="A151" s="30"/>
      <c r="B151" s="106"/>
      <c r="C151" s="30"/>
      <c r="D151" s="76"/>
      <c r="E151" s="76"/>
      <c r="F151" s="76"/>
      <c r="G151" s="76"/>
      <c r="H151" s="77"/>
    </row>
    <row r="152" spans="1:8" x14ac:dyDescent="0.2">
      <c r="A152" s="30"/>
      <c r="B152" s="30"/>
      <c r="C152" s="30"/>
      <c r="D152" s="76"/>
      <c r="E152" s="76"/>
      <c r="F152" s="76"/>
      <c r="G152" s="76"/>
      <c r="H152" s="76"/>
    </row>
    <row r="153" spans="1:8" x14ac:dyDescent="0.2">
      <c r="A153" s="30"/>
      <c r="B153" s="30"/>
      <c r="C153" s="30"/>
      <c r="D153" s="76"/>
      <c r="E153" s="76"/>
      <c r="F153" s="76"/>
      <c r="G153" s="76"/>
      <c r="H153" s="76"/>
    </row>
    <row r="154" spans="1:8" x14ac:dyDescent="0.2">
      <c r="A154" s="30"/>
      <c r="B154" s="30"/>
      <c r="C154" s="30"/>
      <c r="D154" s="76"/>
      <c r="E154" s="76"/>
      <c r="F154" s="76"/>
      <c r="G154" s="76"/>
      <c r="H154" s="76"/>
    </row>
    <row r="155" spans="1:8" x14ac:dyDescent="0.2">
      <c r="A155" s="30"/>
      <c r="B155" s="30"/>
      <c r="C155" s="30"/>
      <c r="D155" s="76"/>
      <c r="E155" s="76"/>
      <c r="F155" s="76"/>
      <c r="G155" s="76"/>
      <c r="H155" s="76"/>
    </row>
    <row r="156" spans="1:8" x14ac:dyDescent="0.2">
      <c r="A156" s="30"/>
      <c r="B156" s="30"/>
      <c r="C156" s="30"/>
      <c r="D156" s="76"/>
      <c r="E156" s="76"/>
      <c r="F156" s="76"/>
      <c r="G156" s="76"/>
      <c r="H156" s="76"/>
    </row>
    <row r="157" spans="1:8" x14ac:dyDescent="0.2">
      <c r="A157" s="30"/>
      <c r="B157" s="30"/>
      <c r="C157" s="30"/>
      <c r="D157" s="76"/>
      <c r="E157" s="76"/>
      <c r="F157" s="76"/>
      <c r="G157" s="76"/>
      <c r="H157" s="76"/>
    </row>
    <row r="158" spans="1:8" x14ac:dyDescent="0.2">
      <c r="A158" s="30"/>
      <c r="B158" s="30"/>
      <c r="C158" s="30"/>
      <c r="D158" s="76"/>
      <c r="E158" s="76"/>
      <c r="F158" s="76"/>
      <c r="G158" s="76"/>
      <c r="H158" s="76"/>
    </row>
    <row r="159" spans="1:8" x14ac:dyDescent="0.2">
      <c r="A159" s="30"/>
      <c r="B159" s="30"/>
      <c r="C159" s="30"/>
      <c r="D159" s="76"/>
      <c r="E159" s="76"/>
      <c r="F159" s="76"/>
      <c r="G159" s="76"/>
      <c r="H159" s="76"/>
    </row>
    <row r="160" spans="1:8" x14ac:dyDescent="0.2">
      <c r="A160" s="30"/>
      <c r="B160" s="30"/>
      <c r="C160" s="30"/>
      <c r="D160" s="76"/>
      <c r="E160" s="76"/>
      <c r="F160" s="76"/>
      <c r="G160" s="76"/>
      <c r="H160" s="76"/>
    </row>
    <row r="161" spans="1:8" x14ac:dyDescent="0.2">
      <c r="A161" s="30"/>
      <c r="B161" s="30"/>
      <c r="C161" s="30"/>
      <c r="D161" s="76"/>
      <c r="E161" s="76"/>
      <c r="F161" s="76"/>
      <c r="G161" s="76"/>
      <c r="H161" s="76"/>
    </row>
    <row r="162" spans="1:8" x14ac:dyDescent="0.2">
      <c r="A162" s="30"/>
      <c r="B162" s="30"/>
      <c r="C162" s="30"/>
      <c r="D162" s="30"/>
      <c r="E162" s="30"/>
      <c r="F162" s="30"/>
      <c r="G162" s="30"/>
      <c r="H162" s="30"/>
    </row>
    <row r="163" spans="1:8" x14ac:dyDescent="0.2">
      <c r="A163" s="30"/>
      <c r="B163" s="30"/>
      <c r="C163" s="30"/>
      <c r="D163" s="30"/>
      <c r="E163" s="30"/>
      <c r="F163" s="30"/>
      <c r="G163" s="30"/>
      <c r="H163" s="30"/>
    </row>
    <row r="164" spans="1:8" x14ac:dyDescent="0.2">
      <c r="A164" s="30"/>
      <c r="B164" s="30"/>
      <c r="C164" s="30"/>
      <c r="D164" s="30"/>
      <c r="E164" s="30"/>
      <c r="F164" s="30"/>
      <c r="G164" s="30"/>
      <c r="H164" s="30"/>
    </row>
    <row r="165" spans="1:8" x14ac:dyDescent="0.2">
      <c r="A165" s="30"/>
      <c r="B165" s="30"/>
      <c r="C165" s="30"/>
      <c r="D165" s="30"/>
      <c r="E165" s="30"/>
      <c r="F165" s="30"/>
      <c r="G165" s="30"/>
      <c r="H165" s="30"/>
    </row>
    <row r="166" spans="1:8" x14ac:dyDescent="0.2">
      <c r="A166" s="30"/>
      <c r="B166" s="30"/>
      <c r="C166" s="30"/>
      <c r="D166" s="30"/>
      <c r="E166" s="30"/>
      <c r="F166" s="30"/>
      <c r="G166" s="30"/>
      <c r="H166" s="30"/>
    </row>
    <row r="167" spans="1:8" x14ac:dyDescent="0.2">
      <c r="A167" s="30"/>
      <c r="B167" s="30"/>
      <c r="C167" s="30"/>
      <c r="D167" s="30"/>
      <c r="E167" s="30"/>
      <c r="F167" s="30"/>
      <c r="G167" s="30"/>
      <c r="H167" s="30"/>
    </row>
  </sheetData>
  <mergeCells count="2">
    <mergeCell ref="A1:H1"/>
    <mergeCell ref="A4:H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8"/>
  <sheetViews>
    <sheetView topLeftCell="A134" zoomScale="85" zoomScaleNormal="85" workbookViewId="0">
      <selection activeCell="H147" sqref="H147"/>
    </sheetView>
  </sheetViews>
  <sheetFormatPr defaultColWidth="9.01171875" defaultRowHeight="15" x14ac:dyDescent="0.2"/>
  <cols>
    <col min="1" max="1" width="6.3203125" customWidth="1"/>
    <col min="2" max="2" width="39.68359375" customWidth="1"/>
    <col min="3" max="3" width="9.68359375" customWidth="1"/>
    <col min="4" max="4" width="9.28125" customWidth="1"/>
    <col min="5" max="5" width="13.31640625" customWidth="1"/>
    <col min="6" max="6" width="11.703125" customWidth="1"/>
    <col min="7" max="7" width="15.33203125" customWidth="1"/>
    <col min="8" max="8" width="21.38671875" customWidth="1"/>
  </cols>
  <sheetData>
    <row r="1" spans="1:8" ht="23.25" x14ac:dyDescent="0.3">
      <c r="A1" s="253" t="s">
        <v>0</v>
      </c>
      <c r="B1" s="253"/>
      <c r="C1" s="253"/>
      <c r="D1" s="253"/>
      <c r="E1" s="253"/>
      <c r="F1" s="253"/>
      <c r="G1" s="253"/>
      <c r="H1" s="253"/>
    </row>
    <row r="2" spans="1:8" ht="18.75" x14ac:dyDescent="0.25">
      <c r="A2" s="70" t="s">
        <v>1</v>
      </c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</row>
    <row r="3" spans="1:8" s="81" customFormat="1" ht="18.75" x14ac:dyDescent="0.25">
      <c r="A3" s="71"/>
      <c r="B3" s="71"/>
      <c r="C3" s="71"/>
      <c r="D3" s="71"/>
      <c r="E3" s="71"/>
      <c r="F3" s="71"/>
      <c r="G3" s="71"/>
      <c r="H3" s="71"/>
    </row>
    <row r="4" spans="1:8" x14ac:dyDescent="0.2">
      <c r="A4" s="96"/>
      <c r="B4" s="254" t="s">
        <v>90</v>
      </c>
      <c r="C4" s="254"/>
      <c r="D4" s="254"/>
      <c r="E4" s="254"/>
      <c r="F4" s="254"/>
      <c r="G4" s="254"/>
      <c r="H4" s="254"/>
    </row>
    <row r="5" spans="1:8" x14ac:dyDescent="0.2">
      <c r="A5" s="72">
        <v>1</v>
      </c>
      <c r="B5" s="254" t="s">
        <v>91</v>
      </c>
      <c r="C5" s="254"/>
      <c r="D5" s="254"/>
      <c r="E5" s="254"/>
      <c r="F5" s="254"/>
      <c r="G5" s="254"/>
      <c r="H5" s="254"/>
    </row>
    <row r="6" spans="1:8" x14ac:dyDescent="0.2">
      <c r="A6" s="48">
        <v>1.1000000000000001</v>
      </c>
      <c r="B6" s="97" t="s">
        <v>92</v>
      </c>
      <c r="C6" s="75"/>
      <c r="D6" s="76"/>
      <c r="E6" s="76"/>
      <c r="F6" s="76"/>
      <c r="G6" s="76"/>
      <c r="H6" s="76"/>
    </row>
    <row r="7" spans="1:8" x14ac:dyDescent="0.2">
      <c r="A7" s="30"/>
      <c r="B7" s="30" t="s">
        <v>93</v>
      </c>
      <c r="C7" s="75">
        <v>1</v>
      </c>
      <c r="D7" s="76">
        <f>((88.75*2)+(50*2))-(6.4167+1.25+(21/12)+(21/12))</f>
        <v>266.33330000000001</v>
      </c>
      <c r="E7" s="76">
        <v>0.5</v>
      </c>
      <c r="F7" s="76">
        <v>2</v>
      </c>
      <c r="G7" s="76">
        <f t="shared" ref="G7:G33" si="0">$D7*$E7*$F7</f>
        <v>266.33330000000001</v>
      </c>
      <c r="H7" s="76">
        <f t="shared" ref="H7:H33" si="1">$G7*$C7</f>
        <v>266.33330000000001</v>
      </c>
    </row>
    <row r="8" spans="1:8" x14ac:dyDescent="0.2">
      <c r="A8" s="30"/>
      <c r="B8" s="30" t="s">
        <v>94</v>
      </c>
      <c r="C8" s="75">
        <v>1</v>
      </c>
      <c r="D8" s="76">
        <f>6.4167+1.25+(21/12)+(21/12)</f>
        <v>11.166699999999999</v>
      </c>
      <c r="E8" s="76">
        <f>8/12</f>
        <v>0.66666666666666663</v>
      </c>
      <c r="F8" s="76">
        <v>2</v>
      </c>
      <c r="G8" s="76">
        <f t="shared" si="0"/>
        <v>14.88893333333333</v>
      </c>
      <c r="H8" s="76">
        <f t="shared" si="1"/>
        <v>14.88893333333333</v>
      </c>
    </row>
    <row r="9" spans="1:8" x14ac:dyDescent="0.2">
      <c r="A9" s="30"/>
      <c r="B9" s="30" t="s">
        <v>95</v>
      </c>
      <c r="C9" s="75">
        <v>1</v>
      </c>
      <c r="D9" s="76">
        <f>(6.5+8+7.5+1.75+4.25+1.75+4.75+11.25+6.167+6.833+0.5)</f>
        <v>59.25</v>
      </c>
      <c r="E9" s="76">
        <v>0.5</v>
      </c>
      <c r="F9" s="76">
        <v>2</v>
      </c>
      <c r="G9" s="76">
        <f t="shared" si="0"/>
        <v>59.25</v>
      </c>
      <c r="H9" s="76">
        <f t="shared" si="1"/>
        <v>59.25</v>
      </c>
    </row>
    <row r="10" spans="1:8" x14ac:dyDescent="0.2">
      <c r="A10" s="30"/>
      <c r="B10" s="30" t="s">
        <v>40</v>
      </c>
      <c r="C10" s="75">
        <v>1</v>
      </c>
      <c r="D10" s="76">
        <f>4.25-0.5+1.75+0.5</f>
        <v>6</v>
      </c>
      <c r="E10" s="76">
        <v>0.5</v>
      </c>
      <c r="F10" s="76">
        <v>2</v>
      </c>
      <c r="G10" s="76">
        <f t="shared" si="0"/>
        <v>6</v>
      </c>
      <c r="H10" s="76">
        <f t="shared" si="1"/>
        <v>6</v>
      </c>
    </row>
    <row r="11" spans="1:8" x14ac:dyDescent="0.2">
      <c r="A11" s="30"/>
      <c r="B11" s="30" t="s">
        <v>41</v>
      </c>
      <c r="C11" s="75">
        <v>1</v>
      </c>
      <c r="D11" s="76">
        <f>6.5+0.5</f>
        <v>7</v>
      </c>
      <c r="E11" s="76">
        <v>0.5</v>
      </c>
      <c r="F11" s="76">
        <v>2</v>
      </c>
      <c r="G11" s="76">
        <f t="shared" si="0"/>
        <v>7</v>
      </c>
      <c r="H11" s="76">
        <f t="shared" si="1"/>
        <v>7</v>
      </c>
    </row>
    <row r="12" spans="1:8" x14ac:dyDescent="0.2">
      <c r="A12" s="30"/>
      <c r="B12" s="30" t="s">
        <v>42</v>
      </c>
      <c r="C12" s="75">
        <v>1</v>
      </c>
      <c r="D12" s="76">
        <f>6.167+6.833+2+0.5</f>
        <v>15.5</v>
      </c>
      <c r="E12" s="76">
        <v>0.5</v>
      </c>
      <c r="F12" s="76">
        <v>2</v>
      </c>
      <c r="G12" s="76">
        <f t="shared" si="0"/>
        <v>15.5</v>
      </c>
      <c r="H12" s="76">
        <f t="shared" si="1"/>
        <v>15.5</v>
      </c>
    </row>
    <row r="13" spans="1:8" x14ac:dyDescent="0.2">
      <c r="A13" s="30"/>
      <c r="B13" s="30" t="s">
        <v>43</v>
      </c>
      <c r="C13" s="75">
        <v>1</v>
      </c>
      <c r="D13" s="76">
        <f>(6.5+8+7.5+1.75+4.25+1.75+4.75+11.25+0.5)</f>
        <v>46.25</v>
      </c>
      <c r="E13" s="76">
        <v>0.5</v>
      </c>
      <c r="F13" s="76">
        <v>2</v>
      </c>
      <c r="G13" s="76">
        <f t="shared" si="0"/>
        <v>46.25</v>
      </c>
      <c r="H13" s="76">
        <f t="shared" si="1"/>
        <v>46.25</v>
      </c>
    </row>
    <row r="14" spans="1:8" x14ac:dyDescent="0.2">
      <c r="A14" s="30"/>
      <c r="B14" s="30" t="s">
        <v>44</v>
      </c>
      <c r="C14" s="75">
        <v>1</v>
      </c>
      <c r="D14" s="76">
        <f>1.25+6.4167+0.5</f>
        <v>8.1666999999999987</v>
      </c>
      <c r="E14" s="76">
        <v>0.5</v>
      </c>
      <c r="F14" s="76">
        <v>2</v>
      </c>
      <c r="G14" s="76">
        <f t="shared" si="0"/>
        <v>8.1666999999999987</v>
      </c>
      <c r="H14" s="76">
        <f t="shared" si="1"/>
        <v>8.1666999999999987</v>
      </c>
    </row>
    <row r="15" spans="1:8" x14ac:dyDescent="0.2">
      <c r="A15" s="30"/>
      <c r="B15" s="30" t="s">
        <v>45</v>
      </c>
      <c r="C15" s="75">
        <v>1</v>
      </c>
      <c r="D15" s="76">
        <f>(7.5+1.75+4.25+1.75+4.75+0.5)</f>
        <v>20.5</v>
      </c>
      <c r="E15" s="76">
        <v>0.5</v>
      </c>
      <c r="F15" s="76">
        <v>2</v>
      </c>
      <c r="G15" s="76">
        <f t="shared" si="0"/>
        <v>20.5</v>
      </c>
      <c r="H15" s="76">
        <f t="shared" si="1"/>
        <v>20.5</v>
      </c>
    </row>
    <row r="16" spans="1:8" x14ac:dyDescent="0.2">
      <c r="A16" s="30"/>
      <c r="B16" s="30" t="s">
        <v>46</v>
      </c>
      <c r="C16" s="75">
        <v>1</v>
      </c>
      <c r="D16" s="76">
        <f>(6.833+2+6.4167+1.25+0.5)</f>
        <v>16.999700000000001</v>
      </c>
      <c r="E16" s="76">
        <v>0.5</v>
      </c>
      <c r="F16" s="76">
        <v>2</v>
      </c>
      <c r="G16" s="76">
        <f t="shared" si="0"/>
        <v>16.999700000000001</v>
      </c>
      <c r="H16" s="76">
        <f t="shared" si="1"/>
        <v>16.999700000000001</v>
      </c>
    </row>
    <row r="17" spans="1:8" x14ac:dyDescent="0.2">
      <c r="A17" s="30"/>
      <c r="B17" s="30" t="s">
        <v>96</v>
      </c>
      <c r="C17" s="75">
        <v>1</v>
      </c>
      <c r="D17" s="76">
        <f>(1.75+4.75+0.5)</f>
        <v>7</v>
      </c>
      <c r="E17" s="76">
        <v>0.5</v>
      </c>
      <c r="F17" s="76">
        <v>2</v>
      </c>
      <c r="G17" s="76">
        <f t="shared" si="0"/>
        <v>7</v>
      </c>
      <c r="H17" s="76">
        <f t="shared" si="1"/>
        <v>7</v>
      </c>
    </row>
    <row r="18" spans="1:8" x14ac:dyDescent="0.2">
      <c r="A18" s="30"/>
      <c r="B18" s="30" t="s">
        <v>48</v>
      </c>
      <c r="C18" s="75">
        <v>1</v>
      </c>
      <c r="D18" s="76">
        <f>(6.5+8+0.5)</f>
        <v>15</v>
      </c>
      <c r="E18" s="76">
        <v>0.5</v>
      </c>
      <c r="F18" s="76">
        <v>2</v>
      </c>
      <c r="G18" s="76">
        <f t="shared" si="0"/>
        <v>15</v>
      </c>
      <c r="H18" s="76">
        <f t="shared" si="1"/>
        <v>15</v>
      </c>
    </row>
    <row r="19" spans="1:8" x14ac:dyDescent="0.2">
      <c r="A19" s="30"/>
      <c r="B19" s="30" t="s">
        <v>27</v>
      </c>
      <c r="C19" s="75">
        <v>1</v>
      </c>
      <c r="D19" s="76">
        <f>(6.5+8+7.5+1.75+4.25+1.75+4.75+11.25+6.167+6.833+2+6.4176+1.25+0.5)</f>
        <v>68.917599999999993</v>
      </c>
      <c r="E19" s="76">
        <v>0.5</v>
      </c>
      <c r="F19" s="76">
        <v>2</v>
      </c>
      <c r="G19" s="76">
        <f t="shared" si="0"/>
        <v>68.917599999999993</v>
      </c>
      <c r="H19" s="76">
        <f t="shared" si="1"/>
        <v>68.917599999999993</v>
      </c>
    </row>
    <row r="20" spans="1:8" x14ac:dyDescent="0.2">
      <c r="A20" s="30"/>
      <c r="B20" s="30" t="s">
        <v>28</v>
      </c>
      <c r="C20" s="75">
        <v>1</v>
      </c>
      <c r="D20" s="76">
        <f>(7.25+1.75+0.333+3.167+1+1.5+4+0.5+1.333+8.167+1.75+4.75+0.5)-(5*0.5)</f>
        <v>33.5</v>
      </c>
      <c r="E20" s="76">
        <v>0.5</v>
      </c>
      <c r="F20" s="76">
        <v>2</v>
      </c>
      <c r="G20" s="76">
        <f t="shared" si="0"/>
        <v>33.5</v>
      </c>
      <c r="H20" s="76">
        <f t="shared" si="1"/>
        <v>33.5</v>
      </c>
    </row>
    <row r="21" spans="1:8" x14ac:dyDescent="0.2">
      <c r="A21" s="30"/>
      <c r="B21" s="30" t="s">
        <v>50</v>
      </c>
      <c r="C21" s="75">
        <v>1</v>
      </c>
      <c r="D21" s="76">
        <f>(7.25+1.75+0.333+3.167+1+0.5)-(2*0.5)</f>
        <v>13</v>
      </c>
      <c r="E21" s="76">
        <v>0.5</v>
      </c>
      <c r="F21" s="76">
        <v>2</v>
      </c>
      <c r="G21" s="76">
        <f t="shared" si="0"/>
        <v>13</v>
      </c>
      <c r="H21" s="76">
        <f t="shared" si="1"/>
        <v>13</v>
      </c>
    </row>
    <row r="22" spans="1:8" x14ac:dyDescent="0.2">
      <c r="A22" s="30"/>
      <c r="B22" s="30" t="s">
        <v>97</v>
      </c>
      <c r="C22" s="75">
        <v>1</v>
      </c>
      <c r="D22" s="76">
        <f>(4.75+1.75+0.5)-(2*0.5)</f>
        <v>6</v>
      </c>
      <c r="E22" s="76">
        <v>0.5</v>
      </c>
      <c r="F22" s="76">
        <v>2</v>
      </c>
      <c r="G22" s="76">
        <f t="shared" si="0"/>
        <v>6</v>
      </c>
      <c r="H22" s="76">
        <f t="shared" si="1"/>
        <v>6</v>
      </c>
    </row>
    <row r="23" spans="1:8" x14ac:dyDescent="0.2">
      <c r="A23" s="30"/>
      <c r="B23" s="30" t="s">
        <v>52</v>
      </c>
      <c r="C23" s="75">
        <v>1</v>
      </c>
      <c r="D23" s="76">
        <f>(1.5+4+0.5+1.333+8.167+1.75+4.75+0.5)-(4*0.5)</f>
        <v>20.5</v>
      </c>
      <c r="E23" s="76">
        <v>0.5</v>
      </c>
      <c r="F23" s="76">
        <v>2</v>
      </c>
      <c r="G23" s="76">
        <f t="shared" si="0"/>
        <v>20.5</v>
      </c>
      <c r="H23" s="76">
        <f t="shared" si="1"/>
        <v>20.5</v>
      </c>
    </row>
    <row r="24" spans="1:8" x14ac:dyDescent="0.2">
      <c r="A24" s="30"/>
      <c r="B24" s="30" t="s">
        <v>53</v>
      </c>
      <c r="C24" s="75">
        <v>1</v>
      </c>
      <c r="D24" s="76">
        <f>(7.25+1.75+0.333+3.167+1+0.5)-(3*0.5)</f>
        <v>12.5</v>
      </c>
      <c r="E24" s="76">
        <v>0.5</v>
      </c>
      <c r="F24" s="76">
        <v>2</v>
      </c>
      <c r="G24" s="76">
        <f t="shared" si="0"/>
        <v>12.5</v>
      </c>
      <c r="H24" s="76">
        <f t="shared" si="1"/>
        <v>12.5</v>
      </c>
    </row>
    <row r="25" spans="1:8" x14ac:dyDescent="0.2">
      <c r="A25" s="30"/>
      <c r="B25" s="30" t="s">
        <v>54</v>
      </c>
      <c r="C25" s="75">
        <v>1</v>
      </c>
      <c r="D25" s="76">
        <f>7.25+0.5-(14/12)-(2*0.5)</f>
        <v>5.583333333333333</v>
      </c>
      <c r="E25" s="76">
        <v>0.5</v>
      </c>
      <c r="F25" s="76">
        <v>2</v>
      </c>
      <c r="G25" s="76">
        <f t="shared" si="0"/>
        <v>5.583333333333333</v>
      </c>
      <c r="H25" s="76">
        <f t="shared" si="1"/>
        <v>5.583333333333333</v>
      </c>
    </row>
    <row r="26" spans="1:8" x14ac:dyDescent="0.2">
      <c r="A26" s="30"/>
      <c r="B26" s="30" t="s">
        <v>55</v>
      </c>
      <c r="C26" s="75">
        <v>1</v>
      </c>
      <c r="D26" s="76">
        <f>(0.5+1.333+8.167+1.75+4.75+0.5)-(3*0.5)</f>
        <v>15.5</v>
      </c>
      <c r="E26" s="76">
        <v>0.5</v>
      </c>
      <c r="F26" s="76">
        <v>2</v>
      </c>
      <c r="G26" s="76">
        <f t="shared" si="0"/>
        <v>15.5</v>
      </c>
      <c r="H26" s="76">
        <f t="shared" si="1"/>
        <v>15.5</v>
      </c>
    </row>
    <row r="27" spans="1:8" x14ac:dyDescent="0.2">
      <c r="A27" s="30"/>
      <c r="B27" s="30" t="s">
        <v>56</v>
      </c>
      <c r="C27" s="75">
        <v>1</v>
      </c>
      <c r="D27" s="76">
        <f>(7.25+1.75+0.333+3.167+1+0.5+1.333+8.167+1.75+4.75+0.5)-(5*0.5)</f>
        <v>28</v>
      </c>
      <c r="E27" s="76">
        <v>0.5</v>
      </c>
      <c r="F27" s="76">
        <v>2</v>
      </c>
      <c r="G27" s="76">
        <f t="shared" si="0"/>
        <v>28</v>
      </c>
      <c r="H27" s="76">
        <f t="shared" si="1"/>
        <v>28</v>
      </c>
    </row>
    <row r="28" spans="1:8" x14ac:dyDescent="0.2">
      <c r="A28" s="30"/>
      <c r="B28" s="30" t="s">
        <v>57</v>
      </c>
      <c r="C28" s="75">
        <v>1</v>
      </c>
      <c r="D28" s="76">
        <f>(7.25+1.75+0.333+3.167+0.5)-(3*0.5)</f>
        <v>11.5</v>
      </c>
      <c r="E28" s="76">
        <v>0.5</v>
      </c>
      <c r="F28" s="76">
        <v>2</v>
      </c>
      <c r="G28" s="76">
        <f t="shared" si="0"/>
        <v>11.5</v>
      </c>
      <c r="H28" s="76">
        <f t="shared" si="1"/>
        <v>11.5</v>
      </c>
    </row>
    <row r="29" spans="1:8" x14ac:dyDescent="0.2">
      <c r="A29" s="30"/>
      <c r="B29" s="30" t="s">
        <v>98</v>
      </c>
      <c r="C29" s="75">
        <v>1</v>
      </c>
      <c r="D29" s="76">
        <v>9.3000000000000007</v>
      </c>
      <c r="E29" s="76">
        <v>0.5</v>
      </c>
      <c r="F29" s="76">
        <v>2</v>
      </c>
      <c r="G29" s="76">
        <f t="shared" si="0"/>
        <v>9.3000000000000007</v>
      </c>
      <c r="H29" s="76">
        <f t="shared" si="1"/>
        <v>9.3000000000000007</v>
      </c>
    </row>
    <row r="30" spans="1:8" x14ac:dyDescent="0.2">
      <c r="A30" s="30"/>
      <c r="B30" s="30" t="s">
        <v>59</v>
      </c>
      <c r="C30" s="75">
        <v>1</v>
      </c>
      <c r="D30" s="76">
        <f>(1.333+8.167+1.75+4.75+0.5)-(2*0.5)</f>
        <v>15.5</v>
      </c>
      <c r="E30" s="76">
        <v>0.5</v>
      </c>
      <c r="F30" s="76">
        <v>2</v>
      </c>
      <c r="G30" s="76">
        <f t="shared" si="0"/>
        <v>15.5</v>
      </c>
      <c r="H30" s="76">
        <f t="shared" si="1"/>
        <v>15.5</v>
      </c>
    </row>
    <row r="31" spans="1:8" x14ac:dyDescent="0.2">
      <c r="A31" s="30"/>
      <c r="B31" s="30" t="s">
        <v>60</v>
      </c>
      <c r="C31" s="75">
        <v>1</v>
      </c>
      <c r="D31" s="76">
        <f>(7.25+1.75+0.333+0.5)-(2*0.5)</f>
        <v>8.8330000000000002</v>
      </c>
      <c r="E31" s="76">
        <v>0.5</v>
      </c>
      <c r="F31" s="76">
        <v>2</v>
      </c>
      <c r="G31" s="76">
        <f t="shared" si="0"/>
        <v>8.8330000000000002</v>
      </c>
      <c r="H31" s="76">
        <f t="shared" si="1"/>
        <v>8.8330000000000002</v>
      </c>
    </row>
    <row r="32" spans="1:8" x14ac:dyDescent="0.2">
      <c r="A32" s="30"/>
      <c r="B32" s="30" t="s">
        <v>61</v>
      </c>
      <c r="C32" s="75">
        <v>1</v>
      </c>
      <c r="D32" s="76">
        <f>(3.167+1+1.5+4+0.5+0.5)-(3*0.5)</f>
        <v>9.1669999999999998</v>
      </c>
      <c r="E32" s="76">
        <v>0.5</v>
      </c>
      <c r="F32" s="76">
        <v>2</v>
      </c>
      <c r="G32" s="76">
        <f t="shared" si="0"/>
        <v>9.1669999999999998</v>
      </c>
      <c r="H32" s="76">
        <f t="shared" si="1"/>
        <v>9.1669999999999998</v>
      </c>
    </row>
    <row r="33" spans="1:8" x14ac:dyDescent="0.2">
      <c r="A33" s="30"/>
      <c r="B33" s="30" t="s">
        <v>62</v>
      </c>
      <c r="C33" s="75">
        <v>1</v>
      </c>
      <c r="D33" s="76">
        <f>(4+0.5+1.333+8.167+1.75+4.75+0.5)-(3*0.5)</f>
        <v>19.5</v>
      </c>
      <c r="E33" s="76">
        <v>0.5</v>
      </c>
      <c r="F33" s="76">
        <v>2</v>
      </c>
      <c r="G33" s="76">
        <f t="shared" si="0"/>
        <v>19.5</v>
      </c>
      <c r="H33" s="76">
        <f t="shared" si="1"/>
        <v>19.5</v>
      </c>
    </row>
    <row r="34" spans="1:8" x14ac:dyDescent="0.2">
      <c r="A34" s="48"/>
      <c r="B34" s="97" t="s">
        <v>99</v>
      </c>
      <c r="C34" s="75"/>
      <c r="D34" s="76"/>
      <c r="E34" s="76"/>
      <c r="F34" s="76"/>
      <c r="G34" s="76"/>
      <c r="H34" s="77">
        <f>SUM(H7:H33)</f>
        <v>760.18956666666668</v>
      </c>
    </row>
    <row r="36" spans="1:8" x14ac:dyDescent="0.2">
      <c r="A36" s="48">
        <v>1.1000000000000001</v>
      </c>
      <c r="B36" s="97" t="s">
        <v>100</v>
      </c>
      <c r="C36" s="75"/>
      <c r="D36" s="76"/>
      <c r="E36" s="76"/>
      <c r="F36" s="76"/>
      <c r="G36" s="76"/>
      <c r="H36" s="76"/>
    </row>
    <row r="37" spans="1:8" x14ac:dyDescent="0.2">
      <c r="A37" s="30"/>
      <c r="B37" s="30" t="s">
        <v>101</v>
      </c>
      <c r="C37" s="75">
        <v>1</v>
      </c>
      <c r="D37" s="76">
        <f>2+6.4167+1.25+2+0.5</f>
        <v>12.166699999999999</v>
      </c>
      <c r="E37" s="76">
        <v>0.5</v>
      </c>
      <c r="F37" s="76">
        <f>30/12</f>
        <v>2.5</v>
      </c>
      <c r="G37" s="76">
        <f t="shared" ref="G37:G63" si="2">$D37*$E37*$F37</f>
        <v>15.208374999999998</v>
      </c>
      <c r="H37" s="76">
        <f t="shared" ref="H37:H63" si="3">$G37*$C37</f>
        <v>15.208374999999998</v>
      </c>
    </row>
    <row r="38" spans="1:8" x14ac:dyDescent="0.2">
      <c r="A38" s="30"/>
      <c r="B38" s="30" t="s">
        <v>95</v>
      </c>
      <c r="C38" s="75">
        <v>1</v>
      </c>
      <c r="D38" s="76">
        <f>(6.5+8+7.5+1.75+4.25+1.75+4.75+11.25+6.167+6.833+0.5)</f>
        <v>59.25</v>
      </c>
      <c r="E38" s="76">
        <v>0.5</v>
      </c>
      <c r="F38" s="76">
        <f t="shared" ref="F38:F63" si="4">30/12</f>
        <v>2.5</v>
      </c>
      <c r="G38" s="76">
        <f t="shared" si="2"/>
        <v>74.0625</v>
      </c>
      <c r="H38" s="76">
        <f t="shared" si="3"/>
        <v>74.0625</v>
      </c>
    </row>
    <row r="39" spans="1:8" x14ac:dyDescent="0.2">
      <c r="A39" s="30"/>
      <c r="B39" s="30" t="s">
        <v>40</v>
      </c>
      <c r="C39" s="75">
        <v>1</v>
      </c>
      <c r="D39" s="76">
        <f>4.25-0.5+1.75+0.5</f>
        <v>6</v>
      </c>
      <c r="E39" s="76">
        <v>0.5</v>
      </c>
      <c r="F39" s="76">
        <f t="shared" si="4"/>
        <v>2.5</v>
      </c>
      <c r="G39" s="76">
        <f t="shared" si="2"/>
        <v>7.5</v>
      </c>
      <c r="H39" s="76">
        <f t="shared" si="3"/>
        <v>7.5</v>
      </c>
    </row>
    <row r="40" spans="1:8" x14ac:dyDescent="0.2">
      <c r="A40" s="30"/>
      <c r="B40" s="30" t="s">
        <v>41</v>
      </c>
      <c r="C40" s="75">
        <v>1</v>
      </c>
      <c r="D40" s="76">
        <f>6.5+0.5</f>
        <v>7</v>
      </c>
      <c r="E40" s="76">
        <v>0.5</v>
      </c>
      <c r="F40" s="76">
        <f t="shared" si="4"/>
        <v>2.5</v>
      </c>
      <c r="G40" s="76">
        <f t="shared" si="2"/>
        <v>8.75</v>
      </c>
      <c r="H40" s="76">
        <f t="shared" si="3"/>
        <v>8.75</v>
      </c>
    </row>
    <row r="41" spans="1:8" x14ac:dyDescent="0.2">
      <c r="A41" s="30"/>
      <c r="B41" s="30" t="s">
        <v>42</v>
      </c>
      <c r="C41" s="75">
        <v>1</v>
      </c>
      <c r="D41" s="76">
        <f>6.167+6.833+2+0.5</f>
        <v>15.5</v>
      </c>
      <c r="E41" s="76">
        <v>0.5</v>
      </c>
      <c r="F41" s="76">
        <f t="shared" si="4"/>
        <v>2.5</v>
      </c>
      <c r="G41" s="76">
        <f t="shared" si="2"/>
        <v>19.375</v>
      </c>
      <c r="H41" s="76">
        <f t="shared" si="3"/>
        <v>19.375</v>
      </c>
    </row>
    <row r="42" spans="1:8" x14ac:dyDescent="0.2">
      <c r="A42" s="30"/>
      <c r="B42" s="30" t="s">
        <v>43</v>
      </c>
      <c r="C42" s="75">
        <v>1</v>
      </c>
      <c r="D42" s="76">
        <f>(6.5+8+7.5+1.75+4.25+1.75+4.75+11.25+0.5)</f>
        <v>46.25</v>
      </c>
      <c r="E42" s="76">
        <v>0.5</v>
      </c>
      <c r="F42" s="76">
        <f t="shared" si="4"/>
        <v>2.5</v>
      </c>
      <c r="G42" s="76">
        <f t="shared" si="2"/>
        <v>57.8125</v>
      </c>
      <c r="H42" s="76">
        <f t="shared" si="3"/>
        <v>57.8125</v>
      </c>
    </row>
    <row r="43" spans="1:8" x14ac:dyDescent="0.2">
      <c r="A43" s="30"/>
      <c r="B43" s="30" t="s">
        <v>44</v>
      </c>
      <c r="C43" s="75">
        <v>1</v>
      </c>
      <c r="D43" s="76">
        <f>1.25+6.4167+0.5</f>
        <v>8.1666999999999987</v>
      </c>
      <c r="E43" s="76">
        <v>0.5</v>
      </c>
      <c r="F43" s="76">
        <f t="shared" si="4"/>
        <v>2.5</v>
      </c>
      <c r="G43" s="76">
        <f t="shared" si="2"/>
        <v>10.208374999999998</v>
      </c>
      <c r="H43" s="76">
        <f t="shared" si="3"/>
        <v>10.208374999999998</v>
      </c>
    </row>
    <row r="44" spans="1:8" x14ac:dyDescent="0.2">
      <c r="A44" s="30"/>
      <c r="B44" s="30" t="s">
        <v>45</v>
      </c>
      <c r="C44" s="75">
        <v>1</v>
      </c>
      <c r="D44" s="76">
        <f>(7.5+1.75+4.25+1.75+4.75+0.5)</f>
        <v>20.5</v>
      </c>
      <c r="E44" s="76">
        <v>0.5</v>
      </c>
      <c r="F44" s="76">
        <f t="shared" si="4"/>
        <v>2.5</v>
      </c>
      <c r="G44" s="76">
        <f t="shared" si="2"/>
        <v>25.625</v>
      </c>
      <c r="H44" s="76">
        <f t="shared" si="3"/>
        <v>25.625</v>
      </c>
    </row>
    <row r="45" spans="1:8" x14ac:dyDescent="0.2">
      <c r="A45" s="30"/>
      <c r="B45" s="30" t="s">
        <v>46</v>
      </c>
      <c r="C45" s="75">
        <v>1</v>
      </c>
      <c r="D45" s="76">
        <f>(6.833+2+6.4167+1.25+0.5)</f>
        <v>16.999700000000001</v>
      </c>
      <c r="E45" s="76">
        <v>0.5</v>
      </c>
      <c r="F45" s="76">
        <f t="shared" si="4"/>
        <v>2.5</v>
      </c>
      <c r="G45" s="76">
        <f t="shared" si="2"/>
        <v>21.249625000000002</v>
      </c>
      <c r="H45" s="76">
        <f t="shared" si="3"/>
        <v>21.249625000000002</v>
      </c>
    </row>
    <row r="46" spans="1:8" x14ac:dyDescent="0.2">
      <c r="A46" s="30"/>
      <c r="B46" s="30" t="s">
        <v>96</v>
      </c>
      <c r="C46" s="75">
        <v>1</v>
      </c>
      <c r="D46" s="76">
        <f>(1.75+4.75+0.5)</f>
        <v>7</v>
      </c>
      <c r="E46" s="76">
        <v>0.5</v>
      </c>
      <c r="F46" s="76">
        <f t="shared" si="4"/>
        <v>2.5</v>
      </c>
      <c r="G46" s="76">
        <f t="shared" si="2"/>
        <v>8.75</v>
      </c>
      <c r="H46" s="76">
        <f t="shared" si="3"/>
        <v>8.75</v>
      </c>
    </row>
    <row r="47" spans="1:8" x14ac:dyDescent="0.2">
      <c r="A47" s="30"/>
      <c r="B47" s="30" t="s">
        <v>48</v>
      </c>
      <c r="C47" s="75">
        <v>1</v>
      </c>
      <c r="D47" s="76">
        <f>(6.5+8+0.5)</f>
        <v>15</v>
      </c>
      <c r="E47" s="76">
        <v>0.5</v>
      </c>
      <c r="F47" s="76">
        <f t="shared" si="4"/>
        <v>2.5</v>
      </c>
      <c r="G47" s="76">
        <f t="shared" si="2"/>
        <v>18.75</v>
      </c>
      <c r="H47" s="76">
        <f t="shared" si="3"/>
        <v>18.75</v>
      </c>
    </row>
    <row r="48" spans="1:8" x14ac:dyDescent="0.2">
      <c r="A48" s="30"/>
      <c r="B48" s="30" t="s">
        <v>27</v>
      </c>
      <c r="C48" s="75">
        <v>1</v>
      </c>
      <c r="D48" s="76">
        <f>(6.5+8+7.5+1.75+4.25+1.75+4.75+11.25+6.167+6.833+2+6.4176+1.25+0.5)</f>
        <v>68.917599999999993</v>
      </c>
      <c r="E48" s="76">
        <v>0.5</v>
      </c>
      <c r="F48" s="76">
        <f t="shared" si="4"/>
        <v>2.5</v>
      </c>
      <c r="G48" s="76">
        <f t="shared" si="2"/>
        <v>86.146999999999991</v>
      </c>
      <c r="H48" s="76">
        <f t="shared" si="3"/>
        <v>86.146999999999991</v>
      </c>
    </row>
    <row r="49" spans="1:8" x14ac:dyDescent="0.2">
      <c r="A49" s="30"/>
      <c r="B49" s="30" t="s">
        <v>28</v>
      </c>
      <c r="C49" s="75">
        <v>1</v>
      </c>
      <c r="D49" s="76">
        <f>(7.25+1.75+0.333+3.167+1+1.5+4+0.5+1.333+8.167+1.75+4.75+0.5)-(5*0.5)</f>
        <v>33.5</v>
      </c>
      <c r="E49" s="76">
        <v>0.5</v>
      </c>
      <c r="F49" s="76">
        <f t="shared" si="4"/>
        <v>2.5</v>
      </c>
      <c r="G49" s="76">
        <f t="shared" si="2"/>
        <v>41.875</v>
      </c>
      <c r="H49" s="76">
        <f t="shared" si="3"/>
        <v>41.875</v>
      </c>
    </row>
    <row r="50" spans="1:8" x14ac:dyDescent="0.2">
      <c r="A50" s="30"/>
      <c r="B50" s="30" t="s">
        <v>50</v>
      </c>
      <c r="C50" s="75">
        <v>1</v>
      </c>
      <c r="D50" s="76">
        <f>(7.25+1.75+0.333+3.167+1+0.5)-(2*0.5)</f>
        <v>13</v>
      </c>
      <c r="E50" s="76">
        <v>0.5</v>
      </c>
      <c r="F50" s="76">
        <f t="shared" si="4"/>
        <v>2.5</v>
      </c>
      <c r="G50" s="76">
        <f t="shared" si="2"/>
        <v>16.25</v>
      </c>
      <c r="H50" s="76">
        <f t="shared" si="3"/>
        <v>16.25</v>
      </c>
    </row>
    <row r="51" spans="1:8" x14ac:dyDescent="0.2">
      <c r="A51" s="30"/>
      <c r="B51" s="30" t="s">
        <v>97</v>
      </c>
      <c r="C51" s="75">
        <v>1</v>
      </c>
      <c r="D51" s="76">
        <f>(4.75+1.75+0.5)-(2*0.5)</f>
        <v>6</v>
      </c>
      <c r="E51" s="76">
        <v>0.5</v>
      </c>
      <c r="F51" s="76">
        <f t="shared" si="4"/>
        <v>2.5</v>
      </c>
      <c r="G51" s="76">
        <f t="shared" si="2"/>
        <v>7.5</v>
      </c>
      <c r="H51" s="76">
        <f t="shared" si="3"/>
        <v>7.5</v>
      </c>
    </row>
    <row r="52" spans="1:8" x14ac:dyDescent="0.2">
      <c r="A52" s="30"/>
      <c r="B52" s="30" t="s">
        <v>52</v>
      </c>
      <c r="C52" s="75">
        <v>1</v>
      </c>
      <c r="D52" s="76">
        <f>(1.5+4+0.5+1.333+8.167+1.75+4.75+0.5)-(4*0.5)</f>
        <v>20.5</v>
      </c>
      <c r="E52" s="76">
        <v>0.5</v>
      </c>
      <c r="F52" s="76">
        <f t="shared" si="4"/>
        <v>2.5</v>
      </c>
      <c r="G52" s="76">
        <f t="shared" si="2"/>
        <v>25.625</v>
      </c>
      <c r="H52" s="76">
        <f t="shared" si="3"/>
        <v>25.625</v>
      </c>
    </row>
    <row r="53" spans="1:8" x14ac:dyDescent="0.2">
      <c r="A53" s="30"/>
      <c r="B53" s="30" t="s">
        <v>53</v>
      </c>
      <c r="C53" s="75">
        <v>1</v>
      </c>
      <c r="D53" s="76">
        <f>(7.25+1.75+0.333+3.167+1+0.5)-(3*0.5)</f>
        <v>12.5</v>
      </c>
      <c r="E53" s="76">
        <v>0.5</v>
      </c>
      <c r="F53" s="76">
        <f t="shared" si="4"/>
        <v>2.5</v>
      </c>
      <c r="G53" s="76">
        <f t="shared" si="2"/>
        <v>15.625</v>
      </c>
      <c r="H53" s="76">
        <f t="shared" si="3"/>
        <v>15.625</v>
      </c>
    </row>
    <row r="54" spans="1:8" x14ac:dyDescent="0.2">
      <c r="A54" s="30"/>
      <c r="B54" s="30" t="s">
        <v>54</v>
      </c>
      <c r="C54" s="75">
        <v>1</v>
      </c>
      <c r="D54" s="76">
        <f>7.25+0.5-(14/12)-(2*0.5)</f>
        <v>5.583333333333333</v>
      </c>
      <c r="E54" s="76">
        <v>0.5</v>
      </c>
      <c r="F54" s="76">
        <f t="shared" si="4"/>
        <v>2.5</v>
      </c>
      <c r="G54" s="76">
        <f t="shared" si="2"/>
        <v>6.9791666666666661</v>
      </c>
      <c r="H54" s="76">
        <f t="shared" si="3"/>
        <v>6.9791666666666661</v>
      </c>
    </row>
    <row r="55" spans="1:8" x14ac:dyDescent="0.2">
      <c r="A55" s="30"/>
      <c r="B55" s="30" t="s">
        <v>55</v>
      </c>
      <c r="C55" s="75">
        <v>1</v>
      </c>
      <c r="D55" s="76">
        <f>(0.5+1.333+8.167+1.75+4.75+0.5)-(3*0.5)</f>
        <v>15.5</v>
      </c>
      <c r="E55" s="76">
        <v>0.5</v>
      </c>
      <c r="F55" s="76">
        <f t="shared" si="4"/>
        <v>2.5</v>
      </c>
      <c r="G55" s="76">
        <f t="shared" si="2"/>
        <v>19.375</v>
      </c>
      <c r="H55" s="76">
        <f t="shared" si="3"/>
        <v>19.375</v>
      </c>
    </row>
    <row r="56" spans="1:8" x14ac:dyDescent="0.2">
      <c r="A56" s="30"/>
      <c r="B56" s="30" t="s">
        <v>56</v>
      </c>
      <c r="C56" s="75">
        <v>1</v>
      </c>
      <c r="D56" s="76">
        <f>(7.25+1.75+0.333+3.167+1+0.5+1.333+8.167+1.75+4.75+0.5)-(5*0.5)</f>
        <v>28</v>
      </c>
      <c r="E56" s="76">
        <v>0.5</v>
      </c>
      <c r="F56" s="76">
        <f t="shared" si="4"/>
        <v>2.5</v>
      </c>
      <c r="G56" s="76">
        <f t="shared" si="2"/>
        <v>35</v>
      </c>
      <c r="H56" s="76">
        <f t="shared" si="3"/>
        <v>35</v>
      </c>
    </row>
    <row r="57" spans="1:8" x14ac:dyDescent="0.2">
      <c r="A57" s="30"/>
      <c r="B57" s="30" t="s">
        <v>57</v>
      </c>
      <c r="C57" s="75">
        <v>1</v>
      </c>
      <c r="D57" s="76">
        <f>(7.25+1.75+0.333+3.167+0.5)-(3*0.5)</f>
        <v>11.5</v>
      </c>
      <c r="E57" s="76">
        <v>0.5</v>
      </c>
      <c r="F57" s="76">
        <f t="shared" si="4"/>
        <v>2.5</v>
      </c>
      <c r="G57" s="76">
        <f t="shared" si="2"/>
        <v>14.375</v>
      </c>
      <c r="H57" s="76">
        <f t="shared" si="3"/>
        <v>14.375</v>
      </c>
    </row>
    <row r="58" spans="1:8" x14ac:dyDescent="0.2">
      <c r="A58" s="30"/>
      <c r="B58" s="30" t="s">
        <v>98</v>
      </c>
      <c r="C58" s="75">
        <v>1</v>
      </c>
      <c r="D58" s="76">
        <v>9.3000000000000007</v>
      </c>
      <c r="E58" s="76">
        <v>0.5</v>
      </c>
      <c r="F58" s="76">
        <f t="shared" si="4"/>
        <v>2.5</v>
      </c>
      <c r="G58" s="76">
        <f t="shared" si="2"/>
        <v>11.625</v>
      </c>
      <c r="H58" s="76">
        <f t="shared" si="3"/>
        <v>11.625</v>
      </c>
    </row>
    <row r="59" spans="1:8" x14ac:dyDescent="0.2">
      <c r="A59" s="30"/>
      <c r="B59" s="30" t="s">
        <v>59</v>
      </c>
      <c r="C59" s="75">
        <v>1</v>
      </c>
      <c r="D59" s="76">
        <f>(1.333+8.167+1.75+4.75+0.5)-(2*0.5)</f>
        <v>15.5</v>
      </c>
      <c r="E59" s="76">
        <v>0.5</v>
      </c>
      <c r="F59" s="76">
        <f t="shared" si="4"/>
        <v>2.5</v>
      </c>
      <c r="G59" s="76">
        <f t="shared" si="2"/>
        <v>19.375</v>
      </c>
      <c r="H59" s="76">
        <f t="shared" si="3"/>
        <v>19.375</v>
      </c>
    </row>
    <row r="60" spans="1:8" x14ac:dyDescent="0.2">
      <c r="A60" s="30"/>
      <c r="B60" s="30" t="s">
        <v>60</v>
      </c>
      <c r="C60" s="75">
        <v>1</v>
      </c>
      <c r="D60" s="76">
        <f>(6.583+7.25+1.75+0.333+0.5)-(2*0.5)</f>
        <v>15.416</v>
      </c>
      <c r="E60" s="76">
        <v>0.5</v>
      </c>
      <c r="F60" s="76">
        <f t="shared" si="4"/>
        <v>2.5</v>
      </c>
      <c r="G60" s="76">
        <f t="shared" si="2"/>
        <v>19.27</v>
      </c>
      <c r="H60" s="76">
        <f t="shared" si="3"/>
        <v>19.27</v>
      </c>
    </row>
    <row r="61" spans="1:8" x14ac:dyDescent="0.2">
      <c r="A61" s="30"/>
      <c r="B61" s="30" t="s">
        <v>61</v>
      </c>
      <c r="C61" s="75">
        <v>1</v>
      </c>
      <c r="D61" s="76">
        <f>(3.167+1+1.5+4+0.5+0.5)-(3*0.5)</f>
        <v>9.1669999999999998</v>
      </c>
      <c r="E61" s="76">
        <v>0.5</v>
      </c>
      <c r="F61" s="76">
        <f t="shared" si="4"/>
        <v>2.5</v>
      </c>
      <c r="G61" s="76">
        <f t="shared" si="2"/>
        <v>11.45875</v>
      </c>
      <c r="H61" s="76">
        <f t="shared" si="3"/>
        <v>11.45875</v>
      </c>
    </row>
    <row r="62" spans="1:8" x14ac:dyDescent="0.2">
      <c r="A62" s="30"/>
      <c r="B62" s="30" t="s">
        <v>62</v>
      </c>
      <c r="C62" s="75">
        <v>1</v>
      </c>
      <c r="D62" s="76">
        <f>(4+0.5+1.333+8.167+1.75+4.75+0.5)-(3*0.5)</f>
        <v>19.5</v>
      </c>
      <c r="E62" s="76">
        <v>0.5</v>
      </c>
      <c r="F62" s="76">
        <f t="shared" si="4"/>
        <v>2.5</v>
      </c>
      <c r="G62" s="76">
        <f t="shared" si="2"/>
        <v>24.375</v>
      </c>
      <c r="H62" s="76">
        <f t="shared" si="3"/>
        <v>24.375</v>
      </c>
    </row>
    <row r="63" spans="1:8" x14ac:dyDescent="0.2">
      <c r="A63" s="30"/>
      <c r="B63" s="30" t="s">
        <v>102</v>
      </c>
      <c r="C63" s="75">
        <v>1</v>
      </c>
      <c r="D63" s="76">
        <f>(7.25+1.75+0.333+3.167+1+1.5+4.33+0.5)-(3*0.5)</f>
        <v>18.329999999999998</v>
      </c>
      <c r="E63" s="76">
        <v>0.5</v>
      </c>
      <c r="F63" s="76">
        <f t="shared" si="4"/>
        <v>2.5</v>
      </c>
      <c r="G63" s="76">
        <f t="shared" si="2"/>
        <v>22.912499999999998</v>
      </c>
      <c r="H63" s="76">
        <f t="shared" si="3"/>
        <v>22.912499999999998</v>
      </c>
    </row>
    <row r="64" spans="1:8" x14ac:dyDescent="0.2">
      <c r="A64" s="48"/>
      <c r="B64" s="97" t="s">
        <v>103</v>
      </c>
      <c r="C64" s="75"/>
      <c r="D64" s="76"/>
      <c r="E64" s="76"/>
      <c r="F64" s="76"/>
      <c r="G64" s="76"/>
      <c r="H64" s="77">
        <f>SUM(H37:H63)</f>
        <v>645.05879166666671</v>
      </c>
    </row>
    <row r="66" spans="1:8" x14ac:dyDescent="0.2">
      <c r="A66" s="48">
        <v>1.3</v>
      </c>
      <c r="B66" s="97" t="s">
        <v>104</v>
      </c>
      <c r="C66" s="75"/>
      <c r="D66" s="76"/>
      <c r="E66" s="76"/>
      <c r="F66" s="76"/>
      <c r="G66" s="76"/>
      <c r="H66" s="76"/>
    </row>
    <row r="67" spans="1:8" x14ac:dyDescent="0.2">
      <c r="A67" s="30"/>
      <c r="B67" s="30" t="s">
        <v>93</v>
      </c>
      <c r="C67" s="75">
        <v>1</v>
      </c>
      <c r="D67" s="76">
        <f>((88.75*2)+(50*2))-(6.4167+1.25+(21/12)+(21/12))</f>
        <v>266.33330000000001</v>
      </c>
      <c r="E67" s="76">
        <v>0.5</v>
      </c>
      <c r="F67" s="76">
        <f t="shared" ref="F67:F93" si="5">30/12</f>
        <v>2.5</v>
      </c>
      <c r="G67" s="76">
        <f t="shared" ref="G67:G93" si="6">$D67*$E67*$F67</f>
        <v>332.91662500000001</v>
      </c>
      <c r="H67" s="76">
        <f t="shared" ref="H67:H93" si="7">$G67*$C67</f>
        <v>332.91662500000001</v>
      </c>
    </row>
    <row r="68" spans="1:8" x14ac:dyDescent="0.2">
      <c r="A68" s="30"/>
      <c r="B68" s="30" t="s">
        <v>94</v>
      </c>
      <c r="C68" s="75">
        <v>1</v>
      </c>
      <c r="D68" s="76">
        <f>6.4167+1.25+(21/12)+(21/12)</f>
        <v>11.166699999999999</v>
      </c>
      <c r="E68" s="76">
        <f>8/12</f>
        <v>0.66666666666666663</v>
      </c>
      <c r="F68" s="76">
        <f t="shared" si="5"/>
        <v>2.5</v>
      </c>
      <c r="G68" s="76">
        <f t="shared" si="6"/>
        <v>18.611166666666662</v>
      </c>
      <c r="H68" s="76">
        <f t="shared" si="7"/>
        <v>18.611166666666662</v>
      </c>
    </row>
    <row r="69" spans="1:8" x14ac:dyDescent="0.2">
      <c r="A69" s="30"/>
      <c r="B69" s="30" t="s">
        <v>95</v>
      </c>
      <c r="C69" s="75">
        <v>1</v>
      </c>
      <c r="D69" s="76">
        <f>(6.5+8+7.5+1.75+4.25+1.75+4.75+11.25+6.167+6.833+0.5)</f>
        <v>59.25</v>
      </c>
      <c r="E69" s="76">
        <v>0.5</v>
      </c>
      <c r="F69" s="76">
        <f t="shared" si="5"/>
        <v>2.5</v>
      </c>
      <c r="G69" s="76">
        <f t="shared" si="6"/>
        <v>74.0625</v>
      </c>
      <c r="H69" s="76">
        <f t="shared" si="7"/>
        <v>74.0625</v>
      </c>
    </row>
    <row r="70" spans="1:8" x14ac:dyDescent="0.2">
      <c r="A70" s="30"/>
      <c r="B70" s="30" t="s">
        <v>40</v>
      </c>
      <c r="C70" s="75">
        <v>1</v>
      </c>
      <c r="D70" s="76">
        <f>4.25-0.5+1.75+0.5</f>
        <v>6</v>
      </c>
      <c r="E70" s="76">
        <v>0.5</v>
      </c>
      <c r="F70" s="76">
        <f t="shared" si="5"/>
        <v>2.5</v>
      </c>
      <c r="G70" s="76">
        <f t="shared" si="6"/>
        <v>7.5</v>
      </c>
      <c r="H70" s="76">
        <f t="shared" si="7"/>
        <v>7.5</v>
      </c>
    </row>
    <row r="71" spans="1:8" x14ac:dyDescent="0.2">
      <c r="A71" s="30"/>
      <c r="B71" s="30" t="s">
        <v>41</v>
      </c>
      <c r="C71" s="75">
        <v>1</v>
      </c>
      <c r="D71" s="76">
        <f>6.5+0.5</f>
        <v>7</v>
      </c>
      <c r="E71" s="76">
        <v>0.5</v>
      </c>
      <c r="F71" s="76">
        <f t="shared" si="5"/>
        <v>2.5</v>
      </c>
      <c r="G71" s="76">
        <f t="shared" si="6"/>
        <v>8.75</v>
      </c>
      <c r="H71" s="76">
        <f t="shared" si="7"/>
        <v>8.75</v>
      </c>
    </row>
    <row r="72" spans="1:8" x14ac:dyDescent="0.2">
      <c r="A72" s="30"/>
      <c r="B72" s="30" t="s">
        <v>42</v>
      </c>
      <c r="C72" s="75">
        <v>1</v>
      </c>
      <c r="D72" s="76">
        <f>6.167+6.833+2+0.5</f>
        <v>15.5</v>
      </c>
      <c r="E72" s="76">
        <v>0.5</v>
      </c>
      <c r="F72" s="76">
        <f t="shared" si="5"/>
        <v>2.5</v>
      </c>
      <c r="G72" s="76">
        <f t="shared" si="6"/>
        <v>19.375</v>
      </c>
      <c r="H72" s="76">
        <f t="shared" si="7"/>
        <v>19.375</v>
      </c>
    </row>
    <row r="73" spans="1:8" x14ac:dyDescent="0.2">
      <c r="A73" s="30"/>
      <c r="B73" s="30" t="s">
        <v>43</v>
      </c>
      <c r="C73" s="75">
        <v>1</v>
      </c>
      <c r="D73" s="76">
        <f>(6.5+8+7.5+1.75+4.25+1.75+4.75+11.25+0.5)</f>
        <v>46.25</v>
      </c>
      <c r="E73" s="76">
        <v>0.5</v>
      </c>
      <c r="F73" s="76">
        <f t="shared" si="5"/>
        <v>2.5</v>
      </c>
      <c r="G73" s="76">
        <f t="shared" si="6"/>
        <v>57.8125</v>
      </c>
      <c r="H73" s="76">
        <f t="shared" si="7"/>
        <v>57.8125</v>
      </c>
    </row>
    <row r="74" spans="1:8" x14ac:dyDescent="0.2">
      <c r="A74" s="30"/>
      <c r="B74" s="30" t="s">
        <v>44</v>
      </c>
      <c r="C74" s="75">
        <v>1</v>
      </c>
      <c r="D74" s="76">
        <f>1.25+6.4167+0.5</f>
        <v>8.1666999999999987</v>
      </c>
      <c r="E74" s="76">
        <v>0.5</v>
      </c>
      <c r="F74" s="76">
        <f t="shared" si="5"/>
        <v>2.5</v>
      </c>
      <c r="G74" s="76">
        <f t="shared" si="6"/>
        <v>10.208374999999998</v>
      </c>
      <c r="H74" s="76">
        <f t="shared" si="7"/>
        <v>10.208374999999998</v>
      </c>
    </row>
    <row r="75" spans="1:8" x14ac:dyDescent="0.2">
      <c r="A75" s="30"/>
      <c r="B75" s="30" t="s">
        <v>45</v>
      </c>
      <c r="C75" s="75">
        <v>1</v>
      </c>
      <c r="D75" s="76">
        <f>(7.5+1.75+4.25+1.75+4.75+0.5)</f>
        <v>20.5</v>
      </c>
      <c r="E75" s="76">
        <v>0.5</v>
      </c>
      <c r="F75" s="76">
        <f t="shared" si="5"/>
        <v>2.5</v>
      </c>
      <c r="G75" s="76">
        <f t="shared" si="6"/>
        <v>25.625</v>
      </c>
      <c r="H75" s="76">
        <f t="shared" si="7"/>
        <v>25.625</v>
      </c>
    </row>
    <row r="76" spans="1:8" x14ac:dyDescent="0.2">
      <c r="A76" s="30"/>
      <c r="B76" s="30" t="s">
        <v>46</v>
      </c>
      <c r="C76" s="75">
        <v>1</v>
      </c>
      <c r="D76" s="76">
        <f>(6.833+2+6.4167+1.25+0.5)</f>
        <v>16.999700000000001</v>
      </c>
      <c r="E76" s="76">
        <v>0.5</v>
      </c>
      <c r="F76" s="76">
        <f t="shared" si="5"/>
        <v>2.5</v>
      </c>
      <c r="G76" s="76">
        <f t="shared" si="6"/>
        <v>21.249625000000002</v>
      </c>
      <c r="H76" s="76">
        <f t="shared" si="7"/>
        <v>21.249625000000002</v>
      </c>
    </row>
    <row r="77" spans="1:8" x14ac:dyDescent="0.2">
      <c r="A77" s="30"/>
      <c r="B77" s="30" t="s">
        <v>96</v>
      </c>
      <c r="C77" s="75">
        <v>1</v>
      </c>
      <c r="D77" s="76">
        <f>(1.75+4.75+0.5)</f>
        <v>7</v>
      </c>
      <c r="E77" s="76">
        <v>0.5</v>
      </c>
      <c r="F77" s="76">
        <f t="shared" si="5"/>
        <v>2.5</v>
      </c>
      <c r="G77" s="76">
        <f t="shared" si="6"/>
        <v>8.75</v>
      </c>
      <c r="H77" s="76">
        <f t="shared" si="7"/>
        <v>8.75</v>
      </c>
    </row>
    <row r="78" spans="1:8" x14ac:dyDescent="0.2">
      <c r="A78" s="30"/>
      <c r="B78" s="30" t="s">
        <v>48</v>
      </c>
      <c r="C78" s="75">
        <v>1</v>
      </c>
      <c r="D78" s="76">
        <f>(6.5+8+0.5)</f>
        <v>15</v>
      </c>
      <c r="E78" s="76">
        <v>0.5</v>
      </c>
      <c r="F78" s="76">
        <f t="shared" si="5"/>
        <v>2.5</v>
      </c>
      <c r="G78" s="76">
        <f t="shared" si="6"/>
        <v>18.75</v>
      </c>
      <c r="H78" s="76">
        <f t="shared" si="7"/>
        <v>18.75</v>
      </c>
    </row>
    <row r="79" spans="1:8" x14ac:dyDescent="0.2">
      <c r="A79" s="30"/>
      <c r="B79" s="30" t="s">
        <v>27</v>
      </c>
      <c r="C79" s="75">
        <v>1</v>
      </c>
      <c r="D79" s="76">
        <f>(6.5+8+7.5+1.75+4.25+1.75+4.75+11.25+6.167+6.833+2+6.4176+1.25+0.5)</f>
        <v>68.917599999999993</v>
      </c>
      <c r="E79" s="76">
        <v>0.5</v>
      </c>
      <c r="F79" s="76">
        <f t="shared" si="5"/>
        <v>2.5</v>
      </c>
      <c r="G79" s="76">
        <f t="shared" si="6"/>
        <v>86.146999999999991</v>
      </c>
      <c r="H79" s="76">
        <f t="shared" si="7"/>
        <v>86.146999999999991</v>
      </c>
    </row>
    <row r="80" spans="1:8" x14ac:dyDescent="0.2">
      <c r="A80" s="30"/>
      <c r="B80" s="30" t="s">
        <v>28</v>
      </c>
      <c r="C80" s="75">
        <v>1</v>
      </c>
      <c r="D80" s="76">
        <f>(7.25+1.75+0.333+3.167+1+1.5+4+0.5+1.333+8.167+1.75+4.75+0.5)-(5*0.5)</f>
        <v>33.5</v>
      </c>
      <c r="E80" s="76">
        <v>0.5</v>
      </c>
      <c r="F80" s="76">
        <f t="shared" si="5"/>
        <v>2.5</v>
      </c>
      <c r="G80" s="76">
        <f t="shared" si="6"/>
        <v>41.875</v>
      </c>
      <c r="H80" s="76">
        <f t="shared" si="7"/>
        <v>41.875</v>
      </c>
    </row>
    <row r="81" spans="1:8" x14ac:dyDescent="0.2">
      <c r="A81" s="30"/>
      <c r="B81" s="30" t="s">
        <v>50</v>
      </c>
      <c r="C81" s="75">
        <v>1</v>
      </c>
      <c r="D81" s="76">
        <f>(7.25+1.75+0.333+3.167+1+0.5)-(2*0.5)</f>
        <v>13</v>
      </c>
      <c r="E81" s="76">
        <v>0.5</v>
      </c>
      <c r="F81" s="76">
        <f t="shared" si="5"/>
        <v>2.5</v>
      </c>
      <c r="G81" s="76">
        <f t="shared" si="6"/>
        <v>16.25</v>
      </c>
      <c r="H81" s="76">
        <f t="shared" si="7"/>
        <v>16.25</v>
      </c>
    </row>
    <row r="82" spans="1:8" x14ac:dyDescent="0.2">
      <c r="A82" s="30"/>
      <c r="B82" s="30" t="s">
        <v>97</v>
      </c>
      <c r="C82" s="75">
        <v>1</v>
      </c>
      <c r="D82" s="76">
        <f>(4.75+1.75+0.5)-(2*0.5)</f>
        <v>6</v>
      </c>
      <c r="E82" s="76">
        <v>0.5</v>
      </c>
      <c r="F82" s="76">
        <f t="shared" si="5"/>
        <v>2.5</v>
      </c>
      <c r="G82" s="76">
        <f t="shared" si="6"/>
        <v>7.5</v>
      </c>
      <c r="H82" s="76">
        <f t="shared" si="7"/>
        <v>7.5</v>
      </c>
    </row>
    <row r="83" spans="1:8" x14ac:dyDescent="0.2">
      <c r="A83" s="30"/>
      <c r="B83" s="30" t="s">
        <v>52</v>
      </c>
      <c r="C83" s="75">
        <v>1</v>
      </c>
      <c r="D83" s="76">
        <f>(1.5+4+0.5+1.333+8.167+1.75+4.75+0.5)-(4*0.5)</f>
        <v>20.5</v>
      </c>
      <c r="E83" s="76">
        <v>0.5</v>
      </c>
      <c r="F83" s="76">
        <f t="shared" si="5"/>
        <v>2.5</v>
      </c>
      <c r="G83" s="76">
        <f t="shared" si="6"/>
        <v>25.625</v>
      </c>
      <c r="H83" s="76">
        <f t="shared" si="7"/>
        <v>25.625</v>
      </c>
    </row>
    <row r="84" spans="1:8" x14ac:dyDescent="0.2">
      <c r="A84" s="30"/>
      <c r="B84" s="30" t="s">
        <v>53</v>
      </c>
      <c r="C84" s="75">
        <v>1</v>
      </c>
      <c r="D84" s="76">
        <f>(7.25+1.75+0.333+3.167+1+0.5)-(3*0.5)</f>
        <v>12.5</v>
      </c>
      <c r="E84" s="76">
        <v>0.5</v>
      </c>
      <c r="F84" s="76">
        <f t="shared" si="5"/>
        <v>2.5</v>
      </c>
      <c r="G84" s="76">
        <f t="shared" si="6"/>
        <v>15.625</v>
      </c>
      <c r="H84" s="76">
        <f t="shared" si="7"/>
        <v>15.625</v>
      </c>
    </row>
    <row r="85" spans="1:8" x14ac:dyDescent="0.2">
      <c r="A85" s="30"/>
      <c r="B85" s="30" t="s">
        <v>54</v>
      </c>
      <c r="C85" s="75">
        <v>1</v>
      </c>
      <c r="D85" s="76">
        <f>7.25+0.5-(14/12)-(2*0.5)</f>
        <v>5.583333333333333</v>
      </c>
      <c r="E85" s="76">
        <v>0.5</v>
      </c>
      <c r="F85" s="76">
        <f t="shared" si="5"/>
        <v>2.5</v>
      </c>
      <c r="G85" s="76">
        <f t="shared" si="6"/>
        <v>6.9791666666666661</v>
      </c>
      <c r="H85" s="76">
        <f t="shared" si="7"/>
        <v>6.9791666666666661</v>
      </c>
    </row>
    <row r="86" spans="1:8" x14ac:dyDescent="0.2">
      <c r="A86" s="30"/>
      <c r="B86" s="30" t="s">
        <v>55</v>
      </c>
      <c r="C86" s="75">
        <v>1</v>
      </c>
      <c r="D86" s="76">
        <f>(0.5+1.333+8.167+1.75+4.75+0.5)-(3*0.5)</f>
        <v>15.5</v>
      </c>
      <c r="E86" s="76">
        <v>0.5</v>
      </c>
      <c r="F86" s="76">
        <f t="shared" si="5"/>
        <v>2.5</v>
      </c>
      <c r="G86" s="76">
        <f t="shared" si="6"/>
        <v>19.375</v>
      </c>
      <c r="H86" s="76">
        <f t="shared" si="7"/>
        <v>19.375</v>
      </c>
    </row>
    <row r="87" spans="1:8" x14ac:dyDescent="0.2">
      <c r="A87" s="30"/>
      <c r="B87" s="30" t="s">
        <v>56</v>
      </c>
      <c r="C87" s="75">
        <v>1</v>
      </c>
      <c r="D87" s="76">
        <f>(7.25+1.75+0.333+3.167+1+0.5+1.333+8.167+1.75+4.75+0.5)-(5*0.5)</f>
        <v>28</v>
      </c>
      <c r="E87" s="76">
        <v>0.5</v>
      </c>
      <c r="F87" s="76">
        <f t="shared" si="5"/>
        <v>2.5</v>
      </c>
      <c r="G87" s="76">
        <f t="shared" si="6"/>
        <v>35</v>
      </c>
      <c r="H87" s="76">
        <f t="shared" si="7"/>
        <v>35</v>
      </c>
    </row>
    <row r="88" spans="1:8" x14ac:dyDescent="0.2">
      <c r="A88" s="30"/>
      <c r="B88" s="30" t="s">
        <v>57</v>
      </c>
      <c r="C88" s="75">
        <v>1</v>
      </c>
      <c r="D88" s="76">
        <f>(7.25+1.75+0.333+3.167+0.5)-(3*0.5)</f>
        <v>11.5</v>
      </c>
      <c r="E88" s="76">
        <v>0.5</v>
      </c>
      <c r="F88" s="76">
        <f t="shared" si="5"/>
        <v>2.5</v>
      </c>
      <c r="G88" s="76">
        <f t="shared" si="6"/>
        <v>14.375</v>
      </c>
      <c r="H88" s="76">
        <f t="shared" si="7"/>
        <v>14.375</v>
      </c>
    </row>
    <row r="89" spans="1:8" x14ac:dyDescent="0.2">
      <c r="A89" s="30"/>
      <c r="B89" s="30" t="s">
        <v>98</v>
      </c>
      <c r="C89" s="75">
        <v>1</v>
      </c>
      <c r="D89" s="76">
        <v>9.3000000000000007</v>
      </c>
      <c r="E89" s="76">
        <v>0.5</v>
      </c>
      <c r="F89" s="76">
        <f t="shared" si="5"/>
        <v>2.5</v>
      </c>
      <c r="G89" s="76">
        <f t="shared" si="6"/>
        <v>11.625</v>
      </c>
      <c r="H89" s="76">
        <f t="shared" si="7"/>
        <v>11.625</v>
      </c>
    </row>
    <row r="90" spans="1:8" x14ac:dyDescent="0.2">
      <c r="A90" s="30"/>
      <c r="B90" s="30" t="s">
        <v>59</v>
      </c>
      <c r="C90" s="75">
        <v>1</v>
      </c>
      <c r="D90" s="76">
        <f>(1.333+8.167+1.75+4.75+0.5)-(2*0.5)</f>
        <v>15.5</v>
      </c>
      <c r="E90" s="76">
        <v>0.5</v>
      </c>
      <c r="F90" s="76">
        <f t="shared" si="5"/>
        <v>2.5</v>
      </c>
      <c r="G90" s="76">
        <f t="shared" si="6"/>
        <v>19.375</v>
      </c>
      <c r="H90" s="76">
        <f t="shared" si="7"/>
        <v>19.375</v>
      </c>
    </row>
    <row r="91" spans="1:8" x14ac:dyDescent="0.2">
      <c r="A91" s="30"/>
      <c r="B91" s="30" t="s">
        <v>60</v>
      </c>
      <c r="C91" s="75">
        <v>1</v>
      </c>
      <c r="D91" s="76">
        <f>(7.25+1.75+0.333+0.5)-(2*0.5)</f>
        <v>8.8330000000000002</v>
      </c>
      <c r="E91" s="76">
        <v>0.5</v>
      </c>
      <c r="F91" s="76">
        <f t="shared" si="5"/>
        <v>2.5</v>
      </c>
      <c r="G91" s="76">
        <f t="shared" si="6"/>
        <v>11.04125</v>
      </c>
      <c r="H91" s="76">
        <f t="shared" si="7"/>
        <v>11.04125</v>
      </c>
    </row>
    <row r="92" spans="1:8" x14ac:dyDescent="0.2">
      <c r="A92" s="30"/>
      <c r="B92" s="30" t="s">
        <v>61</v>
      </c>
      <c r="C92" s="75">
        <v>1</v>
      </c>
      <c r="D92" s="76">
        <f>(3.167+1+1.5+4+0.5+0.5)-(3*0.5)</f>
        <v>9.1669999999999998</v>
      </c>
      <c r="E92" s="76">
        <v>0.5</v>
      </c>
      <c r="F92" s="76">
        <f t="shared" si="5"/>
        <v>2.5</v>
      </c>
      <c r="G92" s="76">
        <f t="shared" si="6"/>
        <v>11.45875</v>
      </c>
      <c r="H92" s="76">
        <f t="shared" si="7"/>
        <v>11.45875</v>
      </c>
    </row>
    <row r="93" spans="1:8" x14ac:dyDescent="0.2">
      <c r="A93" s="30"/>
      <c r="B93" s="30" t="s">
        <v>62</v>
      </c>
      <c r="C93" s="75">
        <v>1</v>
      </c>
      <c r="D93" s="76">
        <f>(4+0.5+1.333+8.167+1.75+4.75+0.5)-(3*0.5)</f>
        <v>19.5</v>
      </c>
      <c r="E93" s="76">
        <v>0.5</v>
      </c>
      <c r="F93" s="76">
        <f t="shared" si="5"/>
        <v>2.5</v>
      </c>
      <c r="G93" s="76">
        <f t="shared" si="6"/>
        <v>24.375</v>
      </c>
      <c r="H93" s="76">
        <f t="shared" si="7"/>
        <v>24.375</v>
      </c>
    </row>
    <row r="94" spans="1:8" x14ac:dyDescent="0.2">
      <c r="A94" s="48"/>
      <c r="B94" s="97" t="s">
        <v>105</v>
      </c>
      <c r="C94" s="75"/>
      <c r="D94" s="76"/>
      <c r="E94" s="76"/>
      <c r="F94" s="76"/>
      <c r="G94" s="76"/>
      <c r="H94" s="77">
        <f>SUM(H67:H93)</f>
        <v>950.23695833333329</v>
      </c>
    </row>
    <row r="96" spans="1:8" x14ac:dyDescent="0.2">
      <c r="A96" s="48">
        <v>1.4</v>
      </c>
      <c r="B96" s="97" t="s">
        <v>106</v>
      </c>
      <c r="C96" s="75"/>
      <c r="D96" s="76"/>
      <c r="E96" s="76"/>
      <c r="F96" s="76"/>
      <c r="G96" s="76"/>
      <c r="H96" s="77">
        <f>SUM(H94+H64+H34)</f>
        <v>2355.4853166666667</v>
      </c>
    </row>
    <row r="98" spans="1:8" x14ac:dyDescent="0.2">
      <c r="A98" s="98">
        <v>1</v>
      </c>
      <c r="B98" s="254" t="s">
        <v>107</v>
      </c>
      <c r="C98" s="254"/>
      <c r="D98" s="254"/>
      <c r="E98" s="254"/>
      <c r="F98" s="254"/>
      <c r="G98" s="254"/>
      <c r="H98" s="254"/>
    </row>
    <row r="99" spans="1:8" ht="30" x14ac:dyDescent="0.2">
      <c r="A99" s="48">
        <v>1.1000000000000001</v>
      </c>
      <c r="B99" s="99" t="s">
        <v>108</v>
      </c>
      <c r="C99" s="75"/>
      <c r="D99" s="76"/>
      <c r="E99" s="76"/>
      <c r="F99" s="76"/>
      <c r="G99" s="76"/>
      <c r="H99" s="76"/>
    </row>
    <row r="100" spans="1:8" x14ac:dyDescent="0.2">
      <c r="A100" s="30"/>
      <c r="B100" s="30" t="s">
        <v>72</v>
      </c>
      <c r="C100" s="75">
        <v>18</v>
      </c>
      <c r="D100" s="76">
        <v>8</v>
      </c>
      <c r="E100" s="76">
        <v>0.5</v>
      </c>
      <c r="F100" s="76">
        <v>3</v>
      </c>
      <c r="G100" s="76">
        <f t="shared" ref="G100:G107" si="8">$D100*$E100*$F100</f>
        <v>12</v>
      </c>
      <c r="H100" s="76">
        <f t="shared" ref="H100:H107" si="9">$G100*$C100</f>
        <v>216</v>
      </c>
    </row>
    <row r="101" spans="1:8" x14ac:dyDescent="0.2">
      <c r="A101" s="30"/>
      <c r="B101" s="30" t="s">
        <v>73</v>
      </c>
      <c r="C101" s="75">
        <v>6</v>
      </c>
      <c r="D101" s="76">
        <v>8</v>
      </c>
      <c r="E101" s="76">
        <v>0.5</v>
      </c>
      <c r="F101" s="76">
        <v>3</v>
      </c>
      <c r="G101" s="76">
        <f t="shared" si="8"/>
        <v>12</v>
      </c>
      <c r="H101" s="76">
        <f t="shared" si="9"/>
        <v>72</v>
      </c>
    </row>
    <row r="102" spans="1:8" x14ac:dyDescent="0.2">
      <c r="A102" s="30"/>
      <c r="B102" s="30" t="s">
        <v>74</v>
      </c>
      <c r="C102" s="75">
        <v>7</v>
      </c>
      <c r="D102" s="76">
        <v>8</v>
      </c>
      <c r="E102" s="76">
        <v>0.5</v>
      </c>
      <c r="F102" s="76">
        <v>3</v>
      </c>
      <c r="G102" s="76">
        <f t="shared" si="8"/>
        <v>12</v>
      </c>
      <c r="H102" s="76">
        <f t="shared" si="9"/>
        <v>84</v>
      </c>
    </row>
    <row r="103" spans="1:8" x14ac:dyDescent="0.2">
      <c r="A103" s="30"/>
      <c r="B103" s="30" t="s">
        <v>75</v>
      </c>
      <c r="C103" s="75">
        <v>2</v>
      </c>
      <c r="D103" s="76">
        <v>8</v>
      </c>
      <c r="E103" s="76">
        <v>0.5</v>
      </c>
      <c r="F103" s="76">
        <v>3</v>
      </c>
      <c r="G103" s="76">
        <f t="shared" si="8"/>
        <v>12</v>
      </c>
      <c r="H103" s="76">
        <f t="shared" si="9"/>
        <v>24</v>
      </c>
    </row>
    <row r="104" spans="1:8" x14ac:dyDescent="0.2">
      <c r="A104" s="30"/>
      <c r="B104" s="30" t="s">
        <v>76</v>
      </c>
      <c r="C104" s="75">
        <v>1</v>
      </c>
      <c r="D104" s="76">
        <v>8</v>
      </c>
      <c r="E104" s="76">
        <f>8/12</f>
        <v>0.66666666666666663</v>
      </c>
      <c r="F104" s="76">
        <v>3</v>
      </c>
      <c r="G104" s="76">
        <f t="shared" si="8"/>
        <v>16</v>
      </c>
      <c r="H104" s="76">
        <f t="shared" si="9"/>
        <v>16</v>
      </c>
    </row>
    <row r="105" spans="1:8" x14ac:dyDescent="0.2">
      <c r="A105" s="30"/>
      <c r="B105" s="30" t="s">
        <v>77</v>
      </c>
      <c r="C105" s="75">
        <v>1</v>
      </c>
      <c r="D105" s="76">
        <v>8</v>
      </c>
      <c r="E105" s="76">
        <f>8/12</f>
        <v>0.66666666666666663</v>
      </c>
      <c r="F105" s="76">
        <v>3</v>
      </c>
      <c r="G105" s="76">
        <f t="shared" si="8"/>
        <v>16</v>
      </c>
      <c r="H105" s="76">
        <f t="shared" si="9"/>
        <v>16</v>
      </c>
    </row>
    <row r="106" spans="1:8" x14ac:dyDescent="0.2">
      <c r="A106" s="30"/>
      <c r="B106" s="30" t="s">
        <v>78</v>
      </c>
      <c r="C106" s="75">
        <v>22</v>
      </c>
      <c r="D106" s="76">
        <v>8</v>
      </c>
      <c r="E106" s="76">
        <v>0.5</v>
      </c>
      <c r="F106" s="76">
        <v>3</v>
      </c>
      <c r="G106" s="76">
        <f t="shared" si="8"/>
        <v>12</v>
      </c>
      <c r="H106" s="76">
        <f t="shared" si="9"/>
        <v>264</v>
      </c>
    </row>
    <row r="107" spans="1:8" x14ac:dyDescent="0.2">
      <c r="A107" s="30"/>
      <c r="B107" s="30" t="s">
        <v>79</v>
      </c>
      <c r="C107" s="75">
        <v>3</v>
      </c>
      <c r="D107" s="76">
        <v>8</v>
      </c>
      <c r="E107" s="76">
        <v>1</v>
      </c>
      <c r="F107" s="76">
        <v>3</v>
      </c>
      <c r="G107" s="76">
        <f t="shared" si="8"/>
        <v>24</v>
      </c>
      <c r="H107" s="76">
        <f t="shared" si="9"/>
        <v>72</v>
      </c>
    </row>
    <row r="108" spans="1:8" x14ac:dyDescent="0.2">
      <c r="A108" s="48"/>
      <c r="B108" s="97" t="s">
        <v>109</v>
      </c>
      <c r="C108" s="75"/>
      <c r="D108" s="76"/>
      <c r="E108" s="76"/>
      <c r="F108" s="76"/>
      <c r="G108" s="76"/>
      <c r="H108" s="77">
        <f>SUM(H100:H107)</f>
        <v>764</v>
      </c>
    </row>
    <row r="110" spans="1:8" ht="30" x14ac:dyDescent="0.2">
      <c r="A110" s="48">
        <v>1.2</v>
      </c>
      <c r="B110" s="99" t="s">
        <v>110</v>
      </c>
      <c r="C110" s="75"/>
      <c r="D110" s="76"/>
      <c r="E110" s="76"/>
      <c r="F110" s="76"/>
      <c r="G110" s="76"/>
      <c r="H110" s="76"/>
    </row>
    <row r="111" spans="1:8" x14ac:dyDescent="0.2">
      <c r="A111" s="30"/>
      <c r="B111" s="30" t="s">
        <v>72</v>
      </c>
      <c r="C111" s="75">
        <v>18</v>
      </c>
      <c r="D111" s="76">
        <v>8</v>
      </c>
      <c r="E111" s="76">
        <v>0.5</v>
      </c>
      <c r="F111" s="76">
        <v>3</v>
      </c>
      <c r="G111" s="76">
        <f>$D111*$E111*$F111</f>
        <v>12</v>
      </c>
      <c r="H111" s="76">
        <f>$G111*$C111</f>
        <v>216</v>
      </c>
    </row>
    <row r="112" spans="1:8" x14ac:dyDescent="0.2">
      <c r="A112" s="30"/>
      <c r="B112" s="30" t="s">
        <v>73</v>
      </c>
      <c r="C112" s="75">
        <v>6</v>
      </c>
      <c r="D112" s="76">
        <v>8</v>
      </c>
      <c r="E112" s="76">
        <v>0.5</v>
      </c>
      <c r="F112" s="76">
        <v>3</v>
      </c>
      <c r="G112" s="76">
        <f>$D112*$E112*$F112</f>
        <v>12</v>
      </c>
      <c r="H112" s="76">
        <f>$G112*$C112</f>
        <v>72</v>
      </c>
    </row>
    <row r="113" spans="1:8" x14ac:dyDescent="0.2">
      <c r="A113" s="30"/>
      <c r="B113" s="30" t="s">
        <v>74</v>
      </c>
      <c r="C113" s="75">
        <v>7</v>
      </c>
      <c r="D113" s="76">
        <v>8</v>
      </c>
      <c r="E113" s="76">
        <v>0.5</v>
      </c>
      <c r="F113" s="76">
        <v>3</v>
      </c>
      <c r="G113" s="76">
        <f>$D113*$E113*$F113</f>
        <v>12</v>
      </c>
      <c r="H113" s="76">
        <f>$G113*$C113</f>
        <v>84</v>
      </c>
    </row>
    <row r="114" spans="1:8" x14ac:dyDescent="0.2">
      <c r="A114" s="30"/>
      <c r="B114" s="30" t="s">
        <v>75</v>
      </c>
      <c r="C114" s="75">
        <v>2</v>
      </c>
      <c r="D114" s="76">
        <v>8</v>
      </c>
      <c r="E114" s="76">
        <v>0.5</v>
      </c>
      <c r="F114" s="76">
        <v>3</v>
      </c>
      <c r="G114" s="76">
        <f>$D114*$E114*$F114</f>
        <v>12</v>
      </c>
      <c r="H114" s="76">
        <f>$G114*$C114</f>
        <v>24</v>
      </c>
    </row>
    <row r="115" spans="1:8" x14ac:dyDescent="0.2">
      <c r="A115" s="48"/>
      <c r="B115" s="97" t="s">
        <v>109</v>
      </c>
      <c r="C115" s="75"/>
      <c r="D115" s="76"/>
      <c r="E115" s="76"/>
      <c r="F115" s="76"/>
      <c r="G115" s="76"/>
      <c r="H115" s="77">
        <f>SUM(H111:H114)</f>
        <v>396</v>
      </c>
    </row>
    <row r="117" spans="1:8" x14ac:dyDescent="0.2">
      <c r="A117" s="98"/>
      <c r="B117" s="254" t="s">
        <v>111</v>
      </c>
      <c r="C117" s="254"/>
      <c r="D117" s="254"/>
      <c r="E117" s="254"/>
      <c r="F117" s="254"/>
      <c r="G117" s="254"/>
      <c r="H117" s="254"/>
    </row>
    <row r="118" spans="1:8" x14ac:dyDescent="0.2">
      <c r="A118" s="48">
        <v>1</v>
      </c>
      <c r="B118" s="97" t="s">
        <v>112</v>
      </c>
      <c r="C118" s="75"/>
      <c r="D118" s="76"/>
      <c r="E118" s="76"/>
      <c r="F118" s="76"/>
      <c r="G118" s="76"/>
      <c r="H118" s="76"/>
    </row>
    <row r="119" spans="1:8" x14ac:dyDescent="0.2">
      <c r="B119" t="s">
        <v>113</v>
      </c>
      <c r="C119" s="75">
        <v>1</v>
      </c>
      <c r="D119" s="76">
        <f>(6.5+8+7.5+1.75+4.25+1.75+4.75+11.25+6.167+6.833+2+6.4176+1.25+0.5)</f>
        <v>68.917599999999993</v>
      </c>
      <c r="E119" s="76">
        <f>(7.25+1.75+0.333+3.167+1+1.5+4+0.5+1.333+8.167+1.75+4.75+0.5)</f>
        <v>36</v>
      </c>
      <c r="F119" s="76">
        <v>0.5</v>
      </c>
      <c r="G119" s="76">
        <f>$D119*$E119*$F119</f>
        <v>1240.5167999999999</v>
      </c>
      <c r="H119" s="76">
        <f>$G119*$C119</f>
        <v>1240.5167999999999</v>
      </c>
    </row>
    <row r="120" spans="1:8" x14ac:dyDescent="0.2">
      <c r="B120" t="s">
        <v>114</v>
      </c>
      <c r="C120">
        <v>1</v>
      </c>
      <c r="D120">
        <f>(2+6.4176+1.25)</f>
        <v>9.6676000000000002</v>
      </c>
      <c r="E120">
        <f>(7.25+1.75+0.333)</f>
        <v>9.3330000000000002</v>
      </c>
      <c r="F120" s="76">
        <v>0.5</v>
      </c>
      <c r="G120" s="76">
        <f t="shared" ref="G120:G123" si="10">$D120*$E120*$F120</f>
        <v>45.113855399999998</v>
      </c>
      <c r="H120" s="76">
        <f t="shared" ref="H120:H123" si="11">$G120*$C120</f>
        <v>45.113855399999998</v>
      </c>
    </row>
    <row r="121" spans="1:8" x14ac:dyDescent="0.2">
      <c r="B121" t="s">
        <v>115</v>
      </c>
      <c r="C121">
        <v>1</v>
      </c>
      <c r="D121">
        <f>(6.4176+1.25)</f>
        <v>7.6676000000000002</v>
      </c>
      <c r="E121">
        <f>3.167+1</f>
        <v>4.1669999999999998</v>
      </c>
      <c r="F121" s="76">
        <v>0.5</v>
      </c>
      <c r="G121" s="76">
        <f t="shared" si="10"/>
        <v>15.975444599999999</v>
      </c>
      <c r="H121" s="76">
        <f t="shared" si="11"/>
        <v>15.975444599999999</v>
      </c>
    </row>
    <row r="122" spans="1:8" x14ac:dyDescent="0.2">
      <c r="B122" t="s">
        <v>116</v>
      </c>
      <c r="C122">
        <v>1</v>
      </c>
      <c r="D122">
        <f>0.5+1.75+4.75</f>
        <v>7</v>
      </c>
      <c r="E122">
        <v>5.5</v>
      </c>
      <c r="F122" s="76">
        <v>0.5</v>
      </c>
      <c r="G122" s="76">
        <f t="shared" si="10"/>
        <v>19.25</v>
      </c>
      <c r="H122" s="76">
        <f t="shared" si="11"/>
        <v>19.25</v>
      </c>
    </row>
    <row r="123" spans="1:8" x14ac:dyDescent="0.2">
      <c r="B123" t="s">
        <v>117</v>
      </c>
      <c r="C123">
        <v>1</v>
      </c>
      <c r="D123">
        <f>6.167+6.833</f>
        <v>13</v>
      </c>
      <c r="E123">
        <f>(7.25+1.75+0.333)</f>
        <v>9.3330000000000002</v>
      </c>
      <c r="F123" s="76">
        <v>0.5</v>
      </c>
      <c r="G123" s="76">
        <f t="shared" si="10"/>
        <v>60.664500000000004</v>
      </c>
      <c r="H123" s="76">
        <f t="shared" si="11"/>
        <v>60.664500000000004</v>
      </c>
    </row>
    <row r="124" spans="1:8" x14ac:dyDescent="0.2">
      <c r="B124" t="s">
        <v>118</v>
      </c>
      <c r="H124" s="100">
        <f>H119-(SUM(H120:H123))</f>
        <v>1099.5129999999999</v>
      </c>
    </row>
    <row r="126" spans="1:8" x14ac:dyDescent="0.2">
      <c r="A126" s="48">
        <v>2</v>
      </c>
      <c r="B126" s="97" t="s">
        <v>119</v>
      </c>
      <c r="C126" s="75"/>
      <c r="D126" s="76"/>
      <c r="E126" s="76"/>
      <c r="F126" s="76"/>
      <c r="G126" s="76"/>
      <c r="H126" s="76"/>
    </row>
    <row r="127" spans="1:8" x14ac:dyDescent="0.2">
      <c r="B127" t="s">
        <v>113</v>
      </c>
      <c r="C127" s="75">
        <v>1</v>
      </c>
      <c r="D127" s="76">
        <f>(6.5+8+7.5+1.75+4.25+1.75+4.75+11.25+6.167+6.833+2+6.4176+1.25+0.5)</f>
        <v>68.917599999999993</v>
      </c>
      <c r="E127" s="76">
        <f>(7.25+1.75+0.333+3.167+1+1.5+4+0.5+1.333+8.167+1.75+4.75+0.5)</f>
        <v>36</v>
      </c>
      <c r="F127" s="76">
        <v>0.5</v>
      </c>
      <c r="G127" s="76">
        <f>$D127*$E127*$F127</f>
        <v>1240.5167999999999</v>
      </c>
      <c r="H127" s="76">
        <f>$G127*$C127</f>
        <v>1240.5167999999999</v>
      </c>
    </row>
    <row r="128" spans="1:8" x14ac:dyDescent="0.2">
      <c r="B128" t="s">
        <v>114</v>
      </c>
      <c r="C128">
        <v>1</v>
      </c>
      <c r="D128">
        <f>(2+6.4176+1.25)</f>
        <v>9.6676000000000002</v>
      </c>
      <c r="E128">
        <f>(7.25+1.75+0.333)</f>
        <v>9.3330000000000002</v>
      </c>
      <c r="F128" s="76">
        <v>0.5</v>
      </c>
      <c r="G128" s="76">
        <f t="shared" ref="G128:G131" si="12">$D128*$E128*$F128</f>
        <v>45.113855399999998</v>
      </c>
      <c r="H128" s="76">
        <f t="shared" ref="H128:H131" si="13">$G128*$C128</f>
        <v>45.113855399999998</v>
      </c>
    </row>
    <row r="129" spans="1:8" x14ac:dyDescent="0.2">
      <c r="B129" t="s">
        <v>115</v>
      </c>
      <c r="C129">
        <v>1</v>
      </c>
      <c r="D129">
        <f>(6.4176+1.25)</f>
        <v>7.6676000000000002</v>
      </c>
      <c r="E129">
        <f>3.167+1</f>
        <v>4.1669999999999998</v>
      </c>
      <c r="F129" s="76">
        <v>0.5</v>
      </c>
      <c r="G129" s="76">
        <f t="shared" si="12"/>
        <v>15.975444599999999</v>
      </c>
      <c r="H129" s="76">
        <f t="shared" si="13"/>
        <v>15.975444599999999</v>
      </c>
    </row>
    <row r="130" spans="1:8" x14ac:dyDescent="0.2">
      <c r="B130" t="s">
        <v>116</v>
      </c>
      <c r="C130">
        <v>1</v>
      </c>
      <c r="D130">
        <f>0.5+1.75+4.75</f>
        <v>7</v>
      </c>
      <c r="E130">
        <v>5.5</v>
      </c>
      <c r="F130" s="76">
        <v>0.5</v>
      </c>
      <c r="G130" s="76">
        <f t="shared" si="12"/>
        <v>19.25</v>
      </c>
      <c r="H130" s="76">
        <f t="shared" si="13"/>
        <v>19.25</v>
      </c>
    </row>
    <row r="131" spans="1:8" x14ac:dyDescent="0.2">
      <c r="B131" t="s">
        <v>117</v>
      </c>
      <c r="C131">
        <v>1</v>
      </c>
      <c r="D131">
        <f>6.167+6.833</f>
        <v>13</v>
      </c>
      <c r="E131">
        <f>(7.25+1.75+0.333)</f>
        <v>9.3330000000000002</v>
      </c>
      <c r="F131" s="76">
        <v>0.5</v>
      </c>
      <c r="G131" s="76">
        <f t="shared" si="12"/>
        <v>60.664500000000004</v>
      </c>
      <c r="H131" s="76">
        <f t="shared" si="13"/>
        <v>60.664500000000004</v>
      </c>
    </row>
    <row r="132" spans="1:8" x14ac:dyDescent="0.2">
      <c r="B132" s="256" t="s">
        <v>120</v>
      </c>
      <c r="C132" s="256"/>
      <c r="D132" s="256"/>
      <c r="H132" s="95">
        <f>H127+H128+H129+H130-H131</f>
        <v>1260.1915999999997</v>
      </c>
    </row>
    <row r="134" spans="1:8" x14ac:dyDescent="0.2">
      <c r="A134" s="98">
        <v>1.4</v>
      </c>
      <c r="B134" s="254" t="s">
        <v>121</v>
      </c>
      <c r="C134" s="254"/>
      <c r="D134" s="254"/>
      <c r="E134" s="254"/>
      <c r="F134" s="254"/>
      <c r="G134" s="254"/>
      <c r="H134" s="254"/>
    </row>
    <row r="135" spans="1:8" x14ac:dyDescent="0.2">
      <c r="B135" t="s">
        <v>122</v>
      </c>
      <c r="C135">
        <v>1</v>
      </c>
      <c r="D135">
        <v>7.3330000000000002</v>
      </c>
      <c r="E135">
        <v>7.3330000000000002</v>
      </c>
      <c r="F135">
        <v>0.66700000000000004</v>
      </c>
      <c r="G135">
        <f>D135*E135*F135</f>
        <v>35.866516963000002</v>
      </c>
      <c r="H135">
        <f>G135*C135</f>
        <v>35.866516963000002</v>
      </c>
    </row>
    <row r="136" spans="1:8" x14ac:dyDescent="0.2">
      <c r="B136" t="s">
        <v>123</v>
      </c>
      <c r="C136">
        <v>2</v>
      </c>
      <c r="D136">
        <v>7.3330000000000002</v>
      </c>
      <c r="E136">
        <v>0.66700000000000004</v>
      </c>
      <c r="F136">
        <v>5</v>
      </c>
      <c r="G136">
        <f>D136*E136*F136</f>
        <v>24.455555000000004</v>
      </c>
      <c r="H136">
        <f>G136*C136</f>
        <v>48.911110000000008</v>
      </c>
    </row>
    <row r="137" spans="1:8" x14ac:dyDescent="0.2">
      <c r="B137" t="s">
        <v>124</v>
      </c>
      <c r="C137">
        <v>2</v>
      </c>
      <c r="D137">
        <v>6</v>
      </c>
      <c r="E137">
        <v>0.66700000000000004</v>
      </c>
      <c r="F137">
        <v>5</v>
      </c>
      <c r="G137">
        <f>D137*E137*F137</f>
        <v>20.010000000000005</v>
      </c>
      <c r="H137">
        <f>G137*C137</f>
        <v>40.02000000000001</v>
      </c>
    </row>
    <row r="138" spans="1:8" x14ac:dyDescent="0.2">
      <c r="B138" t="s">
        <v>83</v>
      </c>
      <c r="C138">
        <v>1</v>
      </c>
      <c r="D138">
        <v>7.3330000000000002</v>
      </c>
      <c r="E138">
        <v>7.3330000000000002</v>
      </c>
      <c r="F138">
        <v>0.66700000000000004</v>
      </c>
      <c r="G138">
        <f>D138*E138*F138</f>
        <v>35.866516963000002</v>
      </c>
      <c r="H138">
        <f>G138*C138</f>
        <v>35.866516963000002</v>
      </c>
    </row>
    <row r="139" spans="1:8" x14ac:dyDescent="0.2">
      <c r="B139" t="s">
        <v>125</v>
      </c>
      <c r="C139">
        <v>2</v>
      </c>
      <c r="D139">
        <v>7.3330000000000002</v>
      </c>
      <c r="E139">
        <v>0.66700000000000004</v>
      </c>
      <c r="F139">
        <v>2.25</v>
      </c>
      <c r="G139">
        <f>D139*E139*F139</f>
        <v>11.004999750000001</v>
      </c>
      <c r="H139">
        <f>G139*C139</f>
        <v>22.009999500000003</v>
      </c>
    </row>
    <row r="141" spans="1:8" x14ac:dyDescent="0.2">
      <c r="B141" s="73" t="s">
        <v>126</v>
      </c>
      <c r="H141" s="101">
        <f>SUM(H135:H139)</f>
        <v>182.67414342600003</v>
      </c>
    </row>
    <row r="143" spans="1:8" x14ac:dyDescent="0.2">
      <c r="A143" s="98"/>
      <c r="B143" s="255" t="s">
        <v>421</v>
      </c>
      <c r="C143" s="254"/>
      <c r="D143" s="254"/>
      <c r="E143" s="254"/>
      <c r="F143" s="254"/>
      <c r="G143" s="254"/>
      <c r="H143" s="254"/>
    </row>
    <row r="144" spans="1:8" x14ac:dyDescent="0.2">
      <c r="B144" s="115" t="s">
        <v>422</v>
      </c>
      <c r="C144">
        <v>2</v>
      </c>
      <c r="D144">
        <v>9.33</v>
      </c>
      <c r="E144">
        <v>4</v>
      </c>
      <c r="F144">
        <v>0.5</v>
      </c>
      <c r="G144">
        <f>D144*E144*F144</f>
        <v>18.66</v>
      </c>
      <c r="H144">
        <f>G144*C144</f>
        <v>37.32</v>
      </c>
    </row>
    <row r="145" spans="2:8" ht="38.25" customHeight="1" x14ac:dyDescent="0.2">
      <c r="B145" s="124" t="s">
        <v>423</v>
      </c>
      <c r="C145">
        <v>4</v>
      </c>
      <c r="D145">
        <v>13.928000000000001</v>
      </c>
      <c r="E145">
        <f>D144/2</f>
        <v>4.665</v>
      </c>
      <c r="F145">
        <v>0.5</v>
      </c>
      <c r="G145">
        <f t="shared" ref="G145:G146" si="14">D145*E145*F145</f>
        <v>32.48706</v>
      </c>
      <c r="H145">
        <f t="shared" ref="H145:H146" si="15">G145*C145</f>
        <v>129.94824</v>
      </c>
    </row>
    <row r="146" spans="2:8" ht="41.25" x14ac:dyDescent="0.2">
      <c r="B146" s="124" t="s">
        <v>424</v>
      </c>
      <c r="C146">
        <v>40</v>
      </c>
      <c r="D146">
        <v>1.5</v>
      </c>
      <c r="E146">
        <v>1.5</v>
      </c>
      <c r="F146">
        <v>0.5</v>
      </c>
      <c r="G146">
        <f t="shared" si="14"/>
        <v>1.125</v>
      </c>
      <c r="H146">
        <f t="shared" si="15"/>
        <v>45</v>
      </c>
    </row>
    <row r="147" spans="2:8" x14ac:dyDescent="0.2">
      <c r="B147" s="123" t="s">
        <v>425</v>
      </c>
      <c r="H147" s="101"/>
    </row>
    <row r="148" spans="2:8" x14ac:dyDescent="0.2">
      <c r="B148" s="115"/>
    </row>
  </sheetData>
  <mergeCells count="8">
    <mergeCell ref="B134:H134"/>
    <mergeCell ref="B143:H143"/>
    <mergeCell ref="B132:D132"/>
    <mergeCell ref="A1:H1"/>
    <mergeCell ref="B4:H4"/>
    <mergeCell ref="B5:H5"/>
    <mergeCell ref="B98:H98"/>
    <mergeCell ref="B117:H11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6"/>
  <sheetViews>
    <sheetView topLeftCell="A132" zoomScale="79" zoomScaleNormal="79" workbookViewId="0">
      <selection activeCell="C150" sqref="C150"/>
    </sheetView>
  </sheetViews>
  <sheetFormatPr defaultColWidth="9.01171875" defaultRowHeight="15" x14ac:dyDescent="0.2"/>
  <cols>
    <col min="1" max="1" width="6.3203125" customWidth="1"/>
    <col min="2" max="2" width="41.56640625" bestFit="1" customWidth="1"/>
    <col min="3" max="3" width="9.68359375" customWidth="1"/>
    <col min="4" max="4" width="14.390625" customWidth="1"/>
    <col min="5" max="5" width="15.33203125" customWidth="1"/>
    <col min="6" max="6" width="28.3828125" customWidth="1"/>
    <col min="7" max="7" width="11.703125" customWidth="1"/>
    <col min="8" max="8" width="16.6796875" customWidth="1"/>
    <col min="9" max="9" width="21.38671875" customWidth="1"/>
    <col min="10" max="10" width="9.01171875" bestFit="1" customWidth="1"/>
    <col min="11" max="11" width="14.66015625" customWidth="1"/>
    <col min="12" max="12" width="16.54296875" customWidth="1"/>
  </cols>
  <sheetData>
    <row r="1" spans="1:12" ht="23.25" x14ac:dyDescent="0.3">
      <c r="A1" s="257" t="s">
        <v>127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</row>
    <row r="2" spans="1:12" ht="18.75" x14ac:dyDescent="0.25">
      <c r="A2" s="70" t="s">
        <v>1</v>
      </c>
      <c r="B2" s="70" t="s">
        <v>2</v>
      </c>
      <c r="C2" s="70" t="s">
        <v>3</v>
      </c>
      <c r="D2" s="70" t="s">
        <v>128</v>
      </c>
      <c r="E2" s="70" t="s">
        <v>129</v>
      </c>
      <c r="F2" s="82" t="s">
        <v>130</v>
      </c>
      <c r="G2" s="70" t="s">
        <v>131</v>
      </c>
      <c r="H2" s="70" t="s">
        <v>132</v>
      </c>
      <c r="I2" s="70" t="s">
        <v>133</v>
      </c>
      <c r="J2" s="70" t="s">
        <v>134</v>
      </c>
      <c r="K2" s="70" t="s">
        <v>135</v>
      </c>
      <c r="L2" s="70" t="s">
        <v>136</v>
      </c>
    </row>
    <row r="3" spans="1:12" ht="18.75" x14ac:dyDescent="0.25">
      <c r="A3" s="71">
        <v>1</v>
      </c>
      <c r="B3" s="71" t="s">
        <v>137</v>
      </c>
      <c r="C3" s="71"/>
      <c r="D3" s="71"/>
      <c r="E3" s="71"/>
      <c r="F3" s="71"/>
      <c r="G3" s="85"/>
      <c r="H3" s="85"/>
      <c r="I3" s="85"/>
      <c r="J3" s="85"/>
      <c r="K3" s="90"/>
      <c r="L3" s="90"/>
    </row>
    <row r="4" spans="1:12" ht="18.75" x14ac:dyDescent="0.25">
      <c r="A4" s="71">
        <v>1.1000000000000001</v>
      </c>
      <c r="B4" s="86" t="s">
        <v>138</v>
      </c>
      <c r="C4" s="71"/>
      <c r="D4" s="71"/>
      <c r="E4" s="71"/>
      <c r="F4" s="71"/>
      <c r="G4" s="85"/>
      <c r="H4" s="85"/>
      <c r="I4" s="85"/>
      <c r="J4" s="85"/>
      <c r="K4" s="90"/>
      <c r="L4" s="90"/>
    </row>
    <row r="5" spans="1:12" ht="43.9" customHeight="1" x14ac:dyDescent="0.2">
      <c r="B5" s="88" t="s">
        <v>139</v>
      </c>
      <c r="C5" s="89">
        <f>(($G6*12/6)+1)*11</f>
        <v>93.5</v>
      </c>
      <c r="D5" s="87">
        <v>4</v>
      </c>
      <c r="E5" s="87">
        <f>$D5/8</f>
        <v>0.5</v>
      </c>
      <c r="G5" s="87">
        <f>3.5-0.25</f>
        <v>3.25</v>
      </c>
      <c r="H5" s="87">
        <f>(12*$E5*2)/12</f>
        <v>1</v>
      </c>
      <c r="I5" s="87">
        <f>$G5+$H5</f>
        <v>4.25</v>
      </c>
      <c r="J5" s="91">
        <f>($D5^2)/24</f>
        <v>0.66666666666666663</v>
      </c>
      <c r="K5" s="91">
        <f>$I5*$C5*$J5</f>
        <v>264.91666666666663</v>
      </c>
      <c r="L5" s="91">
        <f>$K5/2204</f>
        <v>0.12019812462189956</v>
      </c>
    </row>
    <row r="6" spans="1:12" ht="43.9" customHeight="1" x14ac:dyDescent="0.2">
      <c r="B6" s="88" t="s">
        <v>140</v>
      </c>
      <c r="C6" s="89">
        <f>(($G5*12/6)+1)*11</f>
        <v>82.5</v>
      </c>
      <c r="D6" s="87">
        <v>4</v>
      </c>
      <c r="E6" s="87">
        <f>$D6/8</f>
        <v>0.5</v>
      </c>
      <c r="G6" s="87">
        <v>3.75</v>
      </c>
      <c r="H6" s="87">
        <f t="shared" ref="H6:H27" si="0">(12*$E6*2)/12</f>
        <v>1</v>
      </c>
      <c r="I6" s="87">
        <f t="shared" ref="I6:I73" si="1">$G6+$H6</f>
        <v>4.75</v>
      </c>
      <c r="J6" s="91">
        <f t="shared" ref="J6:J73" si="2">($D6^2)/24</f>
        <v>0.66666666666666663</v>
      </c>
      <c r="K6" s="91">
        <f t="shared" ref="K6:K73" si="3">$I6*$C6*$J6</f>
        <v>261.25</v>
      </c>
      <c r="L6" s="91">
        <f t="shared" ref="L6:L73" si="4">$K6/2204</f>
        <v>0.11853448275862069</v>
      </c>
    </row>
    <row r="7" spans="1:12" ht="18.75" x14ac:dyDescent="0.25">
      <c r="A7" s="71">
        <v>1.2</v>
      </c>
      <c r="B7" s="86" t="s">
        <v>141</v>
      </c>
      <c r="C7" s="85"/>
      <c r="D7" s="83"/>
      <c r="E7" s="83"/>
      <c r="F7" s="71"/>
      <c r="G7" s="85"/>
      <c r="H7" s="87"/>
      <c r="I7" s="87"/>
      <c r="J7" s="91"/>
      <c r="K7" s="91"/>
      <c r="L7" s="91"/>
    </row>
    <row r="8" spans="1:12" ht="43.9" customHeight="1" x14ac:dyDescent="0.2">
      <c r="B8" s="88" t="s">
        <v>139</v>
      </c>
      <c r="C8" s="89">
        <f>(($G9*12/6)+1)*13</f>
        <v>136.5</v>
      </c>
      <c r="D8" s="87">
        <v>4</v>
      </c>
      <c r="E8" s="87">
        <f>$D8/8</f>
        <v>0.5</v>
      </c>
      <c r="G8" s="87">
        <f>4.5-0.25</f>
        <v>4.25</v>
      </c>
      <c r="H8" s="87">
        <f t="shared" si="0"/>
        <v>1</v>
      </c>
      <c r="I8" s="87">
        <f t="shared" si="1"/>
        <v>5.25</v>
      </c>
      <c r="J8" s="91">
        <f t="shared" si="2"/>
        <v>0.66666666666666663</v>
      </c>
      <c r="K8" s="91">
        <f t="shared" si="3"/>
        <v>477.75</v>
      </c>
      <c r="L8" s="91">
        <f t="shared" si="4"/>
        <v>0.21676497277676951</v>
      </c>
    </row>
    <row r="9" spans="1:12" ht="43.9" customHeight="1" x14ac:dyDescent="0.2">
      <c r="B9" s="88" t="s">
        <v>140</v>
      </c>
      <c r="C9" s="89">
        <f>(($G8*12/6)+1)*13</f>
        <v>123.5</v>
      </c>
      <c r="D9" s="87">
        <v>4</v>
      </c>
      <c r="E9" s="87">
        <f>$D9/8</f>
        <v>0.5</v>
      </c>
      <c r="G9" s="87">
        <f>4.75</f>
        <v>4.75</v>
      </c>
      <c r="H9" s="87">
        <f t="shared" si="0"/>
        <v>1</v>
      </c>
      <c r="I9" s="87">
        <f t="shared" si="1"/>
        <v>5.75</v>
      </c>
      <c r="J9" s="91">
        <f t="shared" si="2"/>
        <v>0.66666666666666663</v>
      </c>
      <c r="K9" s="91">
        <f t="shared" si="3"/>
        <v>473.41666666666663</v>
      </c>
      <c r="L9" s="91">
        <f t="shared" si="4"/>
        <v>0.21479885057471262</v>
      </c>
    </row>
    <row r="10" spans="1:12" ht="18.75" x14ac:dyDescent="0.25">
      <c r="A10" s="71">
        <v>1.3</v>
      </c>
      <c r="B10" s="86" t="s">
        <v>142</v>
      </c>
      <c r="C10" s="85"/>
      <c r="D10" s="83"/>
      <c r="E10" s="83"/>
      <c r="F10" s="71"/>
      <c r="G10" s="85"/>
      <c r="H10" s="87"/>
      <c r="I10" s="87"/>
      <c r="J10" s="91"/>
      <c r="K10" s="91"/>
      <c r="L10" s="91"/>
    </row>
    <row r="11" spans="1:12" ht="43.9" customHeight="1" x14ac:dyDescent="0.2">
      <c r="B11" s="88" t="s">
        <v>139</v>
      </c>
      <c r="C11" s="89">
        <f>(($G12*12/6)+1)*1</f>
        <v>10.5</v>
      </c>
      <c r="D11" s="87">
        <v>4</v>
      </c>
      <c r="E11" s="87">
        <f>$D11/8</f>
        <v>0.5</v>
      </c>
      <c r="G11" s="87">
        <v>3.75</v>
      </c>
      <c r="H11" s="87">
        <f t="shared" si="0"/>
        <v>1</v>
      </c>
      <c r="I11" s="87">
        <f t="shared" si="1"/>
        <v>4.75</v>
      </c>
      <c r="J11" s="91">
        <f t="shared" si="2"/>
        <v>0.66666666666666663</v>
      </c>
      <c r="K11" s="91">
        <f t="shared" si="3"/>
        <v>33.25</v>
      </c>
      <c r="L11" s="91">
        <f t="shared" si="4"/>
        <v>1.5086206896551725E-2</v>
      </c>
    </row>
    <row r="12" spans="1:12" ht="43.9" customHeight="1" x14ac:dyDescent="0.2">
      <c r="B12" s="88" t="s">
        <v>140</v>
      </c>
      <c r="C12" s="89">
        <f>(($G11*12/6)+1)*1</f>
        <v>8.5</v>
      </c>
      <c r="D12" s="87">
        <v>4</v>
      </c>
      <c r="E12" s="87">
        <f>$D12/8</f>
        <v>0.5</v>
      </c>
      <c r="G12" s="87">
        <v>4.75</v>
      </c>
      <c r="H12" s="87">
        <f t="shared" si="0"/>
        <v>1</v>
      </c>
      <c r="I12" s="87">
        <f t="shared" si="1"/>
        <v>5.75</v>
      </c>
      <c r="J12" s="91">
        <f t="shared" si="2"/>
        <v>0.66666666666666663</v>
      </c>
      <c r="K12" s="91">
        <f t="shared" si="3"/>
        <v>32.583333333333329</v>
      </c>
      <c r="L12" s="91">
        <f t="shared" si="4"/>
        <v>1.4783726557773743E-2</v>
      </c>
    </row>
    <row r="13" spans="1:12" ht="18.75" x14ac:dyDescent="0.25">
      <c r="A13" s="71">
        <v>1.4</v>
      </c>
      <c r="B13" s="86" t="s">
        <v>143</v>
      </c>
      <c r="C13" s="85"/>
      <c r="D13" s="83"/>
      <c r="E13" s="83"/>
      <c r="F13" s="71"/>
      <c r="G13" s="85"/>
      <c r="H13" s="87"/>
      <c r="I13" s="87"/>
      <c r="J13" s="91"/>
      <c r="K13" s="91"/>
      <c r="L13" s="91"/>
    </row>
    <row r="14" spans="1:12" ht="43.9" customHeight="1" x14ac:dyDescent="0.2">
      <c r="B14" s="88" t="s">
        <v>139</v>
      </c>
      <c r="C14" s="89">
        <f>(($G15*12/6)+1)*22</f>
        <v>143</v>
      </c>
      <c r="D14" s="87">
        <v>4</v>
      </c>
      <c r="E14" s="87">
        <f>$D14/8</f>
        <v>0.5</v>
      </c>
      <c r="G14" s="87">
        <v>2.25</v>
      </c>
      <c r="H14" s="87">
        <f t="shared" si="0"/>
        <v>1</v>
      </c>
      <c r="I14" s="87">
        <f t="shared" si="1"/>
        <v>3.25</v>
      </c>
      <c r="J14" s="91">
        <f t="shared" si="2"/>
        <v>0.66666666666666663</v>
      </c>
      <c r="K14" s="91">
        <f t="shared" si="3"/>
        <v>309.83333333333331</v>
      </c>
      <c r="L14" s="91">
        <f t="shared" si="4"/>
        <v>0.14057773744706592</v>
      </c>
    </row>
    <row r="15" spans="1:12" ht="43.9" customHeight="1" x14ac:dyDescent="0.2">
      <c r="B15" s="88" t="s">
        <v>144</v>
      </c>
      <c r="C15" s="89">
        <f>(($G14*12/8)+1)*22</f>
        <v>96.25</v>
      </c>
      <c r="D15" s="87">
        <v>4</v>
      </c>
      <c r="E15" s="87">
        <f>$D15/8</f>
        <v>0.5</v>
      </c>
      <c r="G15" s="87">
        <v>2.75</v>
      </c>
      <c r="H15" s="87">
        <f t="shared" si="0"/>
        <v>1</v>
      </c>
      <c r="I15" s="87">
        <f t="shared" si="1"/>
        <v>3.75</v>
      </c>
      <c r="J15" s="91">
        <f t="shared" si="2"/>
        <v>0.66666666666666663</v>
      </c>
      <c r="K15" s="91">
        <f t="shared" si="3"/>
        <v>240.625</v>
      </c>
      <c r="L15" s="91">
        <f t="shared" si="4"/>
        <v>0.10917649727767695</v>
      </c>
    </row>
    <row r="16" spans="1:12" ht="18.75" x14ac:dyDescent="0.25">
      <c r="A16" s="71">
        <v>1.5</v>
      </c>
      <c r="B16" s="86" t="s">
        <v>145</v>
      </c>
      <c r="C16" s="85"/>
      <c r="D16" s="83"/>
      <c r="E16" s="83"/>
      <c r="F16" s="71"/>
      <c r="G16" s="85"/>
      <c r="H16" s="87"/>
      <c r="I16" s="87"/>
      <c r="J16" s="91"/>
      <c r="K16" s="91"/>
      <c r="L16" s="91"/>
    </row>
    <row r="17" spans="1:12" ht="43.9" customHeight="1" x14ac:dyDescent="0.2">
      <c r="B17" s="88" t="s">
        <v>139</v>
      </c>
      <c r="C17" s="89">
        <f>(($G18*12/6)+1)*3</f>
        <v>16.5</v>
      </c>
      <c r="D17" s="87">
        <v>4</v>
      </c>
      <c r="E17" s="87">
        <f>$D17/8</f>
        <v>0.5</v>
      </c>
      <c r="G17" s="87">
        <v>2.25</v>
      </c>
      <c r="H17" s="87">
        <f t="shared" si="0"/>
        <v>1</v>
      </c>
      <c r="I17" s="87">
        <f t="shared" si="1"/>
        <v>3.25</v>
      </c>
      <c r="J17" s="91">
        <f t="shared" si="2"/>
        <v>0.66666666666666663</v>
      </c>
      <c r="K17" s="91">
        <f t="shared" si="3"/>
        <v>35.75</v>
      </c>
      <c r="L17" s="91">
        <f t="shared" si="4"/>
        <v>1.6220508166969148E-2</v>
      </c>
    </row>
    <row r="18" spans="1:12" ht="43.9" customHeight="1" x14ac:dyDescent="0.2">
      <c r="B18" s="88" t="s">
        <v>140</v>
      </c>
      <c r="C18" s="89">
        <f>(($G17*12/6)+1)*3</f>
        <v>16.5</v>
      </c>
      <c r="D18" s="87">
        <v>4</v>
      </c>
      <c r="E18" s="87">
        <f>$D18/8</f>
        <v>0.5</v>
      </c>
      <c r="G18" s="87">
        <v>2.25</v>
      </c>
      <c r="H18" s="87">
        <f t="shared" si="0"/>
        <v>1</v>
      </c>
      <c r="I18" s="87">
        <f t="shared" si="1"/>
        <v>3.25</v>
      </c>
      <c r="J18" s="91">
        <f t="shared" si="2"/>
        <v>0.66666666666666663</v>
      </c>
      <c r="K18" s="91">
        <f t="shared" si="3"/>
        <v>35.75</v>
      </c>
      <c r="L18" s="91">
        <f t="shared" si="4"/>
        <v>1.6220508166969148E-2</v>
      </c>
    </row>
    <row r="19" spans="1:12" ht="18.75" x14ac:dyDescent="0.25">
      <c r="A19" s="71">
        <v>1.6</v>
      </c>
      <c r="B19" s="86" t="s">
        <v>146</v>
      </c>
      <c r="C19" s="85"/>
      <c r="D19" s="83"/>
      <c r="E19" s="83"/>
      <c r="F19" s="71"/>
      <c r="G19" s="85"/>
      <c r="H19" s="87"/>
      <c r="I19" s="87"/>
      <c r="J19" s="91"/>
      <c r="K19" s="91"/>
      <c r="L19" s="91"/>
    </row>
    <row r="20" spans="1:12" ht="43.9" customHeight="1" x14ac:dyDescent="0.2">
      <c r="B20" s="88" t="s">
        <v>139</v>
      </c>
      <c r="C20" s="89">
        <f>(($G21*12/6)+1)*5</f>
        <v>47.5</v>
      </c>
      <c r="D20" s="87">
        <v>4</v>
      </c>
      <c r="E20" s="87">
        <f>$D20/8</f>
        <v>0.5</v>
      </c>
      <c r="G20" s="87">
        <v>3.75</v>
      </c>
      <c r="H20" s="87">
        <f t="shared" si="0"/>
        <v>1</v>
      </c>
      <c r="I20" s="87">
        <f t="shared" si="1"/>
        <v>4.75</v>
      </c>
      <c r="J20" s="91">
        <f t="shared" si="2"/>
        <v>0.66666666666666663</v>
      </c>
      <c r="K20" s="91">
        <f t="shared" si="3"/>
        <v>150.41666666666666</v>
      </c>
      <c r="L20" s="91">
        <f t="shared" si="4"/>
        <v>6.8247126436781602E-2</v>
      </c>
    </row>
    <row r="21" spans="1:12" ht="43.9" customHeight="1" x14ac:dyDescent="0.2">
      <c r="B21" s="88" t="s">
        <v>140</v>
      </c>
      <c r="C21" s="89">
        <f>(($G20*12/6)+1)*5</f>
        <v>42.5</v>
      </c>
      <c r="D21" s="87">
        <v>4</v>
      </c>
      <c r="E21" s="87">
        <f>$D21/8</f>
        <v>0.5</v>
      </c>
      <c r="G21" s="87">
        <v>4.25</v>
      </c>
      <c r="H21" s="87">
        <f t="shared" si="0"/>
        <v>1</v>
      </c>
      <c r="I21" s="87">
        <f t="shared" si="1"/>
        <v>5.25</v>
      </c>
      <c r="J21" s="91">
        <f t="shared" si="2"/>
        <v>0.66666666666666663</v>
      </c>
      <c r="K21" s="91">
        <f t="shared" si="3"/>
        <v>148.75</v>
      </c>
      <c r="L21" s="91">
        <f t="shared" si="4"/>
        <v>6.7490925589836659E-2</v>
      </c>
    </row>
    <row r="22" spans="1:12" ht="18.75" x14ac:dyDescent="0.25">
      <c r="A22" s="71">
        <v>1.7</v>
      </c>
      <c r="B22" s="86" t="s">
        <v>147</v>
      </c>
      <c r="C22" s="85"/>
      <c r="D22" s="83"/>
      <c r="E22" s="83"/>
      <c r="F22" s="71"/>
      <c r="G22" s="85"/>
      <c r="H22" s="87"/>
      <c r="I22" s="87"/>
      <c r="J22" s="91"/>
      <c r="K22" s="91"/>
      <c r="L22" s="91"/>
    </row>
    <row r="23" spans="1:12" ht="43.9" customHeight="1" x14ac:dyDescent="0.2">
      <c r="B23" s="88" t="s">
        <v>139</v>
      </c>
      <c r="C23" s="89">
        <f>(($G24*12/6)+1)*0</f>
        <v>0</v>
      </c>
      <c r="D23" s="87">
        <v>4</v>
      </c>
      <c r="E23" s="87">
        <f>$D23/8</f>
        <v>0.5</v>
      </c>
      <c r="G23" s="87">
        <v>2.25</v>
      </c>
      <c r="H23" s="87">
        <f t="shared" si="0"/>
        <v>1</v>
      </c>
      <c r="I23" s="87">
        <f t="shared" si="1"/>
        <v>3.25</v>
      </c>
      <c r="J23" s="91">
        <f t="shared" si="2"/>
        <v>0.66666666666666663</v>
      </c>
      <c r="K23" s="91">
        <f t="shared" si="3"/>
        <v>0</v>
      </c>
      <c r="L23" s="91">
        <f t="shared" si="4"/>
        <v>0</v>
      </c>
    </row>
    <row r="24" spans="1:12" ht="43.9" customHeight="1" x14ac:dyDescent="0.2">
      <c r="B24" s="88" t="s">
        <v>140</v>
      </c>
      <c r="C24" s="89">
        <f>(($G23*12/6)+1)*0</f>
        <v>0</v>
      </c>
      <c r="D24" s="87">
        <v>4</v>
      </c>
      <c r="E24" s="87">
        <f>$D24/8</f>
        <v>0.5</v>
      </c>
      <c r="G24" s="87">
        <v>2.25</v>
      </c>
      <c r="H24" s="87">
        <f t="shared" si="0"/>
        <v>1</v>
      </c>
      <c r="I24" s="87">
        <f t="shared" si="1"/>
        <v>3.25</v>
      </c>
      <c r="J24" s="91">
        <f t="shared" si="2"/>
        <v>0.66666666666666663</v>
      </c>
      <c r="K24" s="91">
        <f t="shared" si="3"/>
        <v>0</v>
      </c>
      <c r="L24" s="91">
        <f t="shared" si="4"/>
        <v>0</v>
      </c>
    </row>
    <row r="25" spans="1:12" ht="18.75" x14ac:dyDescent="0.25">
      <c r="A25" s="71">
        <v>1.8</v>
      </c>
      <c r="B25" s="86" t="s">
        <v>148</v>
      </c>
      <c r="C25" s="85"/>
      <c r="D25" s="83"/>
      <c r="E25" s="83"/>
      <c r="F25" s="71"/>
      <c r="G25" s="85"/>
      <c r="H25" s="87"/>
      <c r="I25" s="87"/>
      <c r="J25" s="91"/>
      <c r="K25" s="91"/>
      <c r="L25" s="91"/>
    </row>
    <row r="26" spans="1:12" ht="43.9" customHeight="1" x14ac:dyDescent="0.2">
      <c r="B26" s="88" t="s">
        <v>149</v>
      </c>
      <c r="C26" s="89">
        <f>(($G27*12/8)+1)*1</f>
        <v>8.875</v>
      </c>
      <c r="D26" s="87">
        <v>4</v>
      </c>
      <c r="E26" s="87">
        <f>$D26/8</f>
        <v>0.5</v>
      </c>
      <c r="G26" s="87">
        <v>2.25</v>
      </c>
      <c r="H26" s="87">
        <f t="shared" si="0"/>
        <v>1</v>
      </c>
      <c r="I26" s="87">
        <f t="shared" si="1"/>
        <v>3.25</v>
      </c>
      <c r="J26" s="91">
        <f t="shared" si="2"/>
        <v>0.66666666666666663</v>
      </c>
      <c r="K26" s="91">
        <f t="shared" si="3"/>
        <v>19.229166666666664</v>
      </c>
      <c r="L26" s="91">
        <f t="shared" si="4"/>
        <v>8.7246672716273423E-3</v>
      </c>
    </row>
    <row r="27" spans="1:12" ht="43.9" customHeight="1" x14ac:dyDescent="0.2">
      <c r="B27" s="88" t="s">
        <v>144</v>
      </c>
      <c r="C27" s="89">
        <f>(($G26*12/8)+1)*1</f>
        <v>4.375</v>
      </c>
      <c r="D27" s="87">
        <v>4</v>
      </c>
      <c r="E27" s="87">
        <f>$D27/8</f>
        <v>0.5</v>
      </c>
      <c r="G27" s="87">
        <v>5.25</v>
      </c>
      <c r="H27" s="87">
        <f t="shared" si="0"/>
        <v>1</v>
      </c>
      <c r="I27" s="87">
        <f t="shared" si="1"/>
        <v>6.25</v>
      </c>
      <c r="J27" s="91">
        <f t="shared" si="2"/>
        <v>0.66666666666666663</v>
      </c>
      <c r="K27" s="91">
        <f t="shared" si="3"/>
        <v>18.229166666666664</v>
      </c>
      <c r="L27" s="91">
        <f t="shared" si="4"/>
        <v>8.2709467634603743E-3</v>
      </c>
    </row>
    <row r="28" spans="1:12" ht="18.75" x14ac:dyDescent="0.25">
      <c r="A28" s="71"/>
      <c r="B28" s="86" t="s">
        <v>150</v>
      </c>
      <c r="C28" s="85"/>
      <c r="D28" s="83"/>
      <c r="E28" s="83"/>
      <c r="F28" s="71"/>
      <c r="G28" s="85"/>
      <c r="H28" s="87"/>
      <c r="I28" s="87"/>
      <c r="J28" s="91"/>
      <c r="K28" s="92">
        <f>SUM(K5:K27)</f>
        <v>2501.7499999999995</v>
      </c>
      <c r="L28" s="92">
        <f>SUM(L5:L27)</f>
        <v>1.1350952813067148</v>
      </c>
    </row>
    <row r="29" spans="1:12" ht="18.75" x14ac:dyDescent="0.25">
      <c r="A29" s="71"/>
      <c r="B29" s="86"/>
      <c r="C29" s="85"/>
      <c r="D29" s="83"/>
      <c r="E29" s="83"/>
      <c r="F29" s="71"/>
      <c r="G29" s="85"/>
      <c r="H29" s="87"/>
      <c r="I29" s="87"/>
      <c r="J29" s="91"/>
      <c r="K29" s="92"/>
      <c r="L29" s="92"/>
    </row>
    <row r="30" spans="1:12" ht="18.75" x14ac:dyDescent="0.25">
      <c r="A30" s="71"/>
      <c r="B30" s="86"/>
      <c r="C30" s="85"/>
      <c r="D30" s="83"/>
      <c r="E30" s="83"/>
      <c r="F30" s="71"/>
      <c r="G30" s="85"/>
      <c r="H30" s="87"/>
      <c r="I30" s="87"/>
      <c r="J30" s="91"/>
      <c r="K30" s="91"/>
      <c r="L30" s="91"/>
    </row>
    <row r="31" spans="1:12" ht="35.25" x14ac:dyDescent="0.25">
      <c r="A31" s="71">
        <v>2</v>
      </c>
      <c r="B31" s="84" t="s">
        <v>151</v>
      </c>
      <c r="C31" s="85"/>
      <c r="D31" s="83"/>
      <c r="E31" s="83"/>
      <c r="F31" s="71"/>
      <c r="G31" s="85"/>
      <c r="H31" s="85"/>
      <c r="I31" s="87"/>
      <c r="J31" s="85"/>
      <c r="K31" s="90"/>
      <c r="L31" s="90"/>
    </row>
    <row r="32" spans="1:12" ht="18.75" x14ac:dyDescent="0.25">
      <c r="A32" s="71">
        <v>2.1</v>
      </c>
      <c r="B32" s="86" t="s">
        <v>152</v>
      </c>
      <c r="C32" s="85"/>
      <c r="D32" s="83"/>
      <c r="E32" s="87"/>
      <c r="F32" s="71"/>
      <c r="G32" s="85"/>
      <c r="H32" s="87"/>
      <c r="I32" s="91"/>
      <c r="J32" s="91"/>
      <c r="K32" s="91"/>
      <c r="L32" s="91"/>
    </row>
    <row r="33" spans="1:12" ht="120" customHeight="1" x14ac:dyDescent="0.2">
      <c r="B33" s="93" t="s">
        <v>153</v>
      </c>
      <c r="C33" s="87">
        <f>6*18</f>
        <v>108</v>
      </c>
      <c r="D33" s="87">
        <v>4</v>
      </c>
      <c r="E33" s="87">
        <f t="shared" ref="E33:E34" si="5">$D33/8</f>
        <v>0.5</v>
      </c>
      <c r="G33" s="87">
        <v>7</v>
      </c>
      <c r="H33" s="87">
        <f>(12*$E33)/12</f>
        <v>0.5</v>
      </c>
      <c r="I33" s="91">
        <f t="shared" si="1"/>
        <v>7.5</v>
      </c>
      <c r="J33" s="91">
        <f t="shared" si="2"/>
        <v>0.66666666666666663</v>
      </c>
      <c r="K33" s="91">
        <f t="shared" si="3"/>
        <v>540</v>
      </c>
      <c r="L33" s="91">
        <f t="shared" si="4"/>
        <v>0.24500907441016334</v>
      </c>
    </row>
    <row r="34" spans="1:12" ht="88.5" x14ac:dyDescent="0.2">
      <c r="B34" s="93" t="s">
        <v>154</v>
      </c>
      <c r="C34" s="87">
        <f>9*18</f>
        <v>162</v>
      </c>
      <c r="D34" s="87">
        <v>3</v>
      </c>
      <c r="E34" s="87">
        <f t="shared" si="5"/>
        <v>0.375</v>
      </c>
      <c r="G34" s="87">
        <f>36/12</f>
        <v>3</v>
      </c>
      <c r="H34" s="87">
        <v>0.5</v>
      </c>
      <c r="I34" s="91">
        <f t="shared" si="1"/>
        <v>3.5</v>
      </c>
      <c r="J34" s="91">
        <f t="shared" si="2"/>
        <v>0.375</v>
      </c>
      <c r="K34" s="91">
        <f t="shared" si="3"/>
        <v>212.625</v>
      </c>
      <c r="L34" s="91">
        <f t="shared" si="4"/>
        <v>9.6472323049001815E-2</v>
      </c>
    </row>
    <row r="35" spans="1:12" ht="18.75" x14ac:dyDescent="0.25">
      <c r="A35" s="71">
        <v>2.2000000000000002</v>
      </c>
      <c r="B35" s="86" t="s">
        <v>155</v>
      </c>
      <c r="C35" s="85"/>
      <c r="D35" s="83"/>
      <c r="E35" s="87"/>
      <c r="F35" s="71"/>
      <c r="G35" s="85"/>
      <c r="H35" s="87"/>
      <c r="I35" s="91"/>
      <c r="J35" s="91"/>
      <c r="K35" s="91"/>
      <c r="L35" s="91"/>
    </row>
    <row r="36" spans="1:12" ht="120" customHeight="1" x14ac:dyDescent="0.2">
      <c r="B36" s="93" t="s">
        <v>153</v>
      </c>
      <c r="C36" s="87">
        <f>6*6</f>
        <v>36</v>
      </c>
      <c r="D36" s="87">
        <v>4</v>
      </c>
      <c r="E36" s="87">
        <f t="shared" ref="E36:E37" si="6">$D36/8</f>
        <v>0.5</v>
      </c>
      <c r="G36" s="87">
        <v>7</v>
      </c>
      <c r="H36" s="87">
        <f t="shared" ref="H36:H98" si="7">(12*$E36)/12</f>
        <v>0.5</v>
      </c>
      <c r="I36" s="91">
        <f t="shared" si="1"/>
        <v>7.5</v>
      </c>
      <c r="J36" s="91">
        <f t="shared" si="2"/>
        <v>0.66666666666666663</v>
      </c>
      <c r="K36" s="91">
        <f t="shared" si="3"/>
        <v>180</v>
      </c>
      <c r="L36" s="91">
        <f t="shared" si="4"/>
        <v>8.1669691470054442E-2</v>
      </c>
    </row>
    <row r="37" spans="1:12" ht="88.5" x14ac:dyDescent="0.2">
      <c r="B37" s="93" t="s">
        <v>154</v>
      </c>
      <c r="C37" s="87">
        <f>9*6</f>
        <v>54</v>
      </c>
      <c r="D37" s="87">
        <v>3</v>
      </c>
      <c r="E37" s="87">
        <f t="shared" si="6"/>
        <v>0.375</v>
      </c>
      <c r="G37" s="87">
        <f>42/12</f>
        <v>3.5</v>
      </c>
      <c r="H37" s="87">
        <v>0.5</v>
      </c>
      <c r="I37" s="91">
        <f t="shared" si="1"/>
        <v>4</v>
      </c>
      <c r="J37" s="91">
        <f t="shared" si="2"/>
        <v>0.375</v>
      </c>
      <c r="K37" s="91">
        <f t="shared" si="3"/>
        <v>81</v>
      </c>
      <c r="L37" s="91">
        <f t="shared" si="4"/>
        <v>3.6751361161524498E-2</v>
      </c>
    </row>
    <row r="38" spans="1:12" ht="18.75" x14ac:dyDescent="0.25">
      <c r="A38" s="71">
        <v>2.2999999999999998</v>
      </c>
      <c r="B38" s="86" t="s">
        <v>156</v>
      </c>
      <c r="C38" s="85"/>
      <c r="D38" s="83"/>
      <c r="E38" s="87"/>
      <c r="F38" s="71"/>
      <c r="G38" s="85"/>
      <c r="H38" s="87"/>
      <c r="I38" s="91"/>
      <c r="J38" s="91"/>
      <c r="K38" s="91"/>
      <c r="L38" s="91"/>
    </row>
    <row r="39" spans="1:12" ht="120" customHeight="1" x14ac:dyDescent="0.2">
      <c r="B39" s="93" t="s">
        <v>153</v>
      </c>
      <c r="C39" s="87">
        <f>4*7</f>
        <v>28</v>
      </c>
      <c r="D39" s="87">
        <v>4</v>
      </c>
      <c r="E39" s="87">
        <f t="shared" ref="E39:E40" si="8">$D39/8</f>
        <v>0.5</v>
      </c>
      <c r="G39" s="87">
        <v>7</v>
      </c>
      <c r="H39" s="87">
        <f t="shared" si="7"/>
        <v>0.5</v>
      </c>
      <c r="I39" s="91">
        <f t="shared" si="1"/>
        <v>7.5</v>
      </c>
      <c r="J39" s="91">
        <f t="shared" si="2"/>
        <v>0.66666666666666663</v>
      </c>
      <c r="K39" s="91">
        <f t="shared" si="3"/>
        <v>140</v>
      </c>
      <c r="L39" s="91">
        <f t="shared" si="4"/>
        <v>6.3520871143375679E-2</v>
      </c>
    </row>
    <row r="40" spans="1:12" ht="88.5" x14ac:dyDescent="0.2">
      <c r="B40" s="93" t="s">
        <v>154</v>
      </c>
      <c r="C40" s="87">
        <f>9*7</f>
        <v>63</v>
      </c>
      <c r="D40" s="87">
        <v>3</v>
      </c>
      <c r="E40" s="87">
        <f t="shared" si="8"/>
        <v>0.375</v>
      </c>
      <c r="G40" s="91">
        <f>28/12</f>
        <v>2.3333333333333335</v>
      </c>
      <c r="H40" s="87">
        <v>0.5</v>
      </c>
      <c r="I40" s="91">
        <f t="shared" si="1"/>
        <v>2.8333333333333335</v>
      </c>
      <c r="J40" s="91">
        <f t="shared" si="2"/>
        <v>0.375</v>
      </c>
      <c r="K40" s="91">
        <f t="shared" si="3"/>
        <v>66.9375</v>
      </c>
      <c r="L40" s="91">
        <f t="shared" si="4"/>
        <v>3.0370916515426498E-2</v>
      </c>
    </row>
    <row r="41" spans="1:12" ht="18.75" x14ac:dyDescent="0.25">
      <c r="A41" s="71">
        <v>2.4</v>
      </c>
      <c r="B41" s="86" t="s">
        <v>157</v>
      </c>
      <c r="C41" s="85"/>
      <c r="D41" s="83"/>
      <c r="E41" s="87"/>
      <c r="F41" s="71"/>
      <c r="G41" s="85"/>
      <c r="H41" s="87"/>
      <c r="I41" s="91"/>
      <c r="J41" s="91"/>
      <c r="K41" s="91"/>
      <c r="L41" s="91"/>
    </row>
    <row r="42" spans="1:12" ht="120" customHeight="1" x14ac:dyDescent="0.2">
      <c r="B42" s="93" t="s">
        <v>153</v>
      </c>
      <c r="C42" s="87">
        <f>8*2</f>
        <v>16</v>
      </c>
      <c r="D42" s="87">
        <v>4</v>
      </c>
      <c r="E42" s="87">
        <f t="shared" ref="E42:E43" si="9">$D42/8</f>
        <v>0.5</v>
      </c>
      <c r="G42" s="87">
        <v>7</v>
      </c>
      <c r="H42" s="87">
        <f t="shared" si="7"/>
        <v>0.5</v>
      </c>
      <c r="I42" s="91">
        <f t="shared" si="1"/>
        <v>7.5</v>
      </c>
      <c r="J42" s="91">
        <f t="shared" si="2"/>
        <v>0.66666666666666663</v>
      </c>
      <c r="K42" s="91">
        <f t="shared" si="3"/>
        <v>80</v>
      </c>
      <c r="L42" s="91">
        <f t="shared" si="4"/>
        <v>3.6297640653357534E-2</v>
      </c>
    </row>
    <row r="43" spans="1:12" ht="88.5" x14ac:dyDescent="0.2">
      <c r="B43" s="93" t="s">
        <v>154</v>
      </c>
      <c r="C43" s="87">
        <f>9*2</f>
        <v>18</v>
      </c>
      <c r="D43" s="87">
        <v>3</v>
      </c>
      <c r="E43" s="87">
        <f t="shared" si="9"/>
        <v>0.375</v>
      </c>
      <c r="G43" s="87">
        <f>48/12</f>
        <v>4</v>
      </c>
      <c r="H43" s="87">
        <v>0.5</v>
      </c>
      <c r="I43" s="91">
        <f t="shared" si="1"/>
        <v>4.5</v>
      </c>
      <c r="J43" s="91">
        <f t="shared" si="2"/>
        <v>0.375</v>
      </c>
      <c r="K43" s="91">
        <f t="shared" si="3"/>
        <v>30.375</v>
      </c>
      <c r="L43" s="91">
        <f t="shared" si="4"/>
        <v>1.3781760435571689E-2</v>
      </c>
    </row>
    <row r="44" spans="1:12" ht="18.75" x14ac:dyDescent="0.25">
      <c r="A44" s="71">
        <v>2.5</v>
      </c>
      <c r="B44" s="86" t="s">
        <v>158</v>
      </c>
      <c r="C44" s="85"/>
      <c r="D44" s="83"/>
      <c r="E44" s="87"/>
      <c r="F44" s="71"/>
      <c r="G44" s="85"/>
      <c r="H44" s="87"/>
      <c r="I44" s="91"/>
      <c r="J44" s="91"/>
      <c r="K44" s="91"/>
      <c r="L44" s="91"/>
    </row>
    <row r="45" spans="1:12" ht="120" customHeight="1" x14ac:dyDescent="0.2">
      <c r="B45" s="93" t="s">
        <v>159</v>
      </c>
      <c r="C45" s="87">
        <f>6*1</f>
        <v>6</v>
      </c>
      <c r="D45" s="87">
        <v>4</v>
      </c>
      <c r="E45" s="87">
        <f t="shared" ref="E45:E46" si="10">$D45/8</f>
        <v>0.5</v>
      </c>
      <c r="G45" s="87">
        <v>7</v>
      </c>
      <c r="H45" s="87">
        <f t="shared" si="7"/>
        <v>0.5</v>
      </c>
      <c r="I45" s="91">
        <f t="shared" si="1"/>
        <v>7.5</v>
      </c>
      <c r="J45" s="91">
        <f t="shared" si="2"/>
        <v>0.66666666666666663</v>
      </c>
      <c r="K45" s="91">
        <f t="shared" si="3"/>
        <v>30</v>
      </c>
      <c r="L45" s="91">
        <f t="shared" si="4"/>
        <v>1.3611615245009074E-2</v>
      </c>
    </row>
    <row r="46" spans="1:12" ht="88.5" x14ac:dyDescent="0.2">
      <c r="B46" s="93" t="s">
        <v>154</v>
      </c>
      <c r="C46" s="87">
        <v>9</v>
      </c>
      <c r="D46" s="87">
        <v>3</v>
      </c>
      <c r="E46" s="87">
        <f t="shared" si="10"/>
        <v>0.375</v>
      </c>
      <c r="G46" s="91">
        <f>46/12</f>
        <v>3.8333333333333335</v>
      </c>
      <c r="H46" s="87">
        <v>0.5</v>
      </c>
      <c r="I46" s="91">
        <f t="shared" si="1"/>
        <v>4.3333333333333339</v>
      </c>
      <c r="J46" s="91">
        <f t="shared" si="2"/>
        <v>0.375</v>
      </c>
      <c r="K46" s="91">
        <f t="shared" si="3"/>
        <v>14.625000000000004</v>
      </c>
      <c r="L46" s="91">
        <f t="shared" si="4"/>
        <v>6.6356624319419254E-3</v>
      </c>
    </row>
    <row r="47" spans="1:12" ht="18.75" x14ac:dyDescent="0.25">
      <c r="A47" s="71">
        <v>2.6</v>
      </c>
      <c r="B47" s="86" t="s">
        <v>160</v>
      </c>
      <c r="C47" s="85"/>
      <c r="D47" s="83"/>
      <c r="E47" s="87"/>
      <c r="F47" s="71"/>
      <c r="G47" s="85"/>
      <c r="H47" s="87"/>
      <c r="I47" s="91"/>
      <c r="J47" s="91"/>
      <c r="K47" s="91"/>
      <c r="L47" s="91"/>
    </row>
    <row r="48" spans="1:12" ht="120" customHeight="1" x14ac:dyDescent="0.2">
      <c r="B48" s="93" t="s">
        <v>153</v>
      </c>
      <c r="C48" s="87">
        <v>8</v>
      </c>
      <c r="D48" s="87">
        <v>4</v>
      </c>
      <c r="E48" s="87">
        <f t="shared" ref="E48:E49" si="11">$D48/8</f>
        <v>0.5</v>
      </c>
      <c r="G48" s="87">
        <v>7</v>
      </c>
      <c r="H48" s="87">
        <f t="shared" si="7"/>
        <v>0.5</v>
      </c>
      <c r="I48" s="91">
        <f t="shared" si="1"/>
        <v>7.5</v>
      </c>
      <c r="J48" s="91">
        <f t="shared" si="2"/>
        <v>0.66666666666666663</v>
      </c>
      <c r="K48" s="91">
        <f t="shared" si="3"/>
        <v>40</v>
      </c>
      <c r="L48" s="91">
        <f t="shared" si="4"/>
        <v>1.8148820326678767E-2</v>
      </c>
    </row>
    <row r="49" spans="1:12" ht="88.5" x14ac:dyDescent="0.2">
      <c r="B49" s="93" t="s">
        <v>161</v>
      </c>
      <c r="C49" s="87">
        <v>11</v>
      </c>
      <c r="D49" s="87">
        <v>3</v>
      </c>
      <c r="E49" s="87">
        <f t="shared" si="11"/>
        <v>0.375</v>
      </c>
      <c r="G49" s="91">
        <f>46/12</f>
        <v>3.8333333333333335</v>
      </c>
      <c r="H49" s="87">
        <v>0.5</v>
      </c>
      <c r="I49" s="91">
        <f t="shared" si="1"/>
        <v>4.3333333333333339</v>
      </c>
      <c r="J49" s="91">
        <f t="shared" si="2"/>
        <v>0.375</v>
      </c>
      <c r="K49" s="91">
        <f t="shared" si="3"/>
        <v>17.875</v>
      </c>
      <c r="L49" s="91">
        <f t="shared" si="4"/>
        <v>8.1102540834845742E-3</v>
      </c>
    </row>
    <row r="50" spans="1:12" ht="18.75" x14ac:dyDescent="0.25">
      <c r="A50" s="71">
        <v>2.7</v>
      </c>
      <c r="B50" s="86" t="s">
        <v>162</v>
      </c>
      <c r="C50" s="85"/>
      <c r="D50" s="83"/>
      <c r="E50" s="87"/>
      <c r="F50" s="71"/>
      <c r="G50" s="85"/>
      <c r="H50" s="87"/>
      <c r="I50" s="91"/>
      <c r="J50" s="91"/>
      <c r="K50" s="91"/>
      <c r="L50" s="91"/>
    </row>
    <row r="51" spans="1:12" ht="120" customHeight="1" x14ac:dyDescent="0.2">
      <c r="B51" s="93" t="s">
        <v>153</v>
      </c>
      <c r="C51" s="87">
        <f>4*22</f>
        <v>88</v>
      </c>
      <c r="D51" s="87">
        <v>4</v>
      </c>
      <c r="E51" s="87">
        <f t="shared" ref="E51:E52" si="12">$D51/8</f>
        <v>0.5</v>
      </c>
      <c r="G51" s="87">
        <v>7</v>
      </c>
      <c r="H51" s="87">
        <f t="shared" si="7"/>
        <v>0.5</v>
      </c>
      <c r="I51" s="91">
        <f t="shared" si="1"/>
        <v>7.5</v>
      </c>
      <c r="J51" s="91">
        <f t="shared" si="2"/>
        <v>0.66666666666666663</v>
      </c>
      <c r="K51" s="91">
        <f t="shared" si="3"/>
        <v>440</v>
      </c>
      <c r="L51" s="91">
        <f t="shared" si="4"/>
        <v>0.19963702359346641</v>
      </c>
    </row>
    <row r="52" spans="1:12" ht="88.5" x14ac:dyDescent="0.2">
      <c r="B52" s="93" t="s">
        <v>154</v>
      </c>
      <c r="C52" s="87">
        <f>9*22</f>
        <v>198</v>
      </c>
      <c r="D52" s="87">
        <v>3</v>
      </c>
      <c r="E52" s="87">
        <f t="shared" si="12"/>
        <v>0.375</v>
      </c>
      <c r="G52" s="87">
        <f>24/12</f>
        <v>2</v>
      </c>
      <c r="H52" s="87">
        <v>0.5</v>
      </c>
      <c r="I52" s="91">
        <f t="shared" si="1"/>
        <v>2.5</v>
      </c>
      <c r="J52" s="91">
        <f t="shared" si="2"/>
        <v>0.375</v>
      </c>
      <c r="K52" s="91">
        <f t="shared" si="3"/>
        <v>185.625</v>
      </c>
      <c r="L52" s="91">
        <f t="shared" si="4"/>
        <v>8.4221869328493654E-2</v>
      </c>
    </row>
    <row r="53" spans="1:12" ht="18.75" x14ac:dyDescent="0.25">
      <c r="A53" s="71">
        <v>2.8</v>
      </c>
      <c r="B53" s="86" t="s">
        <v>163</v>
      </c>
      <c r="C53" s="85"/>
      <c r="D53" s="83"/>
      <c r="E53" s="87"/>
      <c r="F53" s="71"/>
      <c r="G53" s="85"/>
      <c r="H53" s="87"/>
      <c r="I53" s="91"/>
      <c r="J53" s="91"/>
      <c r="K53" s="91"/>
      <c r="L53" s="91"/>
    </row>
    <row r="54" spans="1:12" ht="120" customHeight="1" x14ac:dyDescent="0.2">
      <c r="B54" s="93" t="s">
        <v>153</v>
      </c>
      <c r="C54" s="87">
        <f>4*3</f>
        <v>12</v>
      </c>
      <c r="D54" s="87">
        <v>4</v>
      </c>
      <c r="E54" s="87">
        <f t="shared" ref="E54:E55" si="13">$D54/8</f>
        <v>0.5</v>
      </c>
      <c r="G54" s="87">
        <v>7</v>
      </c>
      <c r="H54" s="87">
        <f t="shared" si="7"/>
        <v>0.5</v>
      </c>
      <c r="I54" s="91">
        <f t="shared" si="1"/>
        <v>7.5</v>
      </c>
      <c r="J54" s="91">
        <f t="shared" si="2"/>
        <v>0.66666666666666663</v>
      </c>
      <c r="K54" s="91">
        <f t="shared" si="3"/>
        <v>60</v>
      </c>
      <c r="L54" s="91">
        <f t="shared" si="4"/>
        <v>2.7223230490018149E-2</v>
      </c>
    </row>
    <row r="55" spans="1:12" ht="88.5" x14ac:dyDescent="0.2">
      <c r="B55" s="93" t="s">
        <v>154</v>
      </c>
      <c r="C55" s="87">
        <f>9*3</f>
        <v>27</v>
      </c>
      <c r="D55" s="87">
        <v>3</v>
      </c>
      <c r="E55" s="87">
        <f t="shared" si="13"/>
        <v>0.375</v>
      </c>
      <c r="G55" s="87">
        <f>36/12</f>
        <v>3</v>
      </c>
      <c r="H55" s="87">
        <v>0.5</v>
      </c>
      <c r="I55" s="91">
        <f t="shared" si="1"/>
        <v>3.5</v>
      </c>
      <c r="J55" s="91">
        <f t="shared" si="2"/>
        <v>0.375</v>
      </c>
      <c r="K55" s="91">
        <f t="shared" si="3"/>
        <v>35.4375</v>
      </c>
      <c r="L55" s="91">
        <f t="shared" si="4"/>
        <v>1.6078720508166968E-2</v>
      </c>
    </row>
    <row r="56" spans="1:12" x14ac:dyDescent="0.2">
      <c r="B56" s="86" t="s">
        <v>164</v>
      </c>
      <c r="C56" s="87"/>
      <c r="D56" s="87"/>
      <c r="E56" s="87"/>
      <c r="G56" s="87"/>
      <c r="H56" s="87"/>
      <c r="I56" s="91"/>
      <c r="J56" s="91"/>
      <c r="K56" s="92">
        <f>SUM(K33:K55)</f>
        <v>2154.5</v>
      </c>
      <c r="L56" s="92">
        <f>SUM(L33:L55)</f>
        <v>0.97754083484573473</v>
      </c>
    </row>
    <row r="57" spans="1:12" x14ac:dyDescent="0.2">
      <c r="B57" s="86"/>
      <c r="C57" s="87"/>
      <c r="D57" s="87"/>
      <c r="E57" s="87"/>
      <c r="G57" s="87"/>
      <c r="H57" s="87"/>
      <c r="I57" s="91"/>
      <c r="J57" s="91"/>
      <c r="K57" s="92"/>
      <c r="L57" s="92"/>
    </row>
    <row r="58" spans="1:12" ht="18.75" x14ac:dyDescent="0.25">
      <c r="A58" s="71"/>
      <c r="B58" s="86"/>
      <c r="C58" s="85"/>
      <c r="D58" s="83"/>
      <c r="E58" s="83"/>
      <c r="F58" s="71"/>
      <c r="G58" s="85"/>
      <c r="H58" s="87"/>
      <c r="I58" s="87"/>
      <c r="J58" s="91"/>
      <c r="K58" s="91"/>
      <c r="L58" s="91"/>
    </row>
    <row r="59" spans="1:12" ht="35.25" x14ac:dyDescent="0.25">
      <c r="A59" s="71">
        <v>3</v>
      </c>
      <c r="B59" s="84" t="s">
        <v>165</v>
      </c>
      <c r="C59" s="85"/>
      <c r="D59" s="83"/>
      <c r="E59" s="83"/>
      <c r="F59" s="71"/>
      <c r="G59" s="85"/>
      <c r="H59" s="87"/>
      <c r="I59" s="91"/>
      <c r="J59" s="90"/>
      <c r="K59" s="90"/>
      <c r="L59" s="90"/>
    </row>
    <row r="60" spans="1:12" ht="18.75" x14ac:dyDescent="0.25">
      <c r="A60" s="71">
        <v>3.1</v>
      </c>
      <c r="B60" s="86" t="s">
        <v>152</v>
      </c>
      <c r="C60" s="85"/>
      <c r="D60" s="83"/>
      <c r="E60" s="87"/>
      <c r="F60" s="71"/>
      <c r="G60" s="85"/>
      <c r="H60" s="87"/>
      <c r="I60" s="91"/>
      <c r="J60" s="91"/>
      <c r="K60" s="91"/>
      <c r="L60" s="91"/>
    </row>
    <row r="61" spans="1:12" ht="120" customHeight="1" x14ac:dyDescent="0.2">
      <c r="B61" s="93" t="s">
        <v>166</v>
      </c>
      <c r="C61" s="87">
        <f>6*18</f>
        <v>108</v>
      </c>
      <c r="D61" s="87">
        <v>4</v>
      </c>
      <c r="E61" s="87">
        <f t="shared" ref="E61:E62" si="14">$D61/8</f>
        <v>0.5</v>
      </c>
      <c r="G61" s="87">
        <v>12.5</v>
      </c>
      <c r="H61" s="87">
        <f t="shared" si="7"/>
        <v>0.5</v>
      </c>
      <c r="I61" s="91">
        <f t="shared" si="1"/>
        <v>13</v>
      </c>
      <c r="J61" s="91">
        <f t="shared" si="2"/>
        <v>0.66666666666666663</v>
      </c>
      <c r="K61" s="91">
        <f t="shared" si="3"/>
        <v>936</v>
      </c>
      <c r="L61" s="91">
        <f t="shared" si="4"/>
        <v>0.42468239564428312</v>
      </c>
    </row>
    <row r="62" spans="1:12" ht="103.5" x14ac:dyDescent="0.2">
      <c r="B62" s="93" t="s">
        <v>167</v>
      </c>
      <c r="C62" s="87">
        <f>16*18</f>
        <v>288</v>
      </c>
      <c r="D62" s="87">
        <v>3</v>
      </c>
      <c r="E62" s="87">
        <f t="shared" si="14"/>
        <v>0.375</v>
      </c>
      <c r="G62" s="87">
        <f>36/12</f>
        <v>3</v>
      </c>
      <c r="H62" s="87">
        <v>0.5</v>
      </c>
      <c r="I62" s="91">
        <f t="shared" si="1"/>
        <v>3.5</v>
      </c>
      <c r="J62" s="91">
        <f t="shared" si="2"/>
        <v>0.375</v>
      </c>
      <c r="K62" s="91">
        <f t="shared" si="3"/>
        <v>378</v>
      </c>
      <c r="L62" s="91">
        <f t="shared" si="4"/>
        <v>0.17150635208711434</v>
      </c>
    </row>
    <row r="63" spans="1:12" ht="18.75" x14ac:dyDescent="0.25">
      <c r="A63" s="71">
        <v>3.2</v>
      </c>
      <c r="B63" s="86" t="s">
        <v>155</v>
      </c>
      <c r="C63" s="85"/>
      <c r="D63" s="83"/>
      <c r="E63" s="87"/>
      <c r="F63" s="71"/>
      <c r="G63" s="85"/>
      <c r="H63" s="87"/>
      <c r="I63" s="91"/>
      <c r="J63" s="91"/>
      <c r="K63" s="91"/>
      <c r="L63" s="91"/>
    </row>
    <row r="64" spans="1:12" ht="120" customHeight="1" x14ac:dyDescent="0.2">
      <c r="B64" s="93" t="s">
        <v>166</v>
      </c>
      <c r="C64" s="87">
        <f>6*6</f>
        <v>36</v>
      </c>
      <c r="D64" s="87">
        <v>4</v>
      </c>
      <c r="E64" s="87">
        <f t="shared" ref="E64:E65" si="15">$D64/8</f>
        <v>0.5</v>
      </c>
      <c r="G64" s="87">
        <v>12.5</v>
      </c>
      <c r="H64" s="87">
        <f t="shared" si="7"/>
        <v>0.5</v>
      </c>
      <c r="I64" s="91">
        <f t="shared" si="1"/>
        <v>13</v>
      </c>
      <c r="J64" s="91">
        <f t="shared" si="2"/>
        <v>0.66666666666666663</v>
      </c>
      <c r="K64" s="91">
        <f t="shared" si="3"/>
        <v>312</v>
      </c>
      <c r="L64" s="91">
        <f t="shared" si="4"/>
        <v>0.14156079854809436</v>
      </c>
    </row>
    <row r="65" spans="1:12" ht="103.5" x14ac:dyDescent="0.2">
      <c r="B65" s="93" t="s">
        <v>167</v>
      </c>
      <c r="C65" s="87">
        <f>16*6</f>
        <v>96</v>
      </c>
      <c r="D65" s="87">
        <v>3</v>
      </c>
      <c r="E65" s="87">
        <f t="shared" si="15"/>
        <v>0.375</v>
      </c>
      <c r="G65" s="87">
        <f>42/12</f>
        <v>3.5</v>
      </c>
      <c r="H65" s="87">
        <v>0.5</v>
      </c>
      <c r="I65" s="91">
        <f t="shared" si="1"/>
        <v>4</v>
      </c>
      <c r="J65" s="91">
        <f t="shared" si="2"/>
        <v>0.375</v>
      </c>
      <c r="K65" s="91">
        <f t="shared" si="3"/>
        <v>144</v>
      </c>
      <c r="L65" s="91">
        <f t="shared" si="4"/>
        <v>6.5335753176043551E-2</v>
      </c>
    </row>
    <row r="66" spans="1:12" ht="18.75" x14ac:dyDescent="0.25">
      <c r="A66" s="71">
        <v>3.3</v>
      </c>
      <c r="B66" s="86" t="s">
        <v>156</v>
      </c>
      <c r="C66" s="85"/>
      <c r="D66" s="83"/>
      <c r="E66" s="87"/>
      <c r="F66" s="71"/>
      <c r="G66" s="85"/>
      <c r="H66" s="87"/>
      <c r="I66" s="91"/>
      <c r="J66" s="91"/>
      <c r="K66" s="91"/>
      <c r="L66" s="91"/>
    </row>
    <row r="67" spans="1:12" ht="120" customHeight="1" x14ac:dyDescent="0.2">
      <c r="B67" s="93" t="s">
        <v>166</v>
      </c>
      <c r="C67" s="87">
        <f>4*7</f>
        <v>28</v>
      </c>
      <c r="D67" s="87">
        <v>4</v>
      </c>
      <c r="E67" s="87">
        <f t="shared" ref="E67:E68" si="16">$D67/8</f>
        <v>0.5</v>
      </c>
      <c r="G67" s="87">
        <v>12.5</v>
      </c>
      <c r="H67" s="87">
        <f t="shared" si="7"/>
        <v>0.5</v>
      </c>
      <c r="I67" s="91">
        <f t="shared" si="1"/>
        <v>13</v>
      </c>
      <c r="J67" s="91">
        <f t="shared" si="2"/>
        <v>0.66666666666666663</v>
      </c>
      <c r="K67" s="91">
        <f t="shared" si="3"/>
        <v>242.66666666666666</v>
      </c>
      <c r="L67" s="91">
        <f t="shared" si="4"/>
        <v>0.11010284331518451</v>
      </c>
    </row>
    <row r="68" spans="1:12" ht="103.5" x14ac:dyDescent="0.2">
      <c r="B68" s="93" t="s">
        <v>167</v>
      </c>
      <c r="C68" s="87">
        <f>16*7</f>
        <v>112</v>
      </c>
      <c r="D68" s="87">
        <v>3</v>
      </c>
      <c r="E68" s="87">
        <f t="shared" si="16"/>
        <v>0.375</v>
      </c>
      <c r="G68" s="91">
        <f>28/12</f>
        <v>2.3333333333333335</v>
      </c>
      <c r="H68" s="87">
        <v>0.5</v>
      </c>
      <c r="I68" s="91">
        <f t="shared" si="1"/>
        <v>2.8333333333333335</v>
      </c>
      <c r="J68" s="91">
        <f t="shared" si="2"/>
        <v>0.375</v>
      </c>
      <c r="K68" s="91">
        <f t="shared" si="3"/>
        <v>119.00000000000001</v>
      </c>
      <c r="L68" s="91">
        <f t="shared" si="4"/>
        <v>5.3992740471869333E-2</v>
      </c>
    </row>
    <row r="69" spans="1:12" ht="18.75" x14ac:dyDescent="0.25">
      <c r="A69" s="71">
        <v>2.4</v>
      </c>
      <c r="B69" s="86" t="s">
        <v>157</v>
      </c>
      <c r="C69" s="85"/>
      <c r="D69" s="83"/>
      <c r="E69" s="87"/>
      <c r="F69" s="71"/>
      <c r="G69" s="85"/>
      <c r="H69" s="87"/>
      <c r="I69" s="91"/>
      <c r="J69" s="91"/>
      <c r="K69" s="91"/>
      <c r="L69" s="91"/>
    </row>
    <row r="70" spans="1:12" ht="120" customHeight="1" x14ac:dyDescent="0.2">
      <c r="B70" s="93" t="s">
        <v>166</v>
      </c>
      <c r="C70" s="87">
        <f>8*2</f>
        <v>16</v>
      </c>
      <c r="D70" s="87">
        <v>4</v>
      </c>
      <c r="E70" s="87">
        <f t="shared" ref="E70:E71" si="17">$D70/8</f>
        <v>0.5</v>
      </c>
      <c r="G70" s="87">
        <v>12.5</v>
      </c>
      <c r="H70" s="87">
        <f t="shared" si="7"/>
        <v>0.5</v>
      </c>
      <c r="I70" s="91">
        <f t="shared" si="1"/>
        <v>13</v>
      </c>
      <c r="J70" s="91">
        <f t="shared" si="2"/>
        <v>0.66666666666666663</v>
      </c>
      <c r="K70" s="91">
        <f t="shared" si="3"/>
        <v>138.66666666666666</v>
      </c>
      <c r="L70" s="91">
        <f t="shared" si="4"/>
        <v>6.2915910465819722E-2</v>
      </c>
    </row>
    <row r="71" spans="1:12" ht="103.5" x14ac:dyDescent="0.2">
      <c r="B71" s="93" t="s">
        <v>167</v>
      </c>
      <c r="C71" s="87">
        <f>16*2</f>
        <v>32</v>
      </c>
      <c r="D71" s="87">
        <v>3</v>
      </c>
      <c r="E71" s="87">
        <f t="shared" si="17"/>
        <v>0.375</v>
      </c>
      <c r="G71" s="87">
        <v>4</v>
      </c>
      <c r="H71" s="87">
        <v>0.5</v>
      </c>
      <c r="I71" s="91">
        <f t="shared" si="1"/>
        <v>4.5</v>
      </c>
      <c r="J71" s="91">
        <f t="shared" si="2"/>
        <v>0.375</v>
      </c>
      <c r="K71" s="91">
        <f t="shared" si="3"/>
        <v>54</v>
      </c>
      <c r="L71" s="91">
        <f t="shared" si="4"/>
        <v>2.4500907441016333E-2</v>
      </c>
    </row>
    <row r="72" spans="1:12" ht="18.75" x14ac:dyDescent="0.25">
      <c r="A72" s="71">
        <v>2.5</v>
      </c>
      <c r="B72" s="86" t="s">
        <v>158</v>
      </c>
      <c r="C72" s="85"/>
      <c r="D72" s="83"/>
      <c r="E72" s="87"/>
      <c r="F72" s="71"/>
      <c r="G72" s="85"/>
      <c r="H72" s="87"/>
      <c r="I72" s="91"/>
      <c r="J72" s="91"/>
      <c r="K72" s="91"/>
      <c r="L72" s="91"/>
    </row>
    <row r="73" spans="1:12" ht="120" customHeight="1" x14ac:dyDescent="0.2">
      <c r="B73" s="93" t="s">
        <v>168</v>
      </c>
      <c r="C73" s="87">
        <v>6</v>
      </c>
      <c r="D73" s="87">
        <v>4</v>
      </c>
      <c r="E73" s="87">
        <f t="shared" ref="E73:E74" si="18">$D73/8</f>
        <v>0.5</v>
      </c>
      <c r="G73" s="87">
        <v>11</v>
      </c>
      <c r="H73" s="87">
        <f t="shared" si="7"/>
        <v>0.5</v>
      </c>
      <c r="I73" s="91">
        <f t="shared" si="1"/>
        <v>11.5</v>
      </c>
      <c r="J73" s="91">
        <f t="shared" si="2"/>
        <v>0.66666666666666663</v>
      </c>
      <c r="K73" s="91">
        <f t="shared" si="3"/>
        <v>46</v>
      </c>
      <c r="L73" s="91">
        <f t="shared" si="4"/>
        <v>2.0871143375680582E-2</v>
      </c>
    </row>
    <row r="74" spans="1:12" ht="103.5" x14ac:dyDescent="0.2">
      <c r="B74" s="93" t="s">
        <v>167</v>
      </c>
      <c r="C74" s="87">
        <v>16</v>
      </c>
      <c r="D74" s="87">
        <v>3</v>
      </c>
      <c r="E74" s="87">
        <f t="shared" si="18"/>
        <v>0.375</v>
      </c>
      <c r="G74" s="87">
        <v>3.83</v>
      </c>
      <c r="H74" s="87">
        <v>0.5</v>
      </c>
      <c r="I74" s="91">
        <f t="shared" ref="I74:I109" si="19">$G74+$H74</f>
        <v>4.33</v>
      </c>
      <c r="J74" s="91">
        <f t="shared" ref="J74:J83" si="20">($D74^2)/24</f>
        <v>0.375</v>
      </c>
      <c r="K74" s="91">
        <f t="shared" ref="K74:K83" si="21">$I74*$C74*$J74</f>
        <v>25.98</v>
      </c>
      <c r="L74" s="91">
        <f t="shared" ref="L74:L83" si="22">$K74/2204</f>
        <v>1.1787658802177858E-2</v>
      </c>
    </row>
    <row r="75" spans="1:12" ht="18.75" x14ac:dyDescent="0.25">
      <c r="A75" s="71">
        <v>2.6</v>
      </c>
      <c r="B75" s="86" t="s">
        <v>160</v>
      </c>
      <c r="C75" s="85"/>
      <c r="D75" s="83"/>
      <c r="E75" s="87"/>
      <c r="F75" s="71"/>
      <c r="G75" s="85"/>
      <c r="H75" s="87"/>
      <c r="I75" s="91"/>
      <c r="J75" s="91"/>
      <c r="K75" s="91"/>
      <c r="L75" s="91"/>
    </row>
    <row r="76" spans="1:12" ht="120" customHeight="1" x14ac:dyDescent="0.2">
      <c r="B76" s="93" t="s">
        <v>168</v>
      </c>
      <c r="C76" s="87">
        <v>8</v>
      </c>
      <c r="D76" s="87">
        <v>4</v>
      </c>
      <c r="E76" s="87">
        <f t="shared" ref="E76:E77" si="23">$D76/8</f>
        <v>0.5</v>
      </c>
      <c r="G76" s="87">
        <v>11</v>
      </c>
      <c r="H76" s="87">
        <f t="shared" si="7"/>
        <v>0.5</v>
      </c>
      <c r="I76" s="91">
        <f t="shared" si="19"/>
        <v>11.5</v>
      </c>
      <c r="J76" s="91">
        <f t="shared" si="20"/>
        <v>0.66666666666666663</v>
      </c>
      <c r="K76" s="91">
        <f t="shared" si="21"/>
        <v>61.333333333333329</v>
      </c>
      <c r="L76" s="91">
        <f t="shared" si="22"/>
        <v>2.7828191167574106E-2</v>
      </c>
    </row>
    <row r="77" spans="1:12" ht="103.5" x14ac:dyDescent="0.2">
      <c r="B77" s="93" t="s">
        <v>169</v>
      </c>
      <c r="C77" s="87">
        <v>21</v>
      </c>
      <c r="D77" s="87">
        <v>3</v>
      </c>
      <c r="E77" s="87">
        <f t="shared" si="23"/>
        <v>0.375</v>
      </c>
      <c r="G77" s="87">
        <v>3.83</v>
      </c>
      <c r="H77" s="87">
        <v>0.5</v>
      </c>
      <c r="I77" s="91">
        <f t="shared" si="19"/>
        <v>4.33</v>
      </c>
      <c r="J77" s="91">
        <f t="shared" si="20"/>
        <v>0.375</v>
      </c>
      <c r="K77" s="91">
        <f t="shared" si="21"/>
        <v>34.098750000000003</v>
      </c>
      <c r="L77" s="91">
        <f t="shared" si="22"/>
        <v>1.5471302177858441E-2</v>
      </c>
    </row>
    <row r="78" spans="1:12" ht="18.75" x14ac:dyDescent="0.25">
      <c r="A78" s="71">
        <v>2.7</v>
      </c>
      <c r="B78" s="86" t="s">
        <v>162</v>
      </c>
      <c r="C78" s="85"/>
      <c r="D78" s="83"/>
      <c r="E78" s="87"/>
      <c r="F78" s="71"/>
      <c r="G78" s="85"/>
      <c r="H78" s="87"/>
      <c r="I78" s="91"/>
      <c r="J78" s="91"/>
      <c r="K78" s="91"/>
      <c r="L78" s="91"/>
    </row>
    <row r="79" spans="1:12" ht="120" customHeight="1" x14ac:dyDescent="0.2">
      <c r="B79" s="93" t="s">
        <v>170</v>
      </c>
      <c r="C79" s="87">
        <f>4*22</f>
        <v>88</v>
      </c>
      <c r="D79" s="87">
        <v>4</v>
      </c>
      <c r="E79" s="87">
        <f t="shared" ref="E79:E80" si="24">$D79/8</f>
        <v>0.5</v>
      </c>
      <c r="G79" s="87">
        <v>8.5</v>
      </c>
      <c r="H79" s="87">
        <f t="shared" si="7"/>
        <v>0.5</v>
      </c>
      <c r="I79" s="91">
        <f t="shared" si="19"/>
        <v>9</v>
      </c>
      <c r="J79" s="91">
        <f t="shared" si="20"/>
        <v>0.66666666666666663</v>
      </c>
      <c r="K79" s="91">
        <f t="shared" si="21"/>
        <v>528</v>
      </c>
      <c r="L79" s="91">
        <f t="shared" si="22"/>
        <v>0.23956442831215971</v>
      </c>
    </row>
    <row r="80" spans="1:12" ht="103.5" x14ac:dyDescent="0.2">
      <c r="B80" s="93" t="s">
        <v>171</v>
      </c>
      <c r="C80" s="87">
        <f>13*22</f>
        <v>286</v>
      </c>
      <c r="D80" s="87">
        <v>3</v>
      </c>
      <c r="E80" s="87">
        <f t="shared" si="24"/>
        <v>0.375</v>
      </c>
      <c r="G80" s="87">
        <v>2</v>
      </c>
      <c r="H80" s="87">
        <v>0.5</v>
      </c>
      <c r="I80" s="91">
        <f t="shared" si="19"/>
        <v>2.5</v>
      </c>
      <c r="J80" s="91">
        <f t="shared" si="20"/>
        <v>0.375</v>
      </c>
      <c r="K80" s="91">
        <f t="shared" si="21"/>
        <v>268.125</v>
      </c>
      <c r="L80" s="91">
        <f t="shared" si="22"/>
        <v>0.12165381125226861</v>
      </c>
    </row>
    <row r="81" spans="1:12" ht="18.75" x14ac:dyDescent="0.25">
      <c r="A81" s="71">
        <v>2.8</v>
      </c>
      <c r="B81" s="86" t="s">
        <v>163</v>
      </c>
      <c r="C81" s="85"/>
      <c r="D81" s="83"/>
      <c r="E81" s="87"/>
      <c r="F81" s="71"/>
      <c r="G81" s="85"/>
      <c r="H81" s="87"/>
      <c r="I81" s="91"/>
      <c r="J81" s="91"/>
      <c r="K81" s="91"/>
      <c r="L81" s="91"/>
    </row>
    <row r="82" spans="1:12" ht="120" customHeight="1" x14ac:dyDescent="0.2">
      <c r="B82" s="93" t="s">
        <v>170</v>
      </c>
      <c r="C82" s="87">
        <f>4*3</f>
        <v>12</v>
      </c>
      <c r="D82" s="87">
        <v>4</v>
      </c>
      <c r="E82" s="87">
        <f t="shared" ref="E82:E83" si="25">$D82/8</f>
        <v>0.5</v>
      </c>
      <c r="G82" s="87">
        <v>8.5</v>
      </c>
      <c r="H82" s="87">
        <f t="shared" si="7"/>
        <v>0.5</v>
      </c>
      <c r="I82" s="91">
        <f t="shared" si="19"/>
        <v>9</v>
      </c>
      <c r="J82" s="91">
        <f t="shared" si="20"/>
        <v>0.66666666666666663</v>
      </c>
      <c r="K82" s="91">
        <f t="shared" si="21"/>
        <v>72</v>
      </c>
      <c r="L82" s="91">
        <f t="shared" si="22"/>
        <v>3.2667876588021776E-2</v>
      </c>
    </row>
    <row r="83" spans="1:12" ht="103.5" x14ac:dyDescent="0.2">
      <c r="B83" s="93" t="s">
        <v>171</v>
      </c>
      <c r="C83" s="87">
        <f>13*3</f>
        <v>39</v>
      </c>
      <c r="D83" s="87">
        <v>3</v>
      </c>
      <c r="E83" s="87">
        <f t="shared" si="25"/>
        <v>0.375</v>
      </c>
      <c r="G83" s="87">
        <v>3</v>
      </c>
      <c r="H83" s="87">
        <v>0.5</v>
      </c>
      <c r="I83" s="91">
        <f t="shared" si="19"/>
        <v>3.5</v>
      </c>
      <c r="J83" s="91">
        <f t="shared" si="20"/>
        <v>0.375</v>
      </c>
      <c r="K83" s="91">
        <f t="shared" si="21"/>
        <v>51.1875</v>
      </c>
      <c r="L83" s="91">
        <f t="shared" si="22"/>
        <v>2.3224818511796735E-2</v>
      </c>
    </row>
    <row r="84" spans="1:12" x14ac:dyDescent="0.2">
      <c r="B84" s="86" t="s">
        <v>164</v>
      </c>
      <c r="C84" s="87"/>
      <c r="D84" s="87"/>
      <c r="E84" s="87"/>
      <c r="G84" s="87"/>
      <c r="H84" s="87"/>
      <c r="I84" s="91"/>
      <c r="J84" s="91"/>
      <c r="K84" s="92">
        <f>SUM(K61:K83)</f>
        <v>3411.0579166666671</v>
      </c>
      <c r="L84" s="92">
        <f>SUM(L61:L83)</f>
        <v>1.5476669313369631</v>
      </c>
    </row>
    <row r="85" spans="1:12" x14ac:dyDescent="0.2">
      <c r="B85" s="86"/>
      <c r="C85" s="87"/>
      <c r="D85" s="87"/>
      <c r="E85" s="87"/>
      <c r="G85" s="87"/>
      <c r="H85" s="87"/>
      <c r="I85" s="91"/>
      <c r="J85" s="91"/>
      <c r="K85" s="92"/>
      <c r="L85" s="92"/>
    </row>
    <row r="86" spans="1:12" x14ac:dyDescent="0.2">
      <c r="B86" s="86"/>
      <c r="C86" s="87"/>
      <c r="D86" s="87"/>
      <c r="E86" s="87"/>
      <c r="G86" s="87"/>
      <c r="H86" s="87"/>
      <c r="I86" s="91"/>
      <c r="J86" s="91"/>
      <c r="K86" s="94"/>
      <c r="L86" s="94"/>
    </row>
    <row r="87" spans="1:12" ht="35.25" x14ac:dyDescent="0.25">
      <c r="A87" s="71">
        <v>3</v>
      </c>
      <c r="B87" s="84" t="s">
        <v>172</v>
      </c>
      <c r="C87" s="85"/>
      <c r="D87" s="83"/>
      <c r="E87" s="83"/>
      <c r="F87" s="71"/>
      <c r="G87" s="85"/>
      <c r="H87" s="87"/>
      <c r="I87" s="91"/>
      <c r="J87" s="90"/>
      <c r="K87" s="90"/>
      <c r="L87" s="90"/>
    </row>
    <row r="88" spans="1:12" ht="18.75" x14ac:dyDescent="0.25">
      <c r="A88" s="71">
        <v>3.1</v>
      </c>
      <c r="B88" s="86" t="s">
        <v>152</v>
      </c>
      <c r="C88" s="85"/>
      <c r="D88" s="83"/>
      <c r="E88" s="87"/>
      <c r="F88" s="71"/>
      <c r="G88" s="85"/>
      <c r="H88" s="87"/>
      <c r="I88" s="87"/>
      <c r="J88" s="91"/>
      <c r="K88" s="91"/>
      <c r="L88" s="91"/>
    </row>
    <row r="89" spans="1:12" ht="120" customHeight="1" x14ac:dyDescent="0.2">
      <c r="B89" s="93" t="s">
        <v>168</v>
      </c>
      <c r="C89" s="87">
        <f>6*18</f>
        <v>108</v>
      </c>
      <c r="D89" s="87">
        <v>4</v>
      </c>
      <c r="E89" s="87">
        <f t="shared" ref="E89:E90" si="26">$D89/8</f>
        <v>0.5</v>
      </c>
      <c r="G89" s="87">
        <v>11</v>
      </c>
      <c r="H89" s="87">
        <f t="shared" si="7"/>
        <v>0.5</v>
      </c>
      <c r="I89" s="87">
        <f t="shared" si="19"/>
        <v>11.5</v>
      </c>
      <c r="J89" s="91">
        <f t="shared" ref="J89:J109" si="27">($D89^2)/24</f>
        <v>0.66666666666666663</v>
      </c>
      <c r="K89" s="91">
        <f t="shared" ref="K89:K99" si="28">$I89*$C89*$J89</f>
        <v>828</v>
      </c>
      <c r="L89" s="91">
        <f t="shared" ref="L89:L99" si="29">$K89/2204</f>
        <v>0.37568058076225047</v>
      </c>
    </row>
    <row r="90" spans="1:12" ht="103.5" x14ac:dyDescent="0.2">
      <c r="B90" s="93" t="s">
        <v>173</v>
      </c>
      <c r="C90" s="87">
        <f>16*18</f>
        <v>288</v>
      </c>
      <c r="D90" s="87">
        <v>3</v>
      </c>
      <c r="E90" s="87">
        <f t="shared" si="26"/>
        <v>0.375</v>
      </c>
      <c r="G90" s="87">
        <v>3</v>
      </c>
      <c r="H90" s="87">
        <v>0.5</v>
      </c>
      <c r="I90" s="87">
        <f t="shared" si="19"/>
        <v>3.5</v>
      </c>
      <c r="J90" s="91">
        <f t="shared" si="27"/>
        <v>0.375</v>
      </c>
      <c r="K90" s="91">
        <f t="shared" si="28"/>
        <v>378</v>
      </c>
      <c r="L90" s="91">
        <f t="shared" si="29"/>
        <v>0.17150635208711434</v>
      </c>
    </row>
    <row r="91" spans="1:12" ht="18.75" x14ac:dyDescent="0.25">
      <c r="A91" s="71">
        <v>3.2</v>
      </c>
      <c r="B91" s="86" t="s">
        <v>155</v>
      </c>
      <c r="C91" s="85"/>
      <c r="D91" s="83"/>
      <c r="E91" s="87"/>
      <c r="F91" s="71"/>
      <c r="G91" s="85"/>
      <c r="H91" s="87"/>
      <c r="I91" s="87"/>
      <c r="J91" s="91"/>
      <c r="K91" s="91"/>
      <c r="L91" s="91"/>
    </row>
    <row r="92" spans="1:12" ht="120" customHeight="1" x14ac:dyDescent="0.2">
      <c r="B92" s="93" t="s">
        <v>168</v>
      </c>
      <c r="C92" s="87">
        <f>6*6</f>
        <v>36</v>
      </c>
      <c r="D92" s="87">
        <v>4</v>
      </c>
      <c r="E92" s="87">
        <f t="shared" ref="E92:E93" si="30">$D92/8</f>
        <v>0.5</v>
      </c>
      <c r="G92" s="87">
        <v>11</v>
      </c>
      <c r="H92" s="87">
        <f t="shared" si="7"/>
        <v>0.5</v>
      </c>
      <c r="I92" s="87">
        <f t="shared" si="19"/>
        <v>11.5</v>
      </c>
      <c r="J92" s="91">
        <f t="shared" si="27"/>
        <v>0.66666666666666663</v>
      </c>
      <c r="K92" s="91">
        <f t="shared" si="28"/>
        <v>276</v>
      </c>
      <c r="L92" s="91">
        <f t="shared" si="29"/>
        <v>0.12522686025408347</v>
      </c>
    </row>
    <row r="93" spans="1:12" ht="103.5" x14ac:dyDescent="0.2">
      <c r="B93" s="93" t="s">
        <v>173</v>
      </c>
      <c r="C93" s="87">
        <f>16*6</f>
        <v>96</v>
      </c>
      <c r="D93" s="87">
        <v>3</v>
      </c>
      <c r="E93" s="87">
        <f t="shared" si="30"/>
        <v>0.375</v>
      </c>
      <c r="G93" s="87">
        <v>3.5</v>
      </c>
      <c r="H93" s="87">
        <v>0.5</v>
      </c>
      <c r="I93" s="87">
        <f t="shared" si="19"/>
        <v>4</v>
      </c>
      <c r="J93" s="91">
        <f t="shared" si="27"/>
        <v>0.375</v>
      </c>
      <c r="K93" s="91">
        <f t="shared" si="28"/>
        <v>144</v>
      </c>
      <c r="L93" s="91">
        <f t="shared" si="29"/>
        <v>6.5335753176043551E-2</v>
      </c>
    </row>
    <row r="94" spans="1:12" ht="18.75" x14ac:dyDescent="0.25">
      <c r="A94" s="71">
        <v>3.3</v>
      </c>
      <c r="B94" s="86" t="s">
        <v>156</v>
      </c>
      <c r="C94" s="85"/>
      <c r="D94" s="83"/>
      <c r="E94" s="87"/>
      <c r="F94" s="71"/>
      <c r="G94" s="85"/>
      <c r="H94" s="87"/>
      <c r="I94" s="87"/>
      <c r="J94" s="91"/>
      <c r="K94" s="91"/>
      <c r="L94" s="91"/>
    </row>
    <row r="95" spans="1:12" ht="120" customHeight="1" x14ac:dyDescent="0.2">
      <c r="B95" s="93" t="s">
        <v>168</v>
      </c>
      <c r="C95" s="87">
        <f>4*7</f>
        <v>28</v>
      </c>
      <c r="D95" s="87">
        <v>4</v>
      </c>
      <c r="E95" s="87">
        <f t="shared" ref="E95:E96" si="31">$D95/8</f>
        <v>0.5</v>
      </c>
      <c r="G95" s="87">
        <v>11</v>
      </c>
      <c r="H95" s="87">
        <f t="shared" si="7"/>
        <v>0.5</v>
      </c>
      <c r="I95" s="87">
        <f t="shared" si="19"/>
        <v>11.5</v>
      </c>
      <c r="J95" s="91">
        <f t="shared" si="27"/>
        <v>0.66666666666666663</v>
      </c>
      <c r="K95" s="91">
        <f t="shared" si="28"/>
        <v>214.66666666666666</v>
      </c>
      <c r="L95" s="91">
        <f t="shared" si="29"/>
        <v>9.7398669086509376E-2</v>
      </c>
    </row>
    <row r="96" spans="1:12" ht="103.5" x14ac:dyDescent="0.2">
      <c r="B96" s="93" t="s">
        <v>173</v>
      </c>
      <c r="C96" s="87">
        <f>16*7</f>
        <v>112</v>
      </c>
      <c r="D96" s="87">
        <v>3</v>
      </c>
      <c r="E96" s="87">
        <f t="shared" si="31"/>
        <v>0.375</v>
      </c>
      <c r="G96" s="87">
        <v>2.33</v>
      </c>
      <c r="H96" s="87">
        <v>0.5</v>
      </c>
      <c r="I96" s="87">
        <f t="shared" si="19"/>
        <v>2.83</v>
      </c>
      <c r="J96" s="91">
        <f t="shared" si="27"/>
        <v>0.375</v>
      </c>
      <c r="K96" s="91">
        <f t="shared" si="28"/>
        <v>118.86000000000001</v>
      </c>
      <c r="L96" s="91">
        <f t="shared" si="29"/>
        <v>5.3929219600725956E-2</v>
      </c>
    </row>
    <row r="97" spans="1:12" ht="18.75" x14ac:dyDescent="0.25">
      <c r="A97" s="71">
        <v>2.4</v>
      </c>
      <c r="B97" s="86" t="s">
        <v>157</v>
      </c>
      <c r="C97" s="85"/>
      <c r="D97" s="83"/>
      <c r="E97" s="87"/>
      <c r="F97" s="71"/>
      <c r="G97" s="85"/>
      <c r="H97" s="87"/>
      <c r="I97" s="87"/>
      <c r="J97" s="91"/>
      <c r="K97" s="91"/>
      <c r="L97" s="91"/>
    </row>
    <row r="98" spans="1:12" ht="120" customHeight="1" x14ac:dyDescent="0.2">
      <c r="B98" s="93" t="s">
        <v>168</v>
      </c>
      <c r="C98" s="87">
        <f>8*2</f>
        <v>16</v>
      </c>
      <c r="D98" s="87">
        <v>4</v>
      </c>
      <c r="E98" s="87">
        <f t="shared" ref="E98:E153" si="32">$D98/8</f>
        <v>0.5</v>
      </c>
      <c r="G98" s="87">
        <v>11</v>
      </c>
      <c r="H98" s="87">
        <f t="shared" si="7"/>
        <v>0.5</v>
      </c>
      <c r="I98" s="87">
        <f t="shared" si="19"/>
        <v>11.5</v>
      </c>
      <c r="J98" s="91">
        <f t="shared" si="27"/>
        <v>0.66666666666666663</v>
      </c>
      <c r="K98" s="91">
        <f t="shared" si="28"/>
        <v>122.66666666666666</v>
      </c>
      <c r="L98" s="91">
        <f t="shared" si="29"/>
        <v>5.5656382335148212E-2</v>
      </c>
    </row>
    <row r="99" spans="1:12" ht="103.5" x14ac:dyDescent="0.2">
      <c r="B99" s="93" t="s">
        <v>173</v>
      </c>
      <c r="C99" s="87">
        <f>16*2</f>
        <v>32</v>
      </c>
      <c r="D99" s="87">
        <v>3</v>
      </c>
      <c r="E99" s="87">
        <f t="shared" si="32"/>
        <v>0.375</v>
      </c>
      <c r="G99" s="87">
        <v>4</v>
      </c>
      <c r="H99" s="87">
        <v>0.5</v>
      </c>
      <c r="I99" s="87">
        <f t="shared" si="19"/>
        <v>4.5</v>
      </c>
      <c r="J99" s="91">
        <f t="shared" si="27"/>
        <v>0.375</v>
      </c>
      <c r="K99" s="91">
        <f t="shared" si="28"/>
        <v>54</v>
      </c>
      <c r="L99" s="91">
        <f t="shared" si="29"/>
        <v>2.4500907441016333E-2</v>
      </c>
    </row>
    <row r="100" spans="1:12" x14ac:dyDescent="0.2">
      <c r="B100" s="86" t="s">
        <v>164</v>
      </c>
      <c r="C100" s="87"/>
      <c r="D100" s="87"/>
      <c r="E100" s="87">
        <f t="shared" si="32"/>
        <v>0</v>
      </c>
      <c r="G100" s="87"/>
      <c r="H100" s="87"/>
      <c r="I100" s="87">
        <f t="shared" si="19"/>
        <v>0</v>
      </c>
      <c r="J100" s="91">
        <f t="shared" si="27"/>
        <v>0</v>
      </c>
      <c r="K100" s="92">
        <f>SUM(K89:K99)</f>
        <v>2136.1933333333332</v>
      </c>
      <c r="L100" s="92">
        <f>SUM(L89:L99)</f>
        <v>0.96923472474289174</v>
      </c>
    </row>
    <row r="101" spans="1:12" x14ac:dyDescent="0.2">
      <c r="C101" s="87"/>
      <c r="E101" s="87"/>
      <c r="H101" s="87"/>
      <c r="I101" s="87"/>
      <c r="J101" s="91"/>
      <c r="K101" s="95"/>
      <c r="L101" s="95"/>
    </row>
    <row r="102" spans="1:12" ht="18.75" x14ac:dyDescent="0.25">
      <c r="A102" s="71">
        <v>5</v>
      </c>
      <c r="B102" s="258" t="s">
        <v>364</v>
      </c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</row>
    <row r="103" spans="1:12" ht="18.75" x14ac:dyDescent="0.25">
      <c r="A103" s="71"/>
      <c r="B103" s="259" t="s">
        <v>112</v>
      </c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</row>
    <row r="104" spans="1:12" ht="18.75" x14ac:dyDescent="0.25">
      <c r="A104" s="71">
        <v>5.0999999999999996</v>
      </c>
      <c r="B104" s="86" t="s">
        <v>365</v>
      </c>
      <c r="C104" s="85"/>
      <c r="D104" s="109"/>
      <c r="E104" s="87"/>
      <c r="F104" s="71"/>
      <c r="G104" s="85"/>
      <c r="H104" s="87"/>
      <c r="I104" s="87"/>
      <c r="J104" s="91"/>
      <c r="K104" s="91"/>
      <c r="L104" s="91"/>
    </row>
    <row r="105" spans="1:12" ht="18.75" x14ac:dyDescent="0.25">
      <c r="A105" s="71"/>
      <c r="B105" s="86" t="s">
        <v>370</v>
      </c>
      <c r="C105" s="85"/>
      <c r="D105" s="109"/>
      <c r="E105" s="87"/>
      <c r="F105" s="71"/>
      <c r="G105" s="85"/>
      <c r="H105" s="87"/>
      <c r="I105" s="87"/>
      <c r="J105" s="91"/>
      <c r="K105" s="91"/>
      <c r="L105" s="91"/>
    </row>
    <row r="106" spans="1:12" ht="120" customHeight="1" x14ac:dyDescent="0.2">
      <c r="B106" s="93" t="s">
        <v>366</v>
      </c>
      <c r="C106" s="87">
        <v>12</v>
      </c>
      <c r="D106" s="87">
        <v>3</v>
      </c>
      <c r="E106" s="87">
        <f t="shared" si="32"/>
        <v>0.375</v>
      </c>
      <c r="G106" s="87">
        <f>13.834</f>
        <v>13.834</v>
      </c>
      <c r="H106" s="87">
        <f>12*(0.375/12)+48*(0.375/12)+(13.5/4)+0.131</f>
        <v>5.3810000000000002</v>
      </c>
      <c r="I106" s="87">
        <f t="shared" si="19"/>
        <v>19.215</v>
      </c>
      <c r="J106" s="91">
        <f t="shared" si="27"/>
        <v>0.375</v>
      </c>
      <c r="K106" s="91">
        <f>$I106*$C106*$J106</f>
        <v>86.467500000000001</v>
      </c>
      <c r="L106" s="91">
        <f>$K106/2204</f>
        <v>3.9232078039927405E-2</v>
      </c>
    </row>
    <row r="107" spans="1:12" ht="120" customHeight="1" x14ac:dyDescent="0.2">
      <c r="B107" s="93" t="s">
        <v>392</v>
      </c>
      <c r="C107" s="87">
        <v>21</v>
      </c>
      <c r="D107" s="87">
        <v>3</v>
      </c>
      <c r="E107" s="87">
        <f t="shared" si="32"/>
        <v>0.375</v>
      </c>
      <c r="G107" s="87">
        <v>6.8339999999999996</v>
      </c>
      <c r="H107" s="87">
        <f>12*(0.375/12)+48*(0.375/12)+(6.5/4)+0.131</f>
        <v>3.6310000000000002</v>
      </c>
      <c r="I107" s="87">
        <f t="shared" si="19"/>
        <v>10.465</v>
      </c>
      <c r="J107" s="91">
        <f t="shared" si="27"/>
        <v>0.375</v>
      </c>
      <c r="K107" s="91">
        <f>$I107*$C107*$J107</f>
        <v>82.411874999999995</v>
      </c>
      <c r="L107" s="91">
        <f>$K107/2204</f>
        <v>3.7391957803992737E-2</v>
      </c>
    </row>
    <row r="108" spans="1:12" ht="120" customHeight="1" x14ac:dyDescent="0.2">
      <c r="B108" s="93" t="s">
        <v>367</v>
      </c>
      <c r="C108" s="87">
        <v>12</v>
      </c>
      <c r="D108" s="87">
        <v>3</v>
      </c>
      <c r="E108" s="87">
        <f t="shared" si="32"/>
        <v>0.375</v>
      </c>
      <c r="G108" s="87">
        <f>13.5/4</f>
        <v>3.375</v>
      </c>
      <c r="H108" s="87">
        <v>0</v>
      </c>
      <c r="I108" s="87">
        <f t="shared" si="19"/>
        <v>3.375</v>
      </c>
      <c r="J108" s="91">
        <f t="shared" si="27"/>
        <v>0.375</v>
      </c>
      <c r="K108" s="91">
        <f t="shared" ref="K108" si="33">$I108*$C108*$J108</f>
        <v>15.1875</v>
      </c>
      <c r="L108" s="91">
        <f>$K108/2204</f>
        <v>6.8908802177858443E-3</v>
      </c>
    </row>
    <row r="109" spans="1:12" ht="120" customHeight="1" x14ac:dyDescent="0.2">
      <c r="B109" s="93" t="s">
        <v>368</v>
      </c>
      <c r="C109" s="87">
        <v>21</v>
      </c>
      <c r="D109" s="87">
        <v>3</v>
      </c>
      <c r="E109" s="87">
        <f t="shared" si="32"/>
        <v>0.375</v>
      </c>
      <c r="G109" s="87">
        <f>6.5/4</f>
        <v>1.625</v>
      </c>
      <c r="H109" s="87">
        <v>0</v>
      </c>
      <c r="I109" s="87">
        <f t="shared" si="19"/>
        <v>1.625</v>
      </c>
      <c r="J109" s="91">
        <f t="shared" si="27"/>
        <v>0.375</v>
      </c>
      <c r="K109" s="91">
        <f>$I109*$C109*$J109</f>
        <v>12.796875</v>
      </c>
      <c r="L109" s="91">
        <f t="shared" ref="L109:L117" si="34">$K109/2204</f>
        <v>5.8062046279491837E-3</v>
      </c>
    </row>
    <row r="110" spans="1:12" x14ac:dyDescent="0.2">
      <c r="B110" s="111" t="s">
        <v>370</v>
      </c>
      <c r="D110" s="87"/>
      <c r="E110" s="87"/>
      <c r="H110" s="87"/>
      <c r="I110" s="87"/>
      <c r="J110" s="91"/>
      <c r="K110" s="91">
        <f>SUM(K106:K109)</f>
        <v>196.86374999999998</v>
      </c>
      <c r="L110" s="91">
        <f t="shared" si="34"/>
        <v>8.932112068965517E-2</v>
      </c>
    </row>
    <row r="111" spans="1:12" x14ac:dyDescent="0.2">
      <c r="B111" s="93" t="s">
        <v>369</v>
      </c>
      <c r="D111" s="87"/>
      <c r="E111" s="87"/>
      <c r="H111" s="87"/>
      <c r="I111" s="87"/>
      <c r="J111" s="91"/>
      <c r="K111" s="91">
        <f>SUM(K106:K109)/78</f>
        <v>2.5238942307692307</v>
      </c>
      <c r="L111" s="91">
        <f>$K111/2204</f>
        <v>1.1451425729442971E-3</v>
      </c>
    </row>
    <row r="112" spans="1:12" x14ac:dyDescent="0.2">
      <c r="D112" s="87"/>
      <c r="E112" s="87"/>
      <c r="H112" s="87"/>
      <c r="I112" s="87"/>
      <c r="J112" s="91"/>
      <c r="K112" s="91"/>
      <c r="L112" s="91"/>
    </row>
    <row r="113" spans="1:12" x14ac:dyDescent="0.2">
      <c r="B113" s="111" t="s">
        <v>371</v>
      </c>
      <c r="D113" s="87"/>
      <c r="E113" s="87"/>
      <c r="H113" s="87"/>
      <c r="I113" s="87"/>
      <c r="J113" s="91"/>
      <c r="K113" s="91">
        <f>K111*13.5*6</f>
        <v>204.4354326923077</v>
      </c>
      <c r="L113" s="91">
        <f t="shared" si="34"/>
        <v>9.2756548408488071E-2</v>
      </c>
    </row>
    <row r="114" spans="1:12" x14ac:dyDescent="0.2">
      <c r="B114" s="111"/>
      <c r="D114" s="87"/>
      <c r="E114" s="87"/>
      <c r="H114" s="87"/>
      <c r="I114" s="87"/>
      <c r="J114" s="91"/>
      <c r="K114" s="91"/>
      <c r="L114" s="91"/>
    </row>
    <row r="115" spans="1:12" x14ac:dyDescent="0.2">
      <c r="B115" s="111" t="s">
        <v>372</v>
      </c>
      <c r="D115" s="87"/>
      <c r="E115" s="87"/>
      <c r="H115" s="87"/>
      <c r="I115" s="87"/>
      <c r="J115" s="91"/>
      <c r="K115" s="91">
        <f>K111*15.5*16</f>
        <v>625.92576923076922</v>
      </c>
      <c r="L115" s="91">
        <f t="shared" si="34"/>
        <v>0.28399535809018567</v>
      </c>
    </row>
    <row r="116" spans="1:12" x14ac:dyDescent="0.2">
      <c r="B116" s="108"/>
      <c r="D116" s="87"/>
      <c r="E116" s="87"/>
      <c r="H116" s="87"/>
      <c r="I116" s="87"/>
      <c r="J116" s="91"/>
      <c r="L116" s="91"/>
    </row>
    <row r="117" spans="1:12" x14ac:dyDescent="0.2">
      <c r="B117" s="113" t="s">
        <v>373</v>
      </c>
      <c r="D117" s="87"/>
      <c r="E117" s="87"/>
      <c r="H117" s="87"/>
      <c r="I117" s="87"/>
      <c r="J117" s="91"/>
      <c r="K117">
        <f>K111*7.167*4</f>
        <v>72.354999807692309</v>
      </c>
      <c r="L117" s="91">
        <f t="shared" si="34"/>
        <v>3.2828947281167108E-2</v>
      </c>
    </row>
    <row r="118" spans="1:12" x14ac:dyDescent="0.2">
      <c r="B118" s="108"/>
      <c r="D118" s="87"/>
      <c r="E118" s="87"/>
      <c r="H118" s="87"/>
      <c r="I118" s="87"/>
      <c r="J118" s="91"/>
      <c r="L118" s="91"/>
    </row>
    <row r="119" spans="1:12" x14ac:dyDescent="0.2">
      <c r="B119" s="113" t="s">
        <v>375</v>
      </c>
      <c r="D119" s="87"/>
      <c r="E119" s="87"/>
      <c r="H119" s="87"/>
      <c r="I119" s="87"/>
      <c r="J119" s="91"/>
      <c r="K119">
        <f>K111*5*6</f>
        <v>75.716826923076923</v>
      </c>
      <c r="L119" s="91">
        <f>K119/2204</f>
        <v>3.4354277188328911E-2</v>
      </c>
    </row>
    <row r="120" spans="1:12" x14ac:dyDescent="0.2">
      <c r="D120" s="87"/>
      <c r="E120" s="87"/>
      <c r="H120" s="87"/>
      <c r="I120" s="87"/>
      <c r="J120" s="91"/>
      <c r="L120" s="91"/>
    </row>
    <row r="121" spans="1:12" x14ac:dyDescent="0.2">
      <c r="B121" s="111" t="s">
        <v>398</v>
      </c>
      <c r="C121" s="87"/>
      <c r="D121" s="87"/>
      <c r="E121" s="87"/>
      <c r="G121" s="87"/>
      <c r="H121" s="87"/>
      <c r="I121" s="87"/>
      <c r="J121" s="91"/>
      <c r="K121" s="91">
        <f>K110+K113+K115+K117+K119</f>
        <v>1175.2967786538461</v>
      </c>
      <c r="L121" s="91">
        <f t="shared" ref="L121" si="35">$K121/2204</f>
        <v>0.53325625165782486</v>
      </c>
    </row>
    <row r="122" spans="1:12" x14ac:dyDescent="0.2">
      <c r="B122" s="93"/>
      <c r="C122" s="87"/>
      <c r="D122" s="87"/>
      <c r="E122" s="87"/>
      <c r="G122" s="87"/>
      <c r="H122" s="87"/>
      <c r="I122" s="87"/>
      <c r="J122" s="91"/>
      <c r="K122" s="91"/>
      <c r="L122" s="91"/>
    </row>
    <row r="123" spans="1:12" ht="18.75" x14ac:dyDescent="0.25">
      <c r="A123" s="71">
        <v>5.0999999999999996</v>
      </c>
      <c r="B123" s="86" t="s">
        <v>374</v>
      </c>
      <c r="C123" s="85"/>
      <c r="D123" s="109"/>
      <c r="E123" s="87"/>
      <c r="F123" s="71"/>
      <c r="G123" s="85"/>
      <c r="H123" s="87"/>
      <c r="I123" s="87"/>
      <c r="J123" s="91"/>
      <c r="K123" s="91"/>
      <c r="L123" s="91"/>
    </row>
    <row r="124" spans="1:12" ht="18.75" x14ac:dyDescent="0.25">
      <c r="A124" s="71"/>
      <c r="B124" s="86" t="s">
        <v>376</v>
      </c>
      <c r="C124" s="85"/>
      <c r="D124" s="109"/>
      <c r="E124" s="87"/>
      <c r="F124" s="71"/>
      <c r="G124" s="85"/>
      <c r="H124" s="87"/>
      <c r="I124" s="87"/>
      <c r="J124" s="91"/>
      <c r="K124" s="91"/>
      <c r="L124" s="91"/>
    </row>
    <row r="125" spans="1:12" ht="74.25" x14ac:dyDescent="0.2">
      <c r="B125" s="93" t="s">
        <v>366</v>
      </c>
      <c r="C125" s="87">
        <v>12</v>
      </c>
      <c r="D125" s="87">
        <v>3</v>
      </c>
      <c r="E125" s="87">
        <f t="shared" si="32"/>
        <v>0.375</v>
      </c>
      <c r="G125" s="87">
        <f>15.834</f>
        <v>15.834</v>
      </c>
      <c r="H125" s="87">
        <f>48*(0.375/12)+48*(0.375/12)+0.131+0.131</f>
        <v>3.2620000000000005</v>
      </c>
      <c r="I125" s="87">
        <f t="shared" ref="I125:I153" si="36">$G125+$H125</f>
        <v>19.096</v>
      </c>
      <c r="J125" s="91">
        <f t="shared" ref="J125:J153" si="37">($D125^2)/24</f>
        <v>0.375</v>
      </c>
      <c r="K125" s="91">
        <f>$I125*$C125*$J125</f>
        <v>85.931999999999988</v>
      </c>
      <c r="L125" s="91">
        <f>$K125/2204</f>
        <v>3.8989110707803989E-2</v>
      </c>
    </row>
    <row r="126" spans="1:12" ht="74.25" x14ac:dyDescent="0.2">
      <c r="B126" s="93" t="s">
        <v>377</v>
      </c>
      <c r="C126" s="87">
        <v>25</v>
      </c>
      <c r="D126" s="87">
        <v>3</v>
      </c>
      <c r="E126" s="87">
        <f t="shared" si="32"/>
        <v>0.375</v>
      </c>
      <c r="G126" s="87">
        <v>6.8339999999999996</v>
      </c>
      <c r="H126" s="87">
        <f>12*(0.375/12)+48*(0.375/12)+(6.5/4)+0.131</f>
        <v>3.6310000000000002</v>
      </c>
      <c r="I126" s="87">
        <f t="shared" si="36"/>
        <v>10.465</v>
      </c>
      <c r="J126" s="91">
        <f t="shared" si="37"/>
        <v>0.375</v>
      </c>
      <c r="K126" s="91">
        <f>$I126*$C126*$J126</f>
        <v>98.109375</v>
      </c>
      <c r="L126" s="91">
        <f>$K126/2204</f>
        <v>4.4514235480943735E-2</v>
      </c>
    </row>
    <row r="127" spans="1:12" ht="74.25" x14ac:dyDescent="0.2">
      <c r="B127" s="93" t="s">
        <v>367</v>
      </c>
      <c r="C127" s="87">
        <v>12</v>
      </c>
      <c r="D127" s="87">
        <v>3</v>
      </c>
      <c r="E127" s="87">
        <f t="shared" si="32"/>
        <v>0.375</v>
      </c>
      <c r="G127" s="87">
        <f>15.5/4+15.5/4</f>
        <v>7.75</v>
      </c>
      <c r="H127" s="87">
        <v>0</v>
      </c>
      <c r="I127" s="87">
        <f t="shared" si="36"/>
        <v>7.75</v>
      </c>
      <c r="J127" s="91">
        <f t="shared" si="37"/>
        <v>0.375</v>
      </c>
      <c r="K127" s="91">
        <f t="shared" ref="K127" si="38">$I127*$C127*$J127</f>
        <v>34.875</v>
      </c>
      <c r="L127" s="91">
        <f>$K127/2204</f>
        <v>1.5823502722323048E-2</v>
      </c>
    </row>
    <row r="128" spans="1:12" ht="74.25" x14ac:dyDescent="0.2">
      <c r="B128" s="93" t="s">
        <v>391</v>
      </c>
      <c r="C128" s="87">
        <v>21</v>
      </c>
      <c r="D128" s="87">
        <v>3</v>
      </c>
      <c r="E128" s="87">
        <f t="shared" si="32"/>
        <v>0.375</v>
      </c>
      <c r="G128" s="87">
        <f>6.5/4</f>
        <v>1.625</v>
      </c>
      <c r="H128" s="87">
        <v>0</v>
      </c>
      <c r="I128" s="87">
        <f t="shared" si="36"/>
        <v>1.625</v>
      </c>
      <c r="J128" s="91">
        <f t="shared" si="37"/>
        <v>0.375</v>
      </c>
      <c r="K128" s="91">
        <f>$I128*$C128*$J128</f>
        <v>12.796875</v>
      </c>
      <c r="L128" s="91">
        <f t="shared" ref="L128:L129" si="39">$K128/2204</f>
        <v>5.8062046279491837E-3</v>
      </c>
    </row>
    <row r="129" spans="2:12" x14ac:dyDescent="0.2">
      <c r="B129" s="111" t="s">
        <v>376</v>
      </c>
      <c r="C129" s="87"/>
      <c r="D129" s="87"/>
      <c r="E129" s="87"/>
      <c r="G129" s="87"/>
      <c r="H129" s="87"/>
      <c r="I129" s="87"/>
      <c r="J129" s="91"/>
      <c r="K129" s="91">
        <f>SUM(K125:K128)</f>
        <v>231.71324999999999</v>
      </c>
      <c r="L129" s="91">
        <f t="shared" si="39"/>
        <v>0.10513305353901996</v>
      </c>
    </row>
    <row r="130" spans="2:12" x14ac:dyDescent="0.2">
      <c r="B130" s="112" t="s">
        <v>369</v>
      </c>
      <c r="C130" s="87"/>
      <c r="D130" s="87"/>
      <c r="E130" s="87"/>
      <c r="G130" s="87"/>
      <c r="H130" s="87"/>
      <c r="I130" s="87"/>
      <c r="J130" s="91"/>
      <c r="K130" s="91">
        <f>SUM(K125:K128)/(195)</f>
        <v>1.1882730769230769</v>
      </c>
      <c r="L130" s="91">
        <f>$K130/2204</f>
        <v>5.391438643026665E-4</v>
      </c>
    </row>
    <row r="131" spans="2:12" x14ac:dyDescent="0.2">
      <c r="C131" s="87"/>
      <c r="D131" s="87"/>
      <c r="E131" s="87"/>
      <c r="G131" s="87"/>
      <c r="H131" s="87"/>
      <c r="I131" s="87"/>
      <c r="J131" s="91"/>
      <c r="K131" s="91"/>
      <c r="L131" s="91"/>
    </row>
    <row r="132" spans="2:12" x14ac:dyDescent="0.2">
      <c r="B132" s="111" t="s">
        <v>378</v>
      </c>
      <c r="C132" s="87"/>
      <c r="D132" s="87"/>
      <c r="E132" s="87"/>
      <c r="G132" s="87"/>
      <c r="H132" s="87"/>
      <c r="I132" s="87"/>
      <c r="J132" s="91"/>
      <c r="K132" s="91">
        <f>K130*12*8</f>
        <v>114.07421538461539</v>
      </c>
      <c r="L132" s="91">
        <f t="shared" ref="L132:L146" si="40">$K132/2204</f>
        <v>5.1757810973055984E-2</v>
      </c>
    </row>
    <row r="133" spans="2:12" x14ac:dyDescent="0.2">
      <c r="C133" s="87"/>
      <c r="D133" s="87"/>
      <c r="E133" s="87"/>
      <c r="G133" s="87"/>
      <c r="H133" s="87"/>
      <c r="I133" s="87"/>
      <c r="J133" s="91"/>
      <c r="K133" s="91"/>
      <c r="L133" s="91"/>
    </row>
    <row r="134" spans="2:12" x14ac:dyDescent="0.2">
      <c r="B134" s="111" t="s">
        <v>379</v>
      </c>
      <c r="C134" s="87"/>
      <c r="D134" s="87"/>
      <c r="E134" s="87"/>
      <c r="G134" s="87"/>
      <c r="H134" s="87"/>
      <c r="I134" s="87"/>
      <c r="J134" s="91"/>
      <c r="K134" s="91">
        <f>K130*10.75*13.5</f>
        <v>172.44813028846153</v>
      </c>
      <c r="L134" s="91">
        <f t="shared" si="40"/>
        <v>7.8243253306924471E-2</v>
      </c>
    </row>
    <row r="135" spans="2:12" x14ac:dyDescent="0.2">
      <c r="B135" s="114"/>
      <c r="C135" s="87"/>
      <c r="D135" s="87"/>
      <c r="E135" s="87"/>
      <c r="G135" s="87"/>
      <c r="H135" s="87"/>
      <c r="I135" s="87"/>
      <c r="J135" s="91"/>
      <c r="K135" s="91"/>
      <c r="L135" s="91"/>
    </row>
    <row r="136" spans="2:12" x14ac:dyDescent="0.2">
      <c r="B136" s="114" t="s">
        <v>380</v>
      </c>
      <c r="C136" s="87"/>
      <c r="D136" s="87"/>
      <c r="E136" s="87"/>
      <c r="G136" s="87"/>
      <c r="H136" s="87"/>
      <c r="I136" s="87"/>
      <c r="J136" s="91"/>
      <c r="K136" s="91">
        <f>K130*14.5*9.5</f>
        <v>163.68461634615386</v>
      </c>
      <c r="L136" s="91">
        <f t="shared" si="40"/>
        <v>7.4267067307692308E-2</v>
      </c>
    </row>
    <row r="137" spans="2:12" x14ac:dyDescent="0.2">
      <c r="C137" s="87"/>
      <c r="D137" s="87"/>
      <c r="E137" s="87"/>
      <c r="G137" s="87"/>
      <c r="H137" s="87"/>
      <c r="I137" s="87"/>
      <c r="J137" s="91"/>
      <c r="K137" s="91"/>
      <c r="L137" s="91"/>
    </row>
    <row r="138" spans="2:12" x14ac:dyDescent="0.2">
      <c r="B138" s="114" t="s">
        <v>381</v>
      </c>
      <c r="C138" s="87"/>
      <c r="D138" s="87"/>
      <c r="E138" s="87"/>
      <c r="G138" s="87"/>
      <c r="H138" s="87"/>
      <c r="I138" s="87"/>
      <c r="J138" s="91"/>
      <c r="K138" s="91">
        <f>K130*22*17</f>
        <v>444.41413076923078</v>
      </c>
      <c r="L138" s="91">
        <f t="shared" si="40"/>
        <v>0.20163980524919728</v>
      </c>
    </row>
    <row r="139" spans="2:12" x14ac:dyDescent="0.2">
      <c r="C139" s="87"/>
      <c r="D139" s="87"/>
      <c r="E139" s="87"/>
      <c r="G139" s="87"/>
      <c r="H139" s="87"/>
      <c r="I139" s="87"/>
      <c r="J139" s="91"/>
      <c r="K139" s="91"/>
      <c r="L139" s="91"/>
    </row>
    <row r="140" spans="2:12" x14ac:dyDescent="0.2">
      <c r="B140" s="114" t="s">
        <v>384</v>
      </c>
      <c r="C140" s="87"/>
      <c r="D140" s="87"/>
      <c r="E140" s="87"/>
      <c r="G140" s="87"/>
      <c r="H140" s="87"/>
      <c r="I140" s="87"/>
      <c r="J140" s="91"/>
      <c r="K140" s="91">
        <f>K130*6*16</f>
        <v>114.07421538461539</v>
      </c>
      <c r="L140" s="91">
        <f t="shared" si="40"/>
        <v>5.1757810973055984E-2</v>
      </c>
    </row>
    <row r="141" spans="2:12" x14ac:dyDescent="0.2">
      <c r="C141" s="87"/>
      <c r="D141" s="87"/>
      <c r="E141" s="87"/>
      <c r="G141" s="87"/>
      <c r="H141" s="87"/>
      <c r="I141" s="87"/>
      <c r="J141" s="91"/>
      <c r="K141" s="91"/>
      <c r="L141" s="91"/>
    </row>
    <row r="142" spans="2:12" x14ac:dyDescent="0.2">
      <c r="B142" s="114" t="s">
        <v>382</v>
      </c>
      <c r="C142" s="87"/>
      <c r="D142" s="87"/>
      <c r="E142" s="87"/>
      <c r="G142" s="87"/>
      <c r="H142" s="87"/>
      <c r="I142" s="87"/>
      <c r="J142" s="91"/>
      <c r="K142" s="91">
        <f>K130*6*16</f>
        <v>114.07421538461539</v>
      </c>
      <c r="L142" s="91">
        <f t="shared" si="40"/>
        <v>5.1757810973055984E-2</v>
      </c>
    </row>
    <row r="143" spans="2:12" x14ac:dyDescent="0.2">
      <c r="C143" s="87"/>
      <c r="D143" s="87"/>
      <c r="E143" s="87"/>
      <c r="G143" s="87"/>
      <c r="H143" s="87"/>
      <c r="I143" s="87"/>
      <c r="J143" s="91"/>
      <c r="K143" s="91"/>
      <c r="L143" s="91"/>
    </row>
    <row r="144" spans="2:12" x14ac:dyDescent="0.2">
      <c r="B144" s="114" t="s">
        <v>383</v>
      </c>
      <c r="C144" s="87"/>
      <c r="D144" s="87"/>
      <c r="E144" s="87"/>
      <c r="G144" s="87"/>
      <c r="H144" s="87"/>
      <c r="I144" s="87"/>
      <c r="J144" s="91"/>
      <c r="K144" s="91">
        <f t="shared" ref="K144" si="41">SUM(K140:K143)/78</f>
        <v>2.9249798816568049</v>
      </c>
      <c r="L144" s="91">
        <f t="shared" si="40"/>
        <v>1.3271233582834868E-3</v>
      </c>
    </row>
    <row r="145" spans="1:12" x14ac:dyDescent="0.2">
      <c r="C145" s="87"/>
      <c r="D145" s="87"/>
      <c r="E145" s="87"/>
      <c r="G145" s="87"/>
      <c r="H145" s="87"/>
      <c r="I145" s="87"/>
      <c r="J145" s="91"/>
      <c r="K145" s="91"/>
      <c r="L145" s="91"/>
    </row>
    <row r="146" spans="1:12" x14ac:dyDescent="0.2">
      <c r="B146" s="111" t="s">
        <v>394</v>
      </c>
      <c r="C146" s="87"/>
      <c r="D146" s="87"/>
      <c r="E146" s="87"/>
      <c r="G146" s="87"/>
      <c r="H146" s="87"/>
      <c r="I146" s="87"/>
      <c r="J146" s="91"/>
      <c r="K146" s="91">
        <f>K129+K132+K134+K136+K138+K140+K142+K144</f>
        <v>1357.4077534393491</v>
      </c>
      <c r="L146" s="91">
        <f t="shared" si="40"/>
        <v>0.61588373568028543</v>
      </c>
    </row>
    <row r="147" spans="1:12" x14ac:dyDescent="0.2">
      <c r="B147" s="93"/>
      <c r="C147" s="87"/>
      <c r="D147" s="87"/>
      <c r="E147" s="87"/>
      <c r="G147" s="87"/>
      <c r="H147" s="87"/>
      <c r="I147" s="87"/>
      <c r="J147" s="91"/>
      <c r="K147" s="91"/>
      <c r="L147" s="91"/>
    </row>
    <row r="148" spans="1:12" ht="18.75" x14ac:dyDescent="0.25">
      <c r="A148" s="71">
        <v>5.0999999999999996</v>
      </c>
      <c r="B148" s="86" t="s">
        <v>385</v>
      </c>
      <c r="C148" s="85"/>
      <c r="D148" s="109"/>
      <c r="E148" s="87"/>
      <c r="F148" s="71"/>
      <c r="G148" s="85"/>
      <c r="H148" s="87"/>
      <c r="I148" s="87"/>
      <c r="J148" s="91"/>
      <c r="K148" s="91"/>
      <c r="L148" s="91"/>
    </row>
    <row r="149" spans="1:12" ht="18.75" x14ac:dyDescent="0.25">
      <c r="A149" s="71"/>
      <c r="B149" s="86" t="s">
        <v>386</v>
      </c>
      <c r="C149" s="85"/>
      <c r="D149" s="109"/>
      <c r="E149" s="87"/>
      <c r="F149" s="71"/>
      <c r="G149" s="85"/>
      <c r="H149" s="87"/>
      <c r="I149" s="87"/>
      <c r="J149" s="91"/>
      <c r="K149" s="91"/>
      <c r="L149" s="91"/>
    </row>
    <row r="150" spans="1:12" ht="74.25" x14ac:dyDescent="0.2">
      <c r="B150" s="93" t="s">
        <v>387</v>
      </c>
      <c r="C150" s="87">
        <v>10</v>
      </c>
      <c r="D150" s="87">
        <v>3</v>
      </c>
      <c r="E150" s="87">
        <f t="shared" si="32"/>
        <v>0.375</v>
      </c>
      <c r="G150" s="87">
        <f>20.334</f>
        <v>20.334</v>
      </c>
      <c r="H150" s="87">
        <f>48*(0.375/12)+48*(0.375/12)+0.131+0.131</f>
        <v>3.2620000000000005</v>
      </c>
      <c r="I150" s="87">
        <f t="shared" si="36"/>
        <v>23.596</v>
      </c>
      <c r="J150" s="91">
        <f t="shared" si="37"/>
        <v>0.375</v>
      </c>
      <c r="K150" s="91">
        <f>$I150*$C150*$J150</f>
        <v>88.484999999999999</v>
      </c>
      <c r="L150" s="91">
        <f>$K150/2204</f>
        <v>4.0147459165154262E-2</v>
      </c>
    </row>
    <row r="151" spans="1:12" ht="74.25" x14ac:dyDescent="0.2">
      <c r="B151" s="93" t="s">
        <v>388</v>
      </c>
      <c r="C151" s="87">
        <v>32</v>
      </c>
      <c r="D151" s="87">
        <v>3</v>
      </c>
      <c r="E151" s="87">
        <f t="shared" si="32"/>
        <v>0.375</v>
      </c>
      <c r="G151" s="87">
        <f>5.834</f>
        <v>5.8339999999999996</v>
      </c>
      <c r="H151" s="87">
        <f>48*(0.375/12)+48*(0.375/12)+0.131+0.131</f>
        <v>3.2620000000000005</v>
      </c>
      <c r="I151" s="87">
        <f t="shared" si="36"/>
        <v>9.0960000000000001</v>
      </c>
      <c r="J151" s="91">
        <f t="shared" si="37"/>
        <v>0.375</v>
      </c>
      <c r="K151" s="91">
        <f>$I151*$C151*$J151</f>
        <v>109.152</v>
      </c>
      <c r="L151" s="91">
        <f>$K151/2204</f>
        <v>4.9524500907441017E-2</v>
      </c>
    </row>
    <row r="152" spans="1:12" ht="74.25" x14ac:dyDescent="0.2">
      <c r="B152" s="93" t="s">
        <v>389</v>
      </c>
      <c r="C152" s="87">
        <v>12</v>
      </c>
      <c r="D152" s="87">
        <v>3</v>
      </c>
      <c r="E152" s="87">
        <f t="shared" si="32"/>
        <v>0.375</v>
      </c>
      <c r="G152" s="87">
        <f>20/4+20/4</f>
        <v>10</v>
      </c>
      <c r="H152" s="87">
        <v>0</v>
      </c>
      <c r="I152" s="87">
        <f t="shared" si="36"/>
        <v>10</v>
      </c>
      <c r="J152" s="91">
        <f t="shared" si="37"/>
        <v>0.375</v>
      </c>
      <c r="K152" s="91">
        <f t="shared" ref="K152" si="42">$I152*$C152*$J152</f>
        <v>45</v>
      </c>
      <c r="L152" s="91">
        <f>$K152/2204</f>
        <v>2.0417422867513611E-2</v>
      </c>
    </row>
    <row r="153" spans="1:12" ht="74.25" x14ac:dyDescent="0.2">
      <c r="B153" s="93" t="s">
        <v>390</v>
      </c>
      <c r="C153" s="87">
        <v>21</v>
      </c>
      <c r="D153" s="87">
        <v>3</v>
      </c>
      <c r="E153" s="87">
        <f t="shared" si="32"/>
        <v>0.375</v>
      </c>
      <c r="G153" s="87">
        <f>5.5/4+5.5/4</f>
        <v>2.75</v>
      </c>
      <c r="H153" s="87">
        <v>0</v>
      </c>
      <c r="I153" s="87">
        <f t="shared" si="36"/>
        <v>2.75</v>
      </c>
      <c r="J153" s="91">
        <f t="shared" si="37"/>
        <v>0.375</v>
      </c>
      <c r="K153" s="91">
        <f>$I153*$C153*$J153</f>
        <v>21.65625</v>
      </c>
      <c r="L153" s="91">
        <f t="shared" ref="L153" si="43">$K153/2204</f>
        <v>9.8258847549909257E-3</v>
      </c>
    </row>
    <row r="154" spans="1:12" x14ac:dyDescent="0.2">
      <c r="B154" s="93" t="s">
        <v>393</v>
      </c>
      <c r="C154" s="87"/>
      <c r="D154" s="87"/>
      <c r="E154" s="87"/>
      <c r="G154" s="87"/>
      <c r="H154" s="87"/>
      <c r="I154" s="87"/>
      <c r="J154" s="91"/>
      <c r="K154" s="91">
        <f>SUM(K150:K153)</f>
        <v>264.29325</v>
      </c>
      <c r="L154" s="91">
        <f>$K154/2204</f>
        <v>0.11991526769509982</v>
      </c>
    </row>
    <row r="155" spans="1:12" x14ac:dyDescent="0.2">
      <c r="B155" s="111" t="s">
        <v>397</v>
      </c>
      <c r="C155" s="87"/>
      <c r="D155" s="87"/>
      <c r="E155" s="87"/>
      <c r="G155" s="87"/>
      <c r="H155" s="87"/>
      <c r="I155" s="87"/>
      <c r="J155" s="91"/>
      <c r="K155" s="116">
        <f>K154+K146+K121</f>
        <v>2796.9977820931954</v>
      </c>
      <c r="L155" s="116">
        <f>$K155/2204</f>
        <v>1.2690552550332102</v>
      </c>
    </row>
    <row r="156" spans="1:12" x14ac:dyDescent="0.2">
      <c r="C156" s="87"/>
      <c r="E156" s="87"/>
      <c r="G156" s="87"/>
      <c r="H156" s="87"/>
      <c r="I156" s="87"/>
      <c r="J156" s="91"/>
      <c r="K156" s="91"/>
      <c r="L156" s="91"/>
    </row>
    <row r="157" spans="1:12" ht="32.25" customHeight="1" x14ac:dyDescent="0.25">
      <c r="A157" s="71"/>
      <c r="B157" s="260" t="s">
        <v>395</v>
      </c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</row>
    <row r="158" spans="1:12" ht="43.5" customHeight="1" x14ac:dyDescent="0.2">
      <c r="B158" s="93" t="s">
        <v>396</v>
      </c>
      <c r="C158" s="87"/>
      <c r="E158" s="87"/>
      <c r="G158" s="87"/>
      <c r="H158" s="87"/>
      <c r="J158" s="91"/>
      <c r="K158" s="91">
        <f>K111*11.5*14.5</f>
        <v>420.85936298076922</v>
      </c>
      <c r="L158" s="118">
        <f>K158/2204</f>
        <v>0.19095252403846152</v>
      </c>
    </row>
    <row r="159" spans="1:12" x14ac:dyDescent="0.2">
      <c r="B159" s="114" t="s">
        <v>399</v>
      </c>
      <c r="G159" s="87"/>
      <c r="H159" s="87"/>
      <c r="J159" s="91"/>
      <c r="K159" s="119">
        <f>+K155+K158</f>
        <v>3217.8571450739646</v>
      </c>
      <c r="L159" s="117">
        <f>K159/2204</f>
        <v>1.4600077790716717</v>
      </c>
    </row>
    <row r="160" spans="1:12" x14ac:dyDescent="0.2">
      <c r="G160" s="87"/>
      <c r="H160" s="87"/>
      <c r="J160" s="91"/>
      <c r="K160" s="113"/>
      <c r="L160" s="113"/>
    </row>
    <row r="161" spans="1:12" ht="23.25" x14ac:dyDescent="0.3">
      <c r="B161" s="125" t="s">
        <v>400</v>
      </c>
      <c r="C161" s="126"/>
      <c r="D161" s="126"/>
      <c r="E161" s="126"/>
      <c r="F161" s="127"/>
      <c r="G161" s="126"/>
      <c r="H161" s="126"/>
      <c r="I161" s="126"/>
      <c r="J161" s="128"/>
      <c r="K161" s="129">
        <f>K155+K159</f>
        <v>6014.85492716716</v>
      </c>
      <c r="L161" s="129">
        <f>L155+L159</f>
        <v>2.7290630341048816</v>
      </c>
    </row>
    <row r="162" spans="1:12" x14ac:dyDescent="0.2">
      <c r="H162" s="87"/>
      <c r="J162" s="95"/>
    </row>
    <row r="163" spans="1:12" ht="32.25" customHeight="1" x14ac:dyDescent="0.25">
      <c r="A163" s="71"/>
      <c r="B163" s="261" t="s">
        <v>402</v>
      </c>
      <c r="C163" s="261"/>
      <c r="D163" s="261"/>
      <c r="E163" s="261"/>
      <c r="F163" s="261"/>
      <c r="G163" s="261"/>
      <c r="H163" s="261"/>
      <c r="I163" s="261"/>
      <c r="J163" s="261"/>
      <c r="K163" s="261"/>
      <c r="L163" s="261"/>
    </row>
    <row r="164" spans="1:12" x14ac:dyDescent="0.2">
      <c r="B164" s="114" t="s">
        <v>401</v>
      </c>
      <c r="C164" s="114" t="s">
        <v>404</v>
      </c>
      <c r="D164" s="114" t="s">
        <v>405</v>
      </c>
      <c r="E164" s="114" t="s">
        <v>405</v>
      </c>
      <c r="F164" s="114" t="s">
        <v>130</v>
      </c>
      <c r="G164" s="114" t="s">
        <v>406</v>
      </c>
      <c r="H164" s="122" t="s">
        <v>407</v>
      </c>
      <c r="I164" s="114" t="s">
        <v>408</v>
      </c>
      <c r="J164" s="119" t="s">
        <v>403</v>
      </c>
      <c r="K164" s="113" t="s">
        <v>419</v>
      </c>
      <c r="L164" s="113" t="s">
        <v>420</v>
      </c>
    </row>
    <row r="165" spans="1:12" x14ac:dyDescent="0.2">
      <c r="B165" s="93" t="s">
        <v>409</v>
      </c>
      <c r="C165" s="87">
        <v>12</v>
      </c>
      <c r="D165" s="87">
        <v>8</v>
      </c>
      <c r="E165" s="87">
        <v>8</v>
      </c>
      <c r="G165" s="87">
        <f>3.35+1.15+0.1</f>
        <v>4.5999999999999996</v>
      </c>
      <c r="H165" s="87">
        <f>9*0.008</f>
        <v>7.2000000000000008E-2</v>
      </c>
      <c r="I165" s="87">
        <f>G165+H165</f>
        <v>4.6719999999999997</v>
      </c>
      <c r="J165" s="91">
        <f>0.39</f>
        <v>0.39</v>
      </c>
      <c r="K165" s="91">
        <v>21.84</v>
      </c>
      <c r="L165" s="91">
        <f>K165/1000</f>
        <v>2.1839999999999998E-2</v>
      </c>
    </row>
    <row r="166" spans="1:12" x14ac:dyDescent="0.2">
      <c r="B166" s="93" t="s">
        <v>410</v>
      </c>
      <c r="C166" s="87">
        <v>34</v>
      </c>
      <c r="D166" s="87">
        <v>8</v>
      </c>
      <c r="E166" s="87">
        <v>8</v>
      </c>
      <c r="G166" s="87">
        <v>1.2</v>
      </c>
      <c r="H166" s="87">
        <v>0.8</v>
      </c>
      <c r="I166" s="87">
        <f>2</f>
        <v>2</v>
      </c>
      <c r="J166" s="91">
        <v>0.39</v>
      </c>
      <c r="K166" s="91">
        <v>30.42</v>
      </c>
      <c r="L166" s="91">
        <f>K166/1000</f>
        <v>3.0420000000000003E-2</v>
      </c>
    </row>
    <row r="167" spans="1:12" x14ac:dyDescent="0.2">
      <c r="B167" s="114"/>
      <c r="H167" s="87"/>
      <c r="J167" s="95"/>
    </row>
    <row r="168" spans="1:12" x14ac:dyDescent="0.2">
      <c r="B168" s="114" t="s">
        <v>413</v>
      </c>
      <c r="C168" s="115"/>
      <c r="D168" s="115"/>
      <c r="E168" s="115"/>
      <c r="F168" s="115"/>
      <c r="G168" s="115"/>
      <c r="H168" s="121"/>
      <c r="I168" s="115"/>
      <c r="J168" s="120"/>
    </row>
    <row r="169" spans="1:12" x14ac:dyDescent="0.2">
      <c r="B169" s="93" t="s">
        <v>409</v>
      </c>
      <c r="C169" s="87">
        <v>12</v>
      </c>
      <c r="D169" s="87">
        <v>8</v>
      </c>
      <c r="E169" s="87">
        <v>8</v>
      </c>
      <c r="G169" s="87">
        <f>3.35+1.15</f>
        <v>4.5</v>
      </c>
      <c r="H169" s="87">
        <v>1.1499999999999999</v>
      </c>
      <c r="I169" s="87">
        <f>G169+H169</f>
        <v>5.65</v>
      </c>
      <c r="J169" s="91">
        <f>0.39</f>
        <v>0.39</v>
      </c>
      <c r="K169" s="91">
        <v>26.44</v>
      </c>
      <c r="L169" s="91">
        <f>K169/1000</f>
        <v>2.6440000000000002E-2</v>
      </c>
    </row>
    <row r="170" spans="1:12" x14ac:dyDescent="0.2">
      <c r="B170" s="93" t="s">
        <v>410</v>
      </c>
      <c r="C170" s="87">
        <v>34</v>
      </c>
      <c r="D170" s="87">
        <v>8</v>
      </c>
      <c r="E170" s="87">
        <v>8</v>
      </c>
      <c r="G170" s="87">
        <v>1.2</v>
      </c>
      <c r="H170" s="87">
        <v>0.8</v>
      </c>
      <c r="I170" s="87">
        <f>2</f>
        <v>2</v>
      </c>
      <c r="J170" s="91">
        <v>0.39</v>
      </c>
      <c r="K170" s="91">
        <v>30.42</v>
      </c>
      <c r="L170" s="91">
        <f>K170/1000</f>
        <v>3.0420000000000003E-2</v>
      </c>
    </row>
    <row r="171" spans="1:12" x14ac:dyDescent="0.2">
      <c r="B171" s="115"/>
      <c r="H171" s="87"/>
      <c r="J171" s="95"/>
    </row>
    <row r="172" spans="1:12" x14ac:dyDescent="0.2">
      <c r="B172" s="114" t="s">
        <v>411</v>
      </c>
      <c r="C172" s="115"/>
      <c r="D172" s="115"/>
      <c r="E172" s="115"/>
      <c r="F172" s="115"/>
      <c r="G172" s="115"/>
      <c r="H172" s="121"/>
      <c r="I172" s="115"/>
      <c r="J172" s="120"/>
    </row>
    <row r="173" spans="1:12" x14ac:dyDescent="0.2">
      <c r="B173" s="93" t="s">
        <v>409</v>
      </c>
      <c r="C173" s="87">
        <v>12</v>
      </c>
      <c r="D173" s="87">
        <v>8</v>
      </c>
      <c r="E173" s="87">
        <v>8</v>
      </c>
      <c r="G173" s="87">
        <f>3.35+1.15+0.1</f>
        <v>4.5999999999999996</v>
      </c>
      <c r="H173" s="87">
        <f>9*0.008</f>
        <v>7.2000000000000008E-2</v>
      </c>
      <c r="I173" s="87">
        <f>G173+H173</f>
        <v>4.6719999999999997</v>
      </c>
      <c r="J173" s="91">
        <f>0.39</f>
        <v>0.39</v>
      </c>
      <c r="K173" s="91">
        <v>21.84</v>
      </c>
      <c r="L173" s="91">
        <f>K173/1000</f>
        <v>2.1839999999999998E-2</v>
      </c>
    </row>
    <row r="174" spans="1:12" x14ac:dyDescent="0.2">
      <c r="B174" s="93" t="s">
        <v>410</v>
      </c>
      <c r="C174" s="87">
        <v>34</v>
      </c>
      <c r="D174" s="87">
        <v>8</v>
      </c>
      <c r="E174" s="87">
        <v>8</v>
      </c>
      <c r="G174" s="87">
        <v>1.2</v>
      </c>
      <c r="H174" s="87">
        <v>0.8</v>
      </c>
      <c r="I174" s="87">
        <f>2</f>
        <v>2</v>
      </c>
      <c r="J174" s="91">
        <v>0.39</v>
      </c>
      <c r="K174" s="91">
        <v>30.42</v>
      </c>
      <c r="L174" s="91">
        <f>K174/1000</f>
        <v>3.0420000000000003E-2</v>
      </c>
    </row>
    <row r="175" spans="1:12" x14ac:dyDescent="0.2">
      <c r="B175" s="115"/>
      <c r="H175" s="87"/>
      <c r="J175" s="95"/>
    </row>
    <row r="176" spans="1:12" x14ac:dyDescent="0.2">
      <c r="B176" s="114" t="s">
        <v>412</v>
      </c>
      <c r="C176" s="115"/>
      <c r="D176" s="115"/>
      <c r="E176" s="115"/>
      <c r="F176" s="115"/>
      <c r="G176" s="115"/>
      <c r="H176" s="121"/>
      <c r="I176" s="115"/>
      <c r="J176" s="120"/>
    </row>
    <row r="177" spans="2:12" x14ac:dyDescent="0.2">
      <c r="B177" s="93" t="s">
        <v>409</v>
      </c>
      <c r="C177" s="87">
        <v>12</v>
      </c>
      <c r="D177" s="87">
        <v>8</v>
      </c>
      <c r="E177" s="87">
        <v>8</v>
      </c>
      <c r="G177" s="87">
        <f>3.35+1.15+0.1</f>
        <v>4.5999999999999996</v>
      </c>
      <c r="H177" s="87">
        <f>9*0.008</f>
        <v>7.2000000000000008E-2</v>
      </c>
      <c r="I177" s="87">
        <f>G177+H177</f>
        <v>4.6719999999999997</v>
      </c>
      <c r="J177" s="91">
        <f>0.39</f>
        <v>0.39</v>
      </c>
      <c r="K177" s="91">
        <v>21.84</v>
      </c>
      <c r="L177" s="91">
        <f>K177/1000</f>
        <v>2.1839999999999998E-2</v>
      </c>
    </row>
    <row r="178" spans="2:12" x14ac:dyDescent="0.2">
      <c r="B178" s="93" t="s">
        <v>410</v>
      </c>
      <c r="C178" s="87">
        <v>34</v>
      </c>
      <c r="D178" s="87">
        <v>8</v>
      </c>
      <c r="E178" s="87">
        <v>8</v>
      </c>
      <c r="G178" s="87">
        <v>1.2</v>
      </c>
      <c r="H178" s="87">
        <v>0.8</v>
      </c>
      <c r="I178" s="87">
        <f>2</f>
        <v>2</v>
      </c>
      <c r="J178" s="91">
        <v>0.39</v>
      </c>
      <c r="K178" s="91">
        <v>30.42</v>
      </c>
      <c r="L178" s="91">
        <f>K178/1000</f>
        <v>3.0420000000000003E-2</v>
      </c>
    </row>
    <row r="179" spans="2:12" x14ac:dyDescent="0.2">
      <c r="H179" s="87"/>
      <c r="J179" s="95"/>
    </row>
    <row r="180" spans="2:12" x14ac:dyDescent="0.2">
      <c r="B180" s="114" t="s">
        <v>416</v>
      </c>
      <c r="H180" s="87"/>
      <c r="J180" s="95"/>
    </row>
    <row r="181" spans="2:12" x14ac:dyDescent="0.2">
      <c r="B181" s="93" t="s">
        <v>415</v>
      </c>
      <c r="C181" s="87">
        <v>12</v>
      </c>
      <c r="D181" s="87">
        <v>8</v>
      </c>
      <c r="E181" s="87">
        <v>8</v>
      </c>
      <c r="G181" s="87">
        <v>2.5</v>
      </c>
      <c r="H181" s="87">
        <v>0</v>
      </c>
      <c r="I181" s="87">
        <v>2.5</v>
      </c>
      <c r="J181" s="91">
        <v>0.39</v>
      </c>
      <c r="K181" s="91">
        <v>11.23</v>
      </c>
      <c r="L181" s="91">
        <f>K181/1000</f>
        <v>1.123E-2</v>
      </c>
    </row>
    <row r="182" spans="2:12" x14ac:dyDescent="0.2">
      <c r="H182" s="87"/>
      <c r="J182" s="95"/>
    </row>
    <row r="183" spans="2:12" x14ac:dyDescent="0.2">
      <c r="B183" s="114" t="s">
        <v>414</v>
      </c>
      <c r="H183" s="87"/>
      <c r="J183" s="95"/>
    </row>
    <row r="184" spans="2:12" x14ac:dyDescent="0.2">
      <c r="B184" s="93" t="s">
        <v>415</v>
      </c>
      <c r="C184" s="87">
        <v>12</v>
      </c>
      <c r="D184" s="87">
        <v>8</v>
      </c>
      <c r="E184" s="87">
        <v>8</v>
      </c>
      <c r="G184" s="87">
        <v>2.5</v>
      </c>
      <c r="H184" s="87">
        <v>0</v>
      </c>
      <c r="I184" s="87">
        <v>2.5</v>
      </c>
      <c r="J184" s="91">
        <v>0.39</v>
      </c>
      <c r="K184" s="91">
        <v>11.23</v>
      </c>
      <c r="L184" s="91">
        <f>K184/1000</f>
        <v>1.123E-2</v>
      </c>
    </row>
    <row r="185" spans="2:12" x14ac:dyDescent="0.2">
      <c r="H185" s="87"/>
      <c r="J185" s="95"/>
    </row>
    <row r="186" spans="2:12" x14ac:dyDescent="0.2">
      <c r="B186" s="93" t="s">
        <v>417</v>
      </c>
      <c r="C186" s="87">
        <v>40</v>
      </c>
      <c r="D186" s="87">
        <v>8</v>
      </c>
      <c r="E186" s="87">
        <v>8</v>
      </c>
      <c r="G186" s="87">
        <f>0.3+0.6+0.3+0.6</f>
        <v>1.7999999999999998</v>
      </c>
      <c r="H186" s="87">
        <f>4*9*0.006+1.1</f>
        <v>1.3160000000000001</v>
      </c>
      <c r="I186" s="87">
        <f>G186+H186</f>
        <v>3.1159999999999997</v>
      </c>
      <c r="J186" s="91">
        <v>0.39</v>
      </c>
      <c r="K186" s="91">
        <f>I186*C186*J186</f>
        <v>48.609599999999993</v>
      </c>
      <c r="L186" s="91">
        <f>K186/1000</f>
        <v>4.8609599999999996E-2</v>
      </c>
    </row>
    <row r="187" spans="2:12" x14ac:dyDescent="0.2">
      <c r="H187" s="87"/>
      <c r="J187" s="95"/>
    </row>
    <row r="188" spans="2:12" x14ac:dyDescent="0.2">
      <c r="B188" s="114" t="s">
        <v>418</v>
      </c>
      <c r="H188" s="87"/>
      <c r="J188" s="95"/>
      <c r="K188" s="123">
        <f>K165+K166+K169+K170+K173+K174+K177+K178+K181+K184+K186+K186</f>
        <v>333.31919999999997</v>
      </c>
      <c r="L188" s="123">
        <f>K188/1000</f>
        <v>0.33331919999999998</v>
      </c>
    </row>
    <row r="189" spans="2:12" x14ac:dyDescent="0.2">
      <c r="H189" s="87"/>
      <c r="J189" s="95"/>
    </row>
    <row r="190" spans="2:12" x14ac:dyDescent="0.2">
      <c r="H190" s="87"/>
      <c r="J190" s="95"/>
    </row>
    <row r="191" spans="2:12" x14ac:dyDescent="0.2">
      <c r="H191" s="87"/>
      <c r="J191" s="95"/>
    </row>
    <row r="192" spans="2:12" x14ac:dyDescent="0.2">
      <c r="H192" s="87"/>
      <c r="J192" s="95"/>
    </row>
    <row r="193" spans="8:10" x14ac:dyDescent="0.2">
      <c r="H193" s="87"/>
      <c r="J193" s="95"/>
    </row>
    <row r="194" spans="8:10" x14ac:dyDescent="0.2">
      <c r="H194" s="87"/>
      <c r="J194" s="95"/>
    </row>
    <row r="195" spans="8:10" x14ac:dyDescent="0.2">
      <c r="H195" s="87"/>
      <c r="J195" s="95"/>
    </row>
    <row r="196" spans="8:10" x14ac:dyDescent="0.2">
      <c r="H196" s="87"/>
      <c r="J196" s="95"/>
    </row>
    <row r="197" spans="8:10" x14ac:dyDescent="0.2">
      <c r="H197" s="87"/>
      <c r="J197" s="95"/>
    </row>
    <row r="198" spans="8:10" x14ac:dyDescent="0.2">
      <c r="H198" s="87"/>
      <c r="J198" s="95"/>
    </row>
    <row r="199" spans="8:10" x14ac:dyDescent="0.2">
      <c r="H199" s="87"/>
      <c r="J199" s="95"/>
    </row>
    <row r="200" spans="8:10" x14ac:dyDescent="0.2">
      <c r="H200" s="87"/>
      <c r="J200" s="95"/>
    </row>
    <row r="201" spans="8:10" x14ac:dyDescent="0.2">
      <c r="H201" s="87"/>
      <c r="J201" s="95"/>
    </row>
    <row r="202" spans="8:10" x14ac:dyDescent="0.2">
      <c r="H202" s="87"/>
      <c r="J202" s="95"/>
    </row>
    <row r="203" spans="8:10" x14ac:dyDescent="0.2">
      <c r="H203" s="87"/>
      <c r="J203" s="95"/>
    </row>
    <row r="204" spans="8:10" x14ac:dyDescent="0.2">
      <c r="H204" s="87"/>
      <c r="J204" s="95"/>
    </row>
    <row r="205" spans="8:10" x14ac:dyDescent="0.2">
      <c r="H205" s="87"/>
      <c r="J205" s="95"/>
    </row>
    <row r="206" spans="8:10" x14ac:dyDescent="0.2">
      <c r="H206" s="87"/>
      <c r="J206" s="95"/>
    </row>
    <row r="207" spans="8:10" x14ac:dyDescent="0.2">
      <c r="H207" s="87"/>
      <c r="J207" s="95"/>
    </row>
    <row r="208" spans="8:10" x14ac:dyDescent="0.2">
      <c r="H208" s="87"/>
      <c r="J208" s="95"/>
    </row>
    <row r="209" spans="8:10" x14ac:dyDescent="0.2">
      <c r="H209" s="87"/>
      <c r="J209" s="95"/>
    </row>
    <row r="210" spans="8:10" x14ac:dyDescent="0.2">
      <c r="H210" s="87"/>
      <c r="J210" s="95"/>
    </row>
    <row r="211" spans="8:10" x14ac:dyDescent="0.2">
      <c r="H211" s="87"/>
      <c r="J211" s="95"/>
    </row>
    <row r="212" spans="8:10" x14ac:dyDescent="0.2">
      <c r="H212" s="87"/>
      <c r="J212" s="95"/>
    </row>
    <row r="213" spans="8:10" x14ac:dyDescent="0.2">
      <c r="H213" s="87"/>
      <c r="J213" s="95"/>
    </row>
    <row r="214" spans="8:10" x14ac:dyDescent="0.2">
      <c r="H214" s="87"/>
      <c r="J214" s="95"/>
    </row>
    <row r="215" spans="8:10" x14ac:dyDescent="0.2">
      <c r="H215" s="87"/>
      <c r="J215" s="95"/>
    </row>
    <row r="216" spans="8:10" x14ac:dyDescent="0.2">
      <c r="H216" s="87"/>
      <c r="J216" s="95"/>
    </row>
  </sheetData>
  <mergeCells count="5">
    <mergeCell ref="A1:L1"/>
    <mergeCell ref="B102:L102"/>
    <mergeCell ref="B103:L103"/>
    <mergeCell ref="B157:L157"/>
    <mergeCell ref="B163:L163"/>
  </mergeCells>
  <pageMargins left="0.7" right="0.7" top="0.75" bottom="0.75" header="0.3" footer="0.3"/>
  <pageSetup paperSize="6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1"/>
  <sheetViews>
    <sheetView workbookViewId="0">
      <selection sqref="A1:L1"/>
    </sheetView>
  </sheetViews>
  <sheetFormatPr defaultColWidth="9.01171875" defaultRowHeight="15" x14ac:dyDescent="0.2"/>
  <cols>
    <col min="1" max="1" width="6.45703125" style="138" customWidth="1"/>
    <col min="2" max="2" width="26.5" style="138" customWidth="1"/>
    <col min="3" max="3" width="13.046875" style="138" customWidth="1"/>
    <col min="4" max="4" width="15.33203125" style="138" customWidth="1"/>
    <col min="5" max="5" width="15.6015625" style="138" customWidth="1"/>
    <col min="6" max="6" width="28.25" style="138" customWidth="1"/>
    <col min="7" max="7" width="9.953125" style="138" customWidth="1"/>
    <col min="8" max="8" width="16.54296875" style="138" customWidth="1"/>
    <col min="9" max="9" width="18.5625" style="138" customWidth="1"/>
    <col min="10" max="10" width="9.01171875" style="138"/>
    <col min="11" max="11" width="14.2578125" style="138" customWidth="1"/>
    <col min="12" max="12" width="18.6953125" style="138" customWidth="1"/>
    <col min="13" max="16384" width="9.01171875" style="138"/>
  </cols>
  <sheetData>
    <row r="1" spans="1:13" ht="23.25" x14ac:dyDescent="0.3">
      <c r="A1" s="262" t="s">
        <v>174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153"/>
    </row>
    <row r="2" spans="1:13" ht="18.75" x14ac:dyDescent="0.25">
      <c r="A2" s="151" t="s">
        <v>1</v>
      </c>
      <c r="B2" s="151" t="s">
        <v>2</v>
      </c>
      <c r="C2" s="151" t="s">
        <v>3</v>
      </c>
      <c r="D2" s="151" t="s">
        <v>128</v>
      </c>
      <c r="E2" s="151" t="s">
        <v>129</v>
      </c>
      <c r="F2" s="152" t="s">
        <v>130</v>
      </c>
      <c r="G2" s="151" t="s">
        <v>131</v>
      </c>
      <c r="H2" s="151" t="s">
        <v>132</v>
      </c>
      <c r="I2" s="151" t="s">
        <v>133</v>
      </c>
      <c r="J2" s="151" t="s">
        <v>134</v>
      </c>
      <c r="K2" s="151" t="s">
        <v>135</v>
      </c>
      <c r="L2" s="151" t="s">
        <v>136</v>
      </c>
    </row>
    <row r="3" spans="1:13" ht="18.75" x14ac:dyDescent="0.25">
      <c r="A3" s="263" t="s">
        <v>175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</row>
    <row r="4" spans="1:13" ht="18.75" x14ac:dyDescent="0.25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</row>
    <row r="5" spans="1:13" ht="18.75" x14ac:dyDescent="0.25">
      <c r="A5" s="146">
        <v>1</v>
      </c>
      <c r="B5" s="149" t="s">
        <v>176</v>
      </c>
      <c r="C5" s="146"/>
      <c r="D5" s="148"/>
      <c r="E5" s="148"/>
      <c r="F5" s="146"/>
      <c r="G5" s="147"/>
      <c r="H5" s="147"/>
      <c r="I5" s="144"/>
      <c r="J5" s="147"/>
      <c r="K5" s="150"/>
      <c r="L5" s="150"/>
    </row>
    <row r="6" spans="1:13" ht="18.75" x14ac:dyDescent="0.25">
      <c r="A6" s="146">
        <v>1.1000000000000001</v>
      </c>
      <c r="B6" s="139" t="s">
        <v>82</v>
      </c>
      <c r="C6" s="146"/>
      <c r="D6" s="148"/>
      <c r="E6" s="144"/>
      <c r="F6" s="146"/>
      <c r="G6" s="147"/>
      <c r="H6" s="144"/>
      <c r="I6" s="143"/>
      <c r="J6" s="143"/>
      <c r="K6" s="143"/>
      <c r="L6" s="143"/>
    </row>
    <row r="7" spans="1:13" ht="43.9" customHeight="1" x14ac:dyDescent="0.2">
      <c r="B7" s="140" t="s">
        <v>177</v>
      </c>
      <c r="C7" s="145">
        <v>13</v>
      </c>
      <c r="D7" s="144">
        <v>3</v>
      </c>
      <c r="E7" s="144">
        <f>$D7/8</f>
        <v>0.375</v>
      </c>
      <c r="G7" s="144">
        <v>6.0833000000000004</v>
      </c>
      <c r="H7" s="144">
        <v>0.66669999999999996</v>
      </c>
      <c r="I7" s="144">
        <f>$H7+$G7</f>
        <v>6.75</v>
      </c>
      <c r="J7" s="143">
        <f>($D7^2)/24</f>
        <v>0.375</v>
      </c>
      <c r="K7" s="143">
        <f>$I7*$C7*$J7</f>
        <v>32.90625</v>
      </c>
      <c r="L7" s="143">
        <f>$K7/2204</f>
        <v>1.4930240471869329E-2</v>
      </c>
    </row>
    <row r="8" spans="1:13" ht="43.9" customHeight="1" x14ac:dyDescent="0.2">
      <c r="B8" s="140" t="s">
        <v>178</v>
      </c>
      <c r="C8" s="145">
        <v>9</v>
      </c>
      <c r="D8" s="144">
        <v>3</v>
      </c>
      <c r="E8" s="144">
        <f>$D8/8</f>
        <v>0.375</v>
      </c>
      <c r="G8" s="144">
        <v>9.0832999999999995</v>
      </c>
      <c r="H8" s="144">
        <v>0.66669999999999996</v>
      </c>
      <c r="I8" s="144">
        <f>$H8+$G8</f>
        <v>9.75</v>
      </c>
      <c r="J8" s="143">
        <f>($D8^2)/24</f>
        <v>0.375</v>
      </c>
      <c r="K8" s="143">
        <f>$I8*$C8*$J8</f>
        <v>32.90625</v>
      </c>
      <c r="L8" s="143">
        <f>$K8/2204</f>
        <v>1.4930240471869329E-2</v>
      </c>
    </row>
    <row r="9" spans="1:13" ht="43.9" customHeight="1" x14ac:dyDescent="0.2">
      <c r="B9" s="140" t="s">
        <v>179</v>
      </c>
      <c r="C9" s="145">
        <v>13</v>
      </c>
      <c r="D9" s="144">
        <v>3</v>
      </c>
      <c r="E9" s="144">
        <f>$D9/8</f>
        <v>0.375</v>
      </c>
      <c r="G9" s="144">
        <v>6.0833000000000004</v>
      </c>
      <c r="H9" s="144">
        <v>0.66669999999999996</v>
      </c>
      <c r="I9" s="144">
        <f>$H9+$G9</f>
        <v>6.75</v>
      </c>
      <c r="J9" s="143">
        <f>($D9^2)/24</f>
        <v>0.375</v>
      </c>
      <c r="K9" s="143">
        <f>$I9*$C9*$J9</f>
        <v>32.90625</v>
      </c>
      <c r="L9" s="143">
        <f>$K9/2204</f>
        <v>1.4930240471869329E-2</v>
      </c>
    </row>
    <row r="10" spans="1:13" ht="43.9" customHeight="1" x14ac:dyDescent="0.2">
      <c r="B10" s="140" t="s">
        <v>180</v>
      </c>
      <c r="C10" s="145">
        <v>9</v>
      </c>
      <c r="D10" s="144">
        <v>3</v>
      </c>
      <c r="E10" s="144">
        <f>$D10/8</f>
        <v>0.375</v>
      </c>
      <c r="G10" s="144">
        <v>9.0832999999999995</v>
      </c>
      <c r="H10" s="144">
        <v>0.66669999999999996</v>
      </c>
      <c r="I10" s="144">
        <f>$H10+$G10</f>
        <v>9.75</v>
      </c>
      <c r="J10" s="143">
        <f>($D10^2)/24</f>
        <v>0.375</v>
      </c>
      <c r="K10" s="143">
        <f>$I10*$C10*$J10</f>
        <v>32.90625</v>
      </c>
      <c r="L10" s="143">
        <f>$K10/2204</f>
        <v>1.4930240471869329E-2</v>
      </c>
    </row>
    <row r="11" spans="1:13" ht="18.75" x14ac:dyDescent="0.25">
      <c r="A11" s="146"/>
      <c r="B11" s="139" t="s">
        <v>181</v>
      </c>
      <c r="C11" s="144"/>
      <c r="E11" s="144"/>
      <c r="H11" s="144"/>
      <c r="I11" s="144"/>
      <c r="J11" s="143"/>
      <c r="K11" s="143"/>
      <c r="L11" s="143"/>
    </row>
    <row r="12" spans="1:13" ht="43.9" customHeight="1" x14ac:dyDescent="0.2">
      <c r="B12" s="140" t="s">
        <v>182</v>
      </c>
      <c r="C12" s="145">
        <v>8</v>
      </c>
      <c r="D12" s="144">
        <v>3</v>
      </c>
      <c r="E12" s="144">
        <f>$D12/8</f>
        <v>0.375</v>
      </c>
      <c r="G12" s="144">
        <v>6.0833000000000004</v>
      </c>
      <c r="H12" s="144"/>
      <c r="I12" s="144">
        <f>$H12+$G12</f>
        <v>6.0833000000000004</v>
      </c>
      <c r="J12" s="143">
        <f>($D12^2)/24</f>
        <v>0.375</v>
      </c>
      <c r="K12" s="143">
        <f>$I12*$C12*$J12</f>
        <v>18.2499</v>
      </c>
      <c r="L12" s="143">
        <f>$K12/2204</f>
        <v>8.2803539019963707E-3</v>
      </c>
    </row>
    <row r="13" spans="1:13" ht="43.9" customHeight="1" x14ac:dyDescent="0.2">
      <c r="B13" s="140" t="s">
        <v>183</v>
      </c>
      <c r="C13" s="145">
        <v>8</v>
      </c>
      <c r="D13" s="144">
        <v>3</v>
      </c>
      <c r="E13" s="144">
        <f>$D13/8</f>
        <v>0.375</v>
      </c>
      <c r="G13" s="144">
        <v>9.0832999999999995</v>
      </c>
      <c r="H13" s="144"/>
      <c r="I13" s="144">
        <f>$H13+$G13</f>
        <v>9.0832999999999995</v>
      </c>
      <c r="J13" s="143">
        <f>($D13^2)/24</f>
        <v>0.375</v>
      </c>
      <c r="K13" s="143">
        <f>$I13*$C13*$J13</f>
        <v>27.249899999999997</v>
      </c>
      <c r="L13" s="143">
        <f>$K13/2204</f>
        <v>1.2363838475499092E-2</v>
      </c>
    </row>
    <row r="14" spans="1:13" ht="18.75" x14ac:dyDescent="0.25">
      <c r="A14" s="146"/>
      <c r="B14" s="139" t="s">
        <v>184</v>
      </c>
      <c r="C14" s="144"/>
      <c r="E14" s="144"/>
      <c r="H14" s="144"/>
      <c r="I14" s="144"/>
      <c r="J14" s="143"/>
      <c r="K14" s="142">
        <f>SUM(K7:K13)</f>
        <v>177.12479999999999</v>
      </c>
      <c r="L14" s="142">
        <f>SUM(L7:L13)</f>
        <v>8.0365154264972774E-2</v>
      </c>
    </row>
    <row r="15" spans="1:13" ht="18.75" x14ac:dyDescent="0.25">
      <c r="A15" s="146">
        <v>1.2</v>
      </c>
      <c r="B15" s="139" t="s">
        <v>83</v>
      </c>
      <c r="C15" s="144"/>
      <c r="E15" s="144"/>
      <c r="H15" s="144"/>
      <c r="I15" s="144"/>
      <c r="J15" s="143"/>
      <c r="K15" s="143"/>
      <c r="L15" s="143"/>
    </row>
    <row r="16" spans="1:13" ht="43.9" customHeight="1" x14ac:dyDescent="0.2">
      <c r="B16" s="140" t="s">
        <v>177</v>
      </c>
      <c r="C16" s="145">
        <v>17</v>
      </c>
      <c r="D16" s="144">
        <v>3</v>
      </c>
      <c r="E16" s="144">
        <f>$D16/8</f>
        <v>0.375</v>
      </c>
      <c r="G16" s="144">
        <v>6.0833000000000004</v>
      </c>
      <c r="H16" s="144">
        <f>(12*$E16*2)/12</f>
        <v>0.75</v>
      </c>
      <c r="I16" s="144">
        <f>$H16+$G16</f>
        <v>6.8333000000000004</v>
      </c>
      <c r="J16" s="143">
        <f>($D16^2)/24</f>
        <v>0.375</v>
      </c>
      <c r="K16" s="143">
        <f>$I16*$C16*$J16</f>
        <v>43.562287499999996</v>
      </c>
      <c r="L16" s="143">
        <f>$K16/2204</f>
        <v>1.9765103221415607E-2</v>
      </c>
    </row>
    <row r="17" spans="1:12" ht="43.9" customHeight="1" x14ac:dyDescent="0.2">
      <c r="B17" s="140" t="s">
        <v>178</v>
      </c>
      <c r="C17" s="145">
        <v>11</v>
      </c>
      <c r="D17" s="144">
        <v>3</v>
      </c>
      <c r="E17" s="144">
        <f>$D17/8</f>
        <v>0.375</v>
      </c>
      <c r="G17" s="144">
        <v>9.0832999999999995</v>
      </c>
      <c r="H17" s="144">
        <f>(12*$E17*2)/12</f>
        <v>0.75</v>
      </c>
      <c r="I17" s="144">
        <f>$H17+$G17</f>
        <v>9.8332999999999995</v>
      </c>
      <c r="J17" s="143">
        <f>($D17^2)/24</f>
        <v>0.375</v>
      </c>
      <c r="K17" s="143">
        <f>$I17*$C17*$J17</f>
        <v>40.562362499999999</v>
      </c>
      <c r="L17" s="143">
        <f>$K17/2204</f>
        <v>1.8403975725952811E-2</v>
      </c>
    </row>
    <row r="18" spans="1:12" ht="43.9" customHeight="1" x14ac:dyDescent="0.2">
      <c r="B18" s="140" t="s">
        <v>179</v>
      </c>
      <c r="C18" s="145">
        <v>17</v>
      </c>
      <c r="D18" s="144">
        <v>3</v>
      </c>
      <c r="E18" s="144">
        <f>$D18/8</f>
        <v>0.375</v>
      </c>
      <c r="G18" s="144">
        <v>6.0833000000000004</v>
      </c>
      <c r="H18" s="144">
        <f>(12*$E18*2)/12</f>
        <v>0.75</v>
      </c>
      <c r="I18" s="144">
        <f>$H18+$G18</f>
        <v>6.8333000000000004</v>
      </c>
      <c r="J18" s="143">
        <f>($D18^2)/24</f>
        <v>0.375</v>
      </c>
      <c r="K18" s="143">
        <f>$I18*$C18*$J18</f>
        <v>43.562287499999996</v>
      </c>
      <c r="L18" s="143">
        <f>$K18/2204</f>
        <v>1.9765103221415607E-2</v>
      </c>
    </row>
    <row r="19" spans="1:12" ht="43.9" customHeight="1" x14ac:dyDescent="0.2">
      <c r="B19" s="140" t="s">
        <v>180</v>
      </c>
      <c r="C19" s="145">
        <v>11</v>
      </c>
      <c r="D19" s="144">
        <v>3</v>
      </c>
      <c r="E19" s="144">
        <f>$D19/8</f>
        <v>0.375</v>
      </c>
      <c r="G19" s="144">
        <v>9.0832999999999995</v>
      </c>
      <c r="H19" s="144">
        <f>(12*$E19*2)/12</f>
        <v>0.75</v>
      </c>
      <c r="I19" s="144">
        <f>$H19+$G19</f>
        <v>9.8332999999999995</v>
      </c>
      <c r="J19" s="143">
        <f>($D19^2)/24</f>
        <v>0.375</v>
      </c>
      <c r="K19" s="143">
        <f>$I19*$C19*$J19</f>
        <v>40.562362499999999</v>
      </c>
      <c r="L19" s="143">
        <f>$K19/2204</f>
        <v>1.8403975725952811E-2</v>
      </c>
    </row>
    <row r="20" spans="1:12" ht="18.75" x14ac:dyDescent="0.25">
      <c r="A20" s="146"/>
      <c r="B20" s="139" t="s">
        <v>181</v>
      </c>
      <c r="C20" s="144"/>
      <c r="E20" s="144"/>
      <c r="H20" s="144"/>
      <c r="I20" s="144"/>
      <c r="J20" s="143"/>
      <c r="K20" s="143"/>
      <c r="L20" s="143"/>
    </row>
    <row r="21" spans="1:12" ht="43.9" customHeight="1" x14ac:dyDescent="0.2">
      <c r="B21" s="140" t="s">
        <v>182</v>
      </c>
      <c r="C21" s="145">
        <v>8</v>
      </c>
      <c r="D21" s="144">
        <v>4</v>
      </c>
      <c r="E21" s="144">
        <f>$D21/8</f>
        <v>0.5</v>
      </c>
      <c r="G21" s="144">
        <v>6.0833000000000004</v>
      </c>
      <c r="H21" s="144"/>
      <c r="I21" s="144">
        <f>$H21+$G21</f>
        <v>6.0833000000000004</v>
      </c>
      <c r="J21" s="143">
        <f>($D21^2)/24</f>
        <v>0.66666666666666663</v>
      </c>
      <c r="K21" s="143">
        <f>$I21*$C21*$J21</f>
        <v>32.444266666666664</v>
      </c>
      <c r="L21" s="143">
        <f>$K21/2204</f>
        <v>1.4720629159104657E-2</v>
      </c>
    </row>
    <row r="22" spans="1:12" ht="43.9" customHeight="1" x14ac:dyDescent="0.2">
      <c r="B22" s="140" t="s">
        <v>183</v>
      </c>
      <c r="C22" s="145">
        <v>8</v>
      </c>
      <c r="D22" s="144">
        <v>4</v>
      </c>
      <c r="E22" s="144">
        <f>$D22/8</f>
        <v>0.5</v>
      </c>
      <c r="G22" s="144">
        <v>9.0832999999999995</v>
      </c>
      <c r="H22" s="144"/>
      <c r="I22" s="144">
        <f>$H22+$G22</f>
        <v>9.0832999999999995</v>
      </c>
      <c r="J22" s="143">
        <f>($D22^2)/24</f>
        <v>0.66666666666666663</v>
      </c>
      <c r="K22" s="143">
        <f>$I22*$C22*$J22</f>
        <v>48.444266666666664</v>
      </c>
      <c r="L22" s="143">
        <f>$K22/2204</f>
        <v>2.1980157289776165E-2</v>
      </c>
    </row>
    <row r="23" spans="1:12" x14ac:dyDescent="0.2">
      <c r="B23" s="139" t="s">
        <v>185</v>
      </c>
      <c r="C23" s="144"/>
      <c r="E23" s="144"/>
      <c r="H23" s="144"/>
      <c r="I23" s="144"/>
      <c r="J23" s="143"/>
      <c r="K23" s="142">
        <f>SUM(K16:K22)</f>
        <v>249.13783333333333</v>
      </c>
      <c r="L23" s="142">
        <f>SUM(L16:L22)</f>
        <v>0.11303894434361765</v>
      </c>
    </row>
    <row r="24" spans="1:12" ht="18.75" x14ac:dyDescent="0.25">
      <c r="A24" s="146">
        <v>1.3</v>
      </c>
      <c r="B24" s="139" t="s">
        <v>186</v>
      </c>
      <c r="C24" s="144"/>
      <c r="E24" s="144"/>
      <c r="H24" s="144"/>
      <c r="I24" s="144"/>
      <c r="J24" s="143"/>
      <c r="K24" s="143"/>
      <c r="L24" s="143"/>
    </row>
    <row r="25" spans="1:12" ht="101.45" customHeight="1" x14ac:dyDescent="0.2">
      <c r="B25" s="140" t="s">
        <v>187</v>
      </c>
      <c r="C25" s="145">
        <v>26</v>
      </c>
      <c r="D25" s="144">
        <v>3</v>
      </c>
      <c r="E25" s="144">
        <f>$D25/8</f>
        <v>0.375</v>
      </c>
      <c r="G25" s="144">
        <v>8.4167000000000005</v>
      </c>
      <c r="H25" s="144">
        <v>0.66700000000000004</v>
      </c>
      <c r="I25" s="144">
        <f>$H25+$G25</f>
        <v>9.0837000000000003</v>
      </c>
      <c r="J25" s="143">
        <f>($D25^2)/24</f>
        <v>0.375</v>
      </c>
      <c r="K25" s="143">
        <f>$I25*$C25*$J25</f>
        <v>88.566074999999998</v>
      </c>
      <c r="L25" s="143">
        <f>$K25/2204</f>
        <v>4.0184244555353903E-2</v>
      </c>
    </row>
    <row r="26" spans="1:12" ht="101.45" customHeight="1" x14ac:dyDescent="0.2">
      <c r="B26" s="140" t="s">
        <v>188</v>
      </c>
      <c r="C26" s="145">
        <v>20</v>
      </c>
      <c r="D26" s="144">
        <v>3</v>
      </c>
      <c r="E26" s="144">
        <f>$D26/8</f>
        <v>0.375</v>
      </c>
      <c r="G26" s="144">
        <v>9.0832999999999995</v>
      </c>
      <c r="H26" s="144">
        <v>0.66700000000000004</v>
      </c>
      <c r="I26" s="144">
        <f>$H26+$G26</f>
        <v>9.7502999999999993</v>
      </c>
      <c r="J26" s="143">
        <f>($D26^2)/24</f>
        <v>0.375</v>
      </c>
      <c r="K26" s="143">
        <f>$I26*$C26*$J26</f>
        <v>73.127249999999989</v>
      </c>
      <c r="L26" s="143">
        <f>$K26/2204</f>
        <v>3.3179333030852992E-2</v>
      </c>
    </row>
    <row r="27" spans="1:12" ht="101.45" customHeight="1" x14ac:dyDescent="0.2">
      <c r="B27" s="140" t="s">
        <v>189</v>
      </c>
      <c r="C27" s="145">
        <v>26</v>
      </c>
      <c r="D27" s="144">
        <v>3</v>
      </c>
      <c r="E27" s="144">
        <f>$D27/8</f>
        <v>0.375</v>
      </c>
      <c r="G27" s="144">
        <v>8.4167000000000005</v>
      </c>
      <c r="H27" s="144">
        <v>1.9167000000000001</v>
      </c>
      <c r="I27" s="144">
        <f>$H27+$G27</f>
        <v>10.333400000000001</v>
      </c>
      <c r="J27" s="143">
        <f>($D27^2)/24</f>
        <v>0.375</v>
      </c>
      <c r="K27" s="143">
        <f>$I27*$C27*$J27</f>
        <v>100.75065000000001</v>
      </c>
      <c r="L27" s="143">
        <f>$K27/2204</f>
        <v>4.5712636116152457E-2</v>
      </c>
    </row>
    <row r="28" spans="1:12" ht="101.45" customHeight="1" x14ac:dyDescent="0.2">
      <c r="B28" s="140" t="s">
        <v>190</v>
      </c>
      <c r="C28" s="145">
        <v>20</v>
      </c>
      <c r="D28" s="144">
        <v>3</v>
      </c>
      <c r="E28" s="144">
        <f>$D28/8</f>
        <v>0.375</v>
      </c>
      <c r="G28" s="144">
        <v>9.0832999999999995</v>
      </c>
      <c r="H28" s="144">
        <v>0.66700000000000004</v>
      </c>
      <c r="I28" s="144">
        <f>$H28+$G28</f>
        <v>9.7502999999999993</v>
      </c>
      <c r="J28" s="143">
        <f>($D28^2)/24</f>
        <v>0.375</v>
      </c>
      <c r="K28" s="143">
        <f>$I28*$C28*$J28</f>
        <v>73.127249999999989</v>
      </c>
      <c r="L28" s="143">
        <f>$K28/2204</f>
        <v>3.3179333030852992E-2</v>
      </c>
    </row>
    <row r="29" spans="1:12" ht="18.75" x14ac:dyDescent="0.25">
      <c r="A29" s="146"/>
      <c r="B29" s="139" t="s">
        <v>191</v>
      </c>
      <c r="C29" s="144"/>
      <c r="E29" s="144"/>
      <c r="H29" s="144"/>
      <c r="I29" s="144"/>
      <c r="J29" s="143"/>
      <c r="K29" s="142">
        <f>SUM(K25:K28)</f>
        <v>335.57122500000003</v>
      </c>
      <c r="L29" s="142">
        <f>SUM(L25:L28)</f>
        <v>0.15225554673321234</v>
      </c>
    </row>
    <row r="30" spans="1:12" ht="18.75" x14ac:dyDescent="0.25">
      <c r="A30" s="146">
        <v>1.4</v>
      </c>
      <c r="B30" s="139" t="s">
        <v>192</v>
      </c>
      <c r="C30" s="144"/>
      <c r="E30" s="144"/>
      <c r="H30" s="144"/>
      <c r="I30" s="144"/>
      <c r="J30" s="143"/>
      <c r="K30" s="143"/>
      <c r="L30" s="143"/>
    </row>
    <row r="31" spans="1:12" ht="101.45" customHeight="1" x14ac:dyDescent="0.2">
      <c r="B31" s="140" t="s">
        <v>187</v>
      </c>
      <c r="C31" s="145">
        <v>19</v>
      </c>
      <c r="D31" s="144">
        <v>3</v>
      </c>
      <c r="E31" s="144">
        <f>$D31/8</f>
        <v>0.375</v>
      </c>
      <c r="G31" s="144">
        <v>8.4167000000000005</v>
      </c>
      <c r="H31" s="144">
        <v>0.66700000000000004</v>
      </c>
      <c r="I31" s="144">
        <f>$H31+$G31</f>
        <v>9.0837000000000003</v>
      </c>
      <c r="J31" s="143">
        <f>($D31^2)/24</f>
        <v>0.375</v>
      </c>
      <c r="K31" s="143">
        <f>$I31*$C31*$J31</f>
        <v>64.721362499999998</v>
      </c>
      <c r="L31" s="143">
        <f>$K31/2204</f>
        <v>2.936540948275862E-2</v>
      </c>
    </row>
    <row r="32" spans="1:12" ht="101.45" customHeight="1" x14ac:dyDescent="0.2">
      <c r="B32" s="140" t="s">
        <v>188</v>
      </c>
      <c r="C32" s="145">
        <v>20</v>
      </c>
      <c r="D32" s="144">
        <v>3</v>
      </c>
      <c r="E32" s="144">
        <f>$D32/8</f>
        <v>0.375</v>
      </c>
      <c r="G32" s="144">
        <v>6.0833000000000004</v>
      </c>
      <c r="H32" s="144">
        <v>0.66700000000000004</v>
      </c>
      <c r="I32" s="144">
        <f>$H32+$G32</f>
        <v>6.7503000000000002</v>
      </c>
      <c r="J32" s="143">
        <f>($D32^2)/24</f>
        <v>0.375</v>
      </c>
      <c r="K32" s="143">
        <f>$I32*$C32*$J32</f>
        <v>50.627250000000004</v>
      </c>
      <c r="L32" s="143">
        <f>$K32/2204</f>
        <v>2.2970621597096192E-2</v>
      </c>
    </row>
    <row r="33" spans="1:12" ht="101.45" customHeight="1" x14ac:dyDescent="0.2">
      <c r="B33" s="140" t="s">
        <v>189</v>
      </c>
      <c r="C33" s="145">
        <v>19</v>
      </c>
      <c r="D33" s="144">
        <v>3</v>
      </c>
      <c r="E33" s="144">
        <f>$D33/8</f>
        <v>0.375</v>
      </c>
      <c r="G33" s="144">
        <v>8.4167000000000005</v>
      </c>
      <c r="H33" s="144">
        <v>1.9167000000000001</v>
      </c>
      <c r="I33" s="144">
        <f>$H33+$G33</f>
        <v>10.333400000000001</v>
      </c>
      <c r="J33" s="143">
        <f>($D33^2)/24</f>
        <v>0.375</v>
      </c>
      <c r="K33" s="143">
        <f>$I33*$C33*$J33</f>
        <v>73.625475000000009</v>
      </c>
      <c r="L33" s="143">
        <f>$K33/2204</f>
        <v>3.3405387931034487E-2</v>
      </c>
    </row>
    <row r="34" spans="1:12" ht="101.45" customHeight="1" x14ac:dyDescent="0.2">
      <c r="B34" s="140" t="s">
        <v>190</v>
      </c>
      <c r="C34" s="145">
        <v>20</v>
      </c>
      <c r="D34" s="144">
        <v>3</v>
      </c>
      <c r="E34" s="144">
        <f>$D34/8</f>
        <v>0.375</v>
      </c>
      <c r="G34" s="144">
        <v>6.0833000000000004</v>
      </c>
      <c r="H34" s="144">
        <v>0.66700000000000004</v>
      </c>
      <c r="I34" s="144">
        <f>$H34+$G34</f>
        <v>6.7503000000000002</v>
      </c>
      <c r="J34" s="143">
        <f>($D34^2)/24</f>
        <v>0.375</v>
      </c>
      <c r="K34" s="143">
        <f>$I34*$C34*$J34</f>
        <v>50.627250000000004</v>
      </c>
      <c r="L34" s="143">
        <f>$K34/2204</f>
        <v>2.2970621597096192E-2</v>
      </c>
    </row>
    <row r="35" spans="1:12" ht="18.75" x14ac:dyDescent="0.25">
      <c r="A35" s="146"/>
      <c r="B35" s="139" t="s">
        <v>193</v>
      </c>
      <c r="C35" s="144"/>
      <c r="E35" s="144"/>
      <c r="H35" s="144"/>
      <c r="I35" s="144"/>
      <c r="J35" s="143"/>
      <c r="K35" s="142">
        <f>SUM(K31:K34)</f>
        <v>239.6013375</v>
      </c>
      <c r="L35" s="142">
        <f>SUM(L31:L34)</f>
        <v>0.10871204060798549</v>
      </c>
    </row>
    <row r="36" spans="1:12" ht="18.75" x14ac:dyDescent="0.25">
      <c r="A36" s="146">
        <v>1.5</v>
      </c>
      <c r="B36" s="139" t="s">
        <v>194</v>
      </c>
      <c r="C36" s="144"/>
      <c r="E36" s="144"/>
      <c r="H36" s="144"/>
      <c r="I36" s="144"/>
      <c r="J36" s="143"/>
      <c r="K36" s="143"/>
      <c r="L36" s="143"/>
    </row>
    <row r="37" spans="1:12" ht="74.45" customHeight="1" x14ac:dyDescent="0.2">
      <c r="B37" s="140" t="s">
        <v>182</v>
      </c>
      <c r="C37" s="145">
        <v>15</v>
      </c>
      <c r="D37" s="144">
        <v>3</v>
      </c>
      <c r="E37" s="144">
        <f>$D37/8</f>
        <v>0.375</v>
      </c>
      <c r="G37" s="144">
        <v>1.5</v>
      </c>
      <c r="H37" s="144">
        <v>1.5</v>
      </c>
      <c r="I37" s="144">
        <f>$H37+$G37</f>
        <v>3</v>
      </c>
      <c r="J37" s="143">
        <f>($D37^2)/24</f>
        <v>0.375</v>
      </c>
      <c r="K37" s="143">
        <f>$I37*$C37*$J37</f>
        <v>16.875</v>
      </c>
      <c r="L37" s="143">
        <f>$K37/2204</f>
        <v>7.6565335753176044E-3</v>
      </c>
    </row>
    <row r="38" spans="1:12" ht="74.45" customHeight="1" x14ac:dyDescent="0.2">
      <c r="B38" s="140" t="s">
        <v>183</v>
      </c>
      <c r="C38" s="145">
        <v>21</v>
      </c>
      <c r="D38" s="144">
        <v>3</v>
      </c>
      <c r="E38" s="144">
        <f>$D38/8</f>
        <v>0.375</v>
      </c>
      <c r="G38" s="144">
        <v>1.5</v>
      </c>
      <c r="H38" s="144">
        <v>1.5</v>
      </c>
      <c r="I38" s="144">
        <f>$H38+$G38</f>
        <v>3</v>
      </c>
      <c r="J38" s="143">
        <f>($D38^2)/24</f>
        <v>0.375</v>
      </c>
      <c r="K38" s="143">
        <f>$I38*$C38*$J38</f>
        <v>23.625</v>
      </c>
      <c r="L38" s="143">
        <f>$K38/2204</f>
        <v>1.0719147005444647E-2</v>
      </c>
    </row>
    <row r="39" spans="1:12" x14ac:dyDescent="0.2">
      <c r="B39" s="139" t="s">
        <v>195</v>
      </c>
      <c r="E39" s="144"/>
      <c r="H39" s="144"/>
      <c r="I39" s="144"/>
      <c r="J39" s="143"/>
      <c r="K39" s="142">
        <f>SUM(K37:K38)</f>
        <v>40.5</v>
      </c>
      <c r="L39" s="142">
        <f>SUM(L37:L38)</f>
        <v>1.8375680580762249E-2</v>
      </c>
    </row>
    <row r="40" spans="1:12" ht="18.75" x14ac:dyDescent="0.25">
      <c r="A40" s="264" t="s">
        <v>196</v>
      </c>
      <c r="B40" s="264"/>
      <c r="C40" s="264"/>
      <c r="E40" s="144"/>
      <c r="H40" s="144"/>
      <c r="I40" s="144"/>
      <c r="J40" s="143"/>
      <c r="K40" s="142">
        <f>SUM(K14+K23+K29+K35+K39)</f>
        <v>1041.9351958333334</v>
      </c>
      <c r="L40" s="142">
        <f>SUM(L14+L23+L29+L35+L39)</f>
        <v>0.47274736653055049</v>
      </c>
    </row>
    <row r="41" spans="1:12" ht="18.75" x14ac:dyDescent="0.25">
      <c r="A41" s="148"/>
      <c r="B41" s="148"/>
      <c r="C41" s="148"/>
      <c r="E41" s="144"/>
      <c r="H41" s="144"/>
      <c r="I41" s="144"/>
      <c r="J41" s="143"/>
      <c r="K41" s="143"/>
      <c r="L41" s="143"/>
    </row>
    <row r="42" spans="1:12" x14ac:dyDescent="0.2">
      <c r="E42" s="144"/>
      <c r="H42" s="144"/>
      <c r="I42" s="144"/>
      <c r="J42" s="143"/>
      <c r="K42" s="143"/>
      <c r="L42" s="143"/>
    </row>
    <row r="43" spans="1:12" ht="18.75" x14ac:dyDescent="0.25">
      <c r="A43" s="146">
        <v>2</v>
      </c>
      <c r="B43" s="149" t="s">
        <v>197</v>
      </c>
      <c r="C43" s="146"/>
      <c r="D43" s="148"/>
      <c r="E43" s="144"/>
      <c r="F43" s="146"/>
      <c r="G43" s="147"/>
      <c r="H43" s="144"/>
      <c r="I43" s="144"/>
      <c r="J43" s="143"/>
      <c r="K43" s="143"/>
      <c r="L43" s="143"/>
    </row>
    <row r="44" spans="1:12" ht="18.75" x14ac:dyDescent="0.25">
      <c r="A44" s="146">
        <v>2.1</v>
      </c>
      <c r="B44" s="139" t="s">
        <v>82</v>
      </c>
      <c r="E44" s="144"/>
      <c r="H44" s="144"/>
      <c r="I44" s="144"/>
      <c r="J44" s="143"/>
      <c r="K44" s="143"/>
      <c r="L44" s="143"/>
    </row>
    <row r="45" spans="1:12" ht="43.9" customHeight="1" x14ac:dyDescent="0.2">
      <c r="B45" s="140" t="s">
        <v>177</v>
      </c>
      <c r="C45" s="145">
        <v>13</v>
      </c>
      <c r="D45" s="144">
        <v>3</v>
      </c>
      <c r="E45" s="144">
        <f>$D45/8</f>
        <v>0.375</v>
      </c>
      <c r="G45" s="144">
        <v>7.1666999999999996</v>
      </c>
      <c r="H45" s="144">
        <v>0.66700000000000004</v>
      </c>
      <c r="I45" s="144">
        <f>$H45+$G45</f>
        <v>7.8336999999999994</v>
      </c>
      <c r="J45" s="143">
        <f>($D45^2)/24</f>
        <v>0.375</v>
      </c>
      <c r="K45" s="143">
        <f>$I45*$C45*$J45</f>
        <v>38.189287499999999</v>
      </c>
      <c r="L45" s="143">
        <f>$K45/2204</f>
        <v>1.7327262931034482E-2</v>
      </c>
    </row>
    <row r="46" spans="1:12" ht="43.9" customHeight="1" x14ac:dyDescent="0.2">
      <c r="B46" s="140" t="s">
        <v>178</v>
      </c>
      <c r="C46" s="145">
        <v>14</v>
      </c>
      <c r="D46" s="144">
        <v>3</v>
      </c>
      <c r="E46" s="144">
        <f>$D46/8</f>
        <v>0.375</v>
      </c>
      <c r="G46" s="144">
        <v>7.1666999999999996</v>
      </c>
      <c r="H46" s="144">
        <v>0.66700000000000004</v>
      </c>
      <c r="I46" s="144">
        <f>$H46+$G46</f>
        <v>7.8336999999999994</v>
      </c>
      <c r="J46" s="143">
        <f>($D46^2)/24</f>
        <v>0.375</v>
      </c>
      <c r="K46" s="143">
        <f>$I46*$C46*$J46</f>
        <v>41.126925</v>
      </c>
      <c r="L46" s="143">
        <f>$K46/2204</f>
        <v>1.8660129310344827E-2</v>
      </c>
    </row>
    <row r="47" spans="1:12" ht="43.9" customHeight="1" x14ac:dyDescent="0.2">
      <c r="B47" s="140" t="s">
        <v>179</v>
      </c>
      <c r="C47" s="145">
        <v>13</v>
      </c>
      <c r="D47" s="144">
        <v>3</v>
      </c>
      <c r="E47" s="144">
        <f>$D47/8</f>
        <v>0.375</v>
      </c>
      <c r="G47" s="144">
        <v>7.1666999999999996</v>
      </c>
      <c r="H47" s="144">
        <v>0.66700000000000004</v>
      </c>
      <c r="I47" s="144">
        <f>$H47+$G47</f>
        <v>7.8336999999999994</v>
      </c>
      <c r="J47" s="143">
        <f>($D47^2)/24</f>
        <v>0.375</v>
      </c>
      <c r="K47" s="143">
        <f>$I47*$C47*$J47</f>
        <v>38.189287499999999</v>
      </c>
      <c r="L47" s="143">
        <f>$K47/2204</f>
        <v>1.7327262931034482E-2</v>
      </c>
    </row>
    <row r="48" spans="1:12" ht="43.9" customHeight="1" x14ac:dyDescent="0.2">
      <c r="B48" s="140" t="s">
        <v>180</v>
      </c>
      <c r="C48" s="145">
        <v>15</v>
      </c>
      <c r="D48" s="144">
        <v>3</v>
      </c>
      <c r="E48" s="144">
        <f>$D48/8</f>
        <v>0.375</v>
      </c>
      <c r="G48" s="144">
        <v>7.1666999999999996</v>
      </c>
      <c r="H48" s="144">
        <v>0.66700000000000004</v>
      </c>
      <c r="I48" s="144">
        <f>$H48+$G48</f>
        <v>7.8336999999999994</v>
      </c>
      <c r="J48" s="143">
        <f>($D48^2)/24</f>
        <v>0.375</v>
      </c>
      <c r="K48" s="143">
        <f>$I48*$C48*$J48</f>
        <v>44.064562500000001</v>
      </c>
      <c r="L48" s="143">
        <f>$K48/2204</f>
        <v>1.9992995689655173E-2</v>
      </c>
    </row>
    <row r="49" spans="1:12" ht="18.75" x14ac:dyDescent="0.25">
      <c r="A49" s="146"/>
      <c r="B49" s="139" t="s">
        <v>198</v>
      </c>
      <c r="C49" s="144"/>
      <c r="E49" s="144"/>
      <c r="H49" s="144"/>
      <c r="I49" s="144"/>
      <c r="J49" s="143"/>
      <c r="K49" s="142">
        <f>SUM(K45:K48)</f>
        <v>161.57006250000001</v>
      </c>
      <c r="L49" s="142">
        <f>SUM(L45:L48)</f>
        <v>7.3307650862068974E-2</v>
      </c>
    </row>
    <row r="50" spans="1:12" ht="18.75" x14ac:dyDescent="0.25">
      <c r="A50" s="146">
        <v>2.2000000000000002</v>
      </c>
      <c r="B50" s="139" t="s">
        <v>83</v>
      </c>
      <c r="C50" s="144"/>
      <c r="E50" s="144"/>
      <c r="H50" s="144"/>
      <c r="I50" s="144"/>
      <c r="J50" s="143"/>
      <c r="K50" s="143"/>
      <c r="L50" s="143"/>
    </row>
    <row r="51" spans="1:12" ht="43.9" customHeight="1" x14ac:dyDescent="0.2">
      <c r="B51" s="140" t="s">
        <v>177</v>
      </c>
      <c r="C51" s="145">
        <v>9</v>
      </c>
      <c r="D51" s="144">
        <v>3</v>
      </c>
      <c r="E51" s="144">
        <f>$D51/8</f>
        <v>0.375</v>
      </c>
      <c r="G51" s="144">
        <v>7.1666999999999996</v>
      </c>
      <c r="H51" s="144">
        <v>0.66700000000000004</v>
      </c>
      <c r="I51" s="144">
        <f>$H51+$G51</f>
        <v>7.8336999999999994</v>
      </c>
      <c r="J51" s="143">
        <f>($D51^2)/24</f>
        <v>0.375</v>
      </c>
      <c r="K51" s="143">
        <f>$I51*$C51*$J51</f>
        <v>26.438737499999998</v>
      </c>
      <c r="L51" s="143">
        <f>$K51/2204</f>
        <v>1.1995797413793103E-2</v>
      </c>
    </row>
    <row r="52" spans="1:12" ht="43.9" customHeight="1" x14ac:dyDescent="0.2">
      <c r="B52" s="140" t="s">
        <v>178</v>
      </c>
      <c r="C52" s="145">
        <v>9</v>
      </c>
      <c r="D52" s="144">
        <v>3</v>
      </c>
      <c r="E52" s="144">
        <f>$D52/8</f>
        <v>0.375</v>
      </c>
      <c r="G52" s="144">
        <v>7.1666999999999996</v>
      </c>
      <c r="H52" s="144">
        <v>0.66700000000000004</v>
      </c>
      <c r="I52" s="144">
        <f>$H52+$G52</f>
        <v>7.8336999999999994</v>
      </c>
      <c r="J52" s="143">
        <f>($D52^2)/24</f>
        <v>0.375</v>
      </c>
      <c r="K52" s="143">
        <f>$I52*$C52*$J52</f>
        <v>26.438737499999998</v>
      </c>
      <c r="L52" s="143">
        <f>$K52/2204</f>
        <v>1.1995797413793103E-2</v>
      </c>
    </row>
    <row r="53" spans="1:12" ht="43.9" customHeight="1" x14ac:dyDescent="0.2">
      <c r="B53" s="140" t="s">
        <v>179</v>
      </c>
      <c r="C53" s="145">
        <v>11</v>
      </c>
      <c r="D53" s="144">
        <v>3</v>
      </c>
      <c r="E53" s="144">
        <f>$D53/8</f>
        <v>0.375</v>
      </c>
      <c r="G53" s="144">
        <v>7.1666999999999996</v>
      </c>
      <c r="H53" s="144"/>
      <c r="I53" s="144">
        <f>$H53+$G53</f>
        <v>7.1666999999999996</v>
      </c>
      <c r="J53" s="143">
        <f>($D53^2)/24</f>
        <v>0.375</v>
      </c>
      <c r="K53" s="143">
        <f>$I53*$C53*$J53</f>
        <v>29.562637499999997</v>
      </c>
      <c r="L53" s="143">
        <f>$K53/2204</f>
        <v>1.3413174909255898E-2</v>
      </c>
    </row>
    <row r="54" spans="1:12" ht="43.9" customHeight="1" x14ac:dyDescent="0.2">
      <c r="B54" s="140"/>
      <c r="C54" s="145"/>
      <c r="D54" s="144"/>
      <c r="E54" s="144"/>
      <c r="G54" s="144"/>
      <c r="H54" s="144"/>
      <c r="I54" s="144"/>
      <c r="J54" s="143"/>
      <c r="K54" s="143"/>
      <c r="L54" s="143"/>
    </row>
    <row r="55" spans="1:12" x14ac:dyDescent="0.2">
      <c r="B55" s="139" t="s">
        <v>199</v>
      </c>
      <c r="C55" s="144"/>
      <c r="E55" s="144"/>
      <c r="H55" s="144"/>
      <c r="I55" s="144"/>
      <c r="J55" s="143"/>
      <c r="K55" s="142">
        <f>SUM(K51:K54)</f>
        <v>82.440112499999998</v>
      </c>
      <c r="L55" s="142">
        <f>SUM(L51:L54)</f>
        <v>3.7404769736842106E-2</v>
      </c>
    </row>
    <row r="56" spans="1:12" ht="18.75" x14ac:dyDescent="0.25">
      <c r="A56" s="146">
        <v>2.2999999999999998</v>
      </c>
      <c r="B56" s="139" t="s">
        <v>426</v>
      </c>
      <c r="C56" s="144"/>
      <c r="E56" s="144"/>
      <c r="H56" s="144"/>
      <c r="I56" s="144"/>
      <c r="J56" s="143"/>
      <c r="K56" s="143"/>
      <c r="L56" s="143"/>
    </row>
    <row r="57" spans="1:12" ht="101.45" customHeight="1" x14ac:dyDescent="0.2">
      <c r="B57" s="140" t="s">
        <v>187</v>
      </c>
      <c r="C57" s="145">
        <v>20</v>
      </c>
      <c r="D57" s="144">
        <v>3</v>
      </c>
      <c r="E57" s="144">
        <f>$D57/8</f>
        <v>0.375</v>
      </c>
      <c r="G57" s="144">
        <v>8.5416699999999999</v>
      </c>
      <c r="H57" s="144">
        <v>0.66700000000000004</v>
      </c>
      <c r="I57" s="144">
        <f>$H57+$G57</f>
        <v>9.2086699999999997</v>
      </c>
      <c r="J57" s="143">
        <f>($D57^2)/24</f>
        <v>0.375</v>
      </c>
      <c r="K57" s="143">
        <f>$I57*$C57*$J57</f>
        <v>69.065024999999991</v>
      </c>
      <c r="L57" s="143">
        <f>$K57/2204</f>
        <v>3.1336218239564423E-2</v>
      </c>
    </row>
    <row r="58" spans="1:12" ht="101.45" customHeight="1" x14ac:dyDescent="0.2">
      <c r="B58" s="140" t="s">
        <v>188</v>
      </c>
      <c r="C58" s="145">
        <v>14</v>
      </c>
      <c r="D58" s="144">
        <v>3</v>
      </c>
      <c r="E58" s="144">
        <f>$D58/8</f>
        <v>0.375</v>
      </c>
      <c r="G58" s="144">
        <v>7.1666999999999996</v>
      </c>
      <c r="H58" s="144">
        <v>0.66700000000000004</v>
      </c>
      <c r="I58" s="144">
        <f>$H58+$G58</f>
        <v>7.8336999999999994</v>
      </c>
      <c r="J58" s="143">
        <f>($D58^2)/24</f>
        <v>0.375</v>
      </c>
      <c r="K58" s="143">
        <f>$I58*$C58*$J58</f>
        <v>41.126925</v>
      </c>
      <c r="L58" s="143">
        <f>$K58/2204</f>
        <v>1.8660129310344827E-2</v>
      </c>
    </row>
    <row r="59" spans="1:12" ht="101.45" customHeight="1" x14ac:dyDescent="0.2">
      <c r="B59" s="140" t="s">
        <v>189</v>
      </c>
      <c r="C59" s="145">
        <v>20</v>
      </c>
      <c r="D59" s="144">
        <v>3</v>
      </c>
      <c r="E59" s="144">
        <f>$D59/8</f>
        <v>0.375</v>
      </c>
      <c r="G59" s="144">
        <v>8.5416699999999999</v>
      </c>
      <c r="H59" s="144">
        <v>2.9166699999999999</v>
      </c>
      <c r="I59" s="144">
        <f>$H59+$G59</f>
        <v>11.45834</v>
      </c>
      <c r="J59" s="143">
        <f>($D59^2)/24</f>
        <v>0.375</v>
      </c>
      <c r="K59" s="143">
        <f>$I59*$C59*$J59</f>
        <v>85.937550000000002</v>
      </c>
      <c r="L59" s="143">
        <f>$K59/2204</f>
        <v>3.899162885662432E-2</v>
      </c>
    </row>
    <row r="60" spans="1:12" ht="101.45" customHeight="1" x14ac:dyDescent="0.2">
      <c r="B60" s="140" t="s">
        <v>190</v>
      </c>
      <c r="C60" s="145">
        <v>14</v>
      </c>
      <c r="D60" s="144">
        <v>3</v>
      </c>
      <c r="E60" s="144">
        <f>$D60/8</f>
        <v>0.375</v>
      </c>
      <c r="G60" s="144">
        <v>7.1666999999999996</v>
      </c>
      <c r="H60" s="144">
        <v>0.66700000000000004</v>
      </c>
      <c r="I60" s="144">
        <f>$H60+$G60</f>
        <v>7.8336999999999994</v>
      </c>
      <c r="J60" s="143">
        <f>($D60^2)/24</f>
        <v>0.375</v>
      </c>
      <c r="K60" s="143">
        <f>$I60*$C60*$J60</f>
        <v>41.126925</v>
      </c>
      <c r="L60" s="143">
        <f>$K60/2204</f>
        <v>1.8660129310344827E-2</v>
      </c>
    </row>
    <row r="61" spans="1:12" ht="18.75" x14ac:dyDescent="0.25">
      <c r="A61" s="146"/>
      <c r="B61" s="139" t="s">
        <v>191</v>
      </c>
      <c r="C61" s="144"/>
      <c r="E61" s="144"/>
      <c r="H61" s="144"/>
      <c r="I61" s="144"/>
      <c r="J61" s="143"/>
      <c r="K61" s="142">
        <f>SUM(K57:K60)</f>
        <v>237.25642500000001</v>
      </c>
      <c r="L61" s="142">
        <f>SUM(L57:L60)</f>
        <v>0.10764810571687841</v>
      </c>
    </row>
    <row r="62" spans="1:12" ht="18.75" x14ac:dyDescent="0.25">
      <c r="A62" s="146">
        <v>2.4</v>
      </c>
      <c r="B62" s="139" t="s">
        <v>192</v>
      </c>
      <c r="C62" s="144"/>
      <c r="E62" s="144"/>
      <c r="H62" s="144"/>
      <c r="I62" s="144"/>
      <c r="J62" s="143"/>
      <c r="K62" s="143"/>
      <c r="L62" s="143"/>
    </row>
    <row r="63" spans="1:12" ht="101.45" customHeight="1" x14ac:dyDescent="0.2">
      <c r="B63" s="140" t="s">
        <v>187</v>
      </c>
      <c r="C63" s="145">
        <v>20</v>
      </c>
      <c r="D63" s="144">
        <v>3</v>
      </c>
      <c r="E63" s="144">
        <f>$D63/8</f>
        <v>0.375</v>
      </c>
      <c r="G63" s="144">
        <v>5.7916699999999999</v>
      </c>
      <c r="H63" s="144">
        <v>0.66700000000000004</v>
      </c>
      <c r="I63" s="144">
        <f>$H63+$G63</f>
        <v>6.4586699999999997</v>
      </c>
      <c r="J63" s="143">
        <f>($D63^2)/24</f>
        <v>0.375</v>
      </c>
      <c r="K63" s="143">
        <f>$I63*$C63*$J63</f>
        <v>48.440024999999991</v>
      </c>
      <c r="L63" s="143">
        <f>$K63/2204</f>
        <v>2.1978232758620687E-2</v>
      </c>
    </row>
    <row r="64" spans="1:12" ht="101.45" customHeight="1" x14ac:dyDescent="0.2">
      <c r="B64" s="140" t="s">
        <v>188</v>
      </c>
      <c r="C64" s="145">
        <v>14</v>
      </c>
      <c r="D64" s="144">
        <v>3</v>
      </c>
      <c r="E64" s="144">
        <f>$D64/8</f>
        <v>0.375</v>
      </c>
      <c r="G64" s="144">
        <v>7.1666999999999996</v>
      </c>
      <c r="H64" s="144">
        <v>0.66700000000000004</v>
      </c>
      <c r="I64" s="144">
        <f>$H64+$G64</f>
        <v>7.8336999999999994</v>
      </c>
      <c r="J64" s="143">
        <f>($D64^2)/24</f>
        <v>0.375</v>
      </c>
      <c r="K64" s="143">
        <f>$I64*$C64*$J64</f>
        <v>41.126925</v>
      </c>
      <c r="L64" s="143">
        <f>$K64/2204</f>
        <v>1.8660129310344827E-2</v>
      </c>
    </row>
    <row r="65" spans="1:12" ht="101.45" customHeight="1" x14ac:dyDescent="0.2">
      <c r="B65" s="140" t="s">
        <v>189</v>
      </c>
      <c r="C65" s="145">
        <v>20</v>
      </c>
      <c r="D65" s="144">
        <v>3</v>
      </c>
      <c r="E65" s="144">
        <f>$D65/8</f>
        <v>0.375</v>
      </c>
      <c r="G65" s="144">
        <v>5.7916699999999999</v>
      </c>
      <c r="H65" s="144">
        <v>2.9167000000000001</v>
      </c>
      <c r="I65" s="144">
        <f>$H65+$G65</f>
        <v>8.7083700000000004</v>
      </c>
      <c r="J65" s="143">
        <f>($D65^2)/24</f>
        <v>0.375</v>
      </c>
      <c r="K65" s="143">
        <f>$I65*$C65*$J65</f>
        <v>65.312775000000002</v>
      </c>
      <c r="L65" s="143">
        <f>$K65/2204</f>
        <v>2.963374546279492E-2</v>
      </c>
    </row>
    <row r="66" spans="1:12" ht="101.45" customHeight="1" x14ac:dyDescent="0.2">
      <c r="B66" s="140" t="s">
        <v>190</v>
      </c>
      <c r="C66" s="145">
        <v>14</v>
      </c>
      <c r="D66" s="144">
        <v>3</v>
      </c>
      <c r="E66" s="144">
        <f>$D66/8</f>
        <v>0.375</v>
      </c>
      <c r="G66" s="144">
        <v>7.1666999999999996</v>
      </c>
      <c r="H66" s="144">
        <v>0.66700000000000004</v>
      </c>
      <c r="I66" s="144">
        <f>$H66+$G66</f>
        <v>7.8336999999999994</v>
      </c>
      <c r="J66" s="143">
        <f>($D66^2)/24</f>
        <v>0.375</v>
      </c>
      <c r="K66" s="143">
        <f>$I66*$C66*$J66</f>
        <v>41.126925</v>
      </c>
      <c r="L66" s="143">
        <f>$K66/2204</f>
        <v>1.8660129310344827E-2</v>
      </c>
    </row>
    <row r="67" spans="1:12" ht="18.75" x14ac:dyDescent="0.25">
      <c r="A67" s="146"/>
      <c r="B67" s="139" t="s">
        <v>193</v>
      </c>
      <c r="C67" s="144"/>
      <c r="E67" s="144"/>
      <c r="H67" s="144"/>
      <c r="I67" s="144"/>
      <c r="J67" s="143"/>
      <c r="K67" s="142">
        <f>SUM(K63:K66)</f>
        <v>196.00665000000001</v>
      </c>
      <c r="L67" s="142">
        <f>SUM(L63:L66)</f>
        <v>8.8932236842105258E-2</v>
      </c>
    </row>
    <row r="68" spans="1:12" ht="36" customHeight="1" x14ac:dyDescent="0.25">
      <c r="A68" s="146">
        <v>2.5</v>
      </c>
      <c r="B68" s="139" t="s">
        <v>200</v>
      </c>
      <c r="C68" s="145">
        <v>16</v>
      </c>
      <c r="D68" s="138">
        <v>4</v>
      </c>
      <c r="E68" s="144">
        <f>$D68/8</f>
        <v>0.5</v>
      </c>
      <c r="G68" s="138">
        <v>7.1666999999999996</v>
      </c>
      <c r="H68" s="144"/>
      <c r="I68" s="144">
        <f>$H68+$G68</f>
        <v>7.1666999999999996</v>
      </c>
      <c r="J68" s="143">
        <f>($D68^2)/24</f>
        <v>0.66666666666666663</v>
      </c>
      <c r="K68" s="142">
        <f>$I68*$C68*$J68</f>
        <v>76.444799999999987</v>
      </c>
      <c r="L68" s="142">
        <f>$K68/2204</f>
        <v>3.4684573502722318E-2</v>
      </c>
    </row>
    <row r="69" spans="1:12" ht="18.75" x14ac:dyDescent="0.25">
      <c r="A69" s="264" t="s">
        <v>201</v>
      </c>
      <c r="B69" s="264"/>
      <c r="C69" s="264"/>
      <c r="K69" s="141">
        <f>SUM(K68+K67+K61+K55+K49)</f>
        <v>753.71804999999995</v>
      </c>
      <c r="L69" s="141">
        <f>SUM(L68+L67+L61+L55+L49)</f>
        <v>0.34197733666061708</v>
      </c>
    </row>
    <row r="70" spans="1:12" x14ac:dyDescent="0.2">
      <c r="B70" s="140"/>
    </row>
    <row r="71" spans="1:12" x14ac:dyDescent="0.2">
      <c r="B71" s="139"/>
    </row>
  </sheetData>
  <mergeCells count="4">
    <mergeCell ref="A1:L1"/>
    <mergeCell ref="A3:L3"/>
    <mergeCell ref="A40:C40"/>
    <mergeCell ref="A69:C6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6"/>
  <sheetViews>
    <sheetView topLeftCell="C1" workbookViewId="0">
      <selection activeCell="I24" sqref="I24"/>
    </sheetView>
  </sheetViews>
  <sheetFormatPr defaultColWidth="9.14453125" defaultRowHeight="15" x14ac:dyDescent="0.2"/>
  <cols>
    <col min="1" max="1" width="9.14453125" style="154"/>
    <col min="2" max="2" width="26.09765625" style="154" customWidth="1"/>
    <col min="3" max="3" width="10.89453125" style="154" customWidth="1"/>
    <col min="4" max="4" width="14.390625" style="154" customWidth="1"/>
    <col min="5" max="5" width="14.9296875" style="154" customWidth="1"/>
    <col min="6" max="6" width="12.9140625" style="154" customWidth="1"/>
    <col min="7" max="7" width="16.94921875" style="154" customWidth="1"/>
    <col min="8" max="8" width="22.59765625" style="154" customWidth="1"/>
    <col min="9" max="16384" width="9.14453125" style="154"/>
  </cols>
  <sheetData>
    <row r="1" spans="1:8" ht="23.25" x14ac:dyDescent="0.3">
      <c r="A1" s="265" t="s">
        <v>0</v>
      </c>
      <c r="B1" s="265"/>
      <c r="C1" s="265"/>
      <c r="D1" s="265"/>
      <c r="E1" s="265"/>
      <c r="F1" s="265"/>
      <c r="G1" s="265"/>
      <c r="H1" s="265"/>
    </row>
    <row r="2" spans="1:8" ht="18.75" x14ac:dyDescent="0.25">
      <c r="A2" s="167" t="s">
        <v>1</v>
      </c>
      <c r="B2" s="167" t="s">
        <v>2</v>
      </c>
      <c r="C2" s="167" t="s">
        <v>3</v>
      </c>
      <c r="D2" s="167" t="s">
        <v>4</v>
      </c>
      <c r="E2" s="167" t="s">
        <v>5</v>
      </c>
      <c r="F2" s="167" t="s">
        <v>6</v>
      </c>
      <c r="G2" s="167" t="s">
        <v>478</v>
      </c>
      <c r="H2" s="167" t="s">
        <v>477</v>
      </c>
    </row>
    <row r="4" spans="1:8" x14ac:dyDescent="0.2">
      <c r="A4" s="164">
        <v>1</v>
      </c>
      <c r="B4" s="164" t="s">
        <v>476</v>
      </c>
      <c r="C4" s="164"/>
      <c r="D4" s="164"/>
      <c r="E4" s="164"/>
      <c r="F4" s="164"/>
      <c r="G4" s="164"/>
      <c r="H4" s="164"/>
    </row>
    <row r="5" spans="1:8" x14ac:dyDescent="0.2">
      <c r="A5" s="154">
        <v>1.1000000000000001</v>
      </c>
      <c r="B5" s="154" t="s">
        <v>451</v>
      </c>
    </row>
    <row r="6" spans="1:8" x14ac:dyDescent="0.2">
      <c r="A6" s="154" t="s">
        <v>475</v>
      </c>
      <c r="B6" s="154" t="s">
        <v>449</v>
      </c>
      <c r="C6" s="154">
        <v>5</v>
      </c>
      <c r="D6" s="154">
        <v>18.5</v>
      </c>
      <c r="G6" s="154">
        <f>D6</f>
        <v>18.5</v>
      </c>
      <c r="H6" s="154">
        <f>C6*D6</f>
        <v>92.5</v>
      </c>
    </row>
    <row r="7" spans="1:8" x14ac:dyDescent="0.2">
      <c r="A7" s="154" t="s">
        <v>474</v>
      </c>
      <c r="B7" s="154" t="s">
        <v>447</v>
      </c>
      <c r="C7" s="154">
        <v>10</v>
      </c>
      <c r="D7" s="154">
        <v>17.5</v>
      </c>
      <c r="G7" s="154">
        <f>D7</f>
        <v>17.5</v>
      </c>
      <c r="H7" s="154">
        <f>C7*D7</f>
        <v>175</v>
      </c>
    </row>
    <row r="8" spans="1:8" x14ac:dyDescent="0.2">
      <c r="A8" s="154" t="s">
        <v>466</v>
      </c>
      <c r="B8" s="154" t="s">
        <v>445</v>
      </c>
      <c r="C8" s="154">
        <v>3</v>
      </c>
      <c r="D8" s="154">
        <v>17</v>
      </c>
      <c r="G8" s="154">
        <f>D8</f>
        <v>17</v>
      </c>
      <c r="H8" s="154">
        <f>C8*D8</f>
        <v>51</v>
      </c>
    </row>
    <row r="9" spans="1:8" x14ac:dyDescent="0.2">
      <c r="A9" s="154" t="s">
        <v>473</v>
      </c>
      <c r="B9" s="154" t="s">
        <v>443</v>
      </c>
      <c r="C9" s="154">
        <v>9</v>
      </c>
      <c r="D9" s="154">
        <f>16.5</f>
        <v>16.5</v>
      </c>
      <c r="G9" s="154">
        <f>D9</f>
        <v>16.5</v>
      </c>
      <c r="H9" s="154">
        <f>C9*D9</f>
        <v>148.5</v>
      </c>
    </row>
    <row r="10" spans="1:8" x14ac:dyDescent="0.2">
      <c r="A10" s="154" t="s">
        <v>472</v>
      </c>
      <c r="B10" s="154" t="s">
        <v>441</v>
      </c>
      <c r="C10" s="154">
        <v>2</v>
      </c>
      <c r="D10" s="154">
        <v>23.5</v>
      </c>
      <c r="G10" s="154">
        <f>D10</f>
        <v>23.5</v>
      </c>
      <c r="H10" s="154">
        <f>C10*D10</f>
        <v>47</v>
      </c>
    </row>
    <row r="12" spans="1:8" x14ac:dyDescent="0.2">
      <c r="A12" s="154">
        <v>1.2</v>
      </c>
      <c r="B12" s="154" t="s">
        <v>440</v>
      </c>
    </row>
    <row r="13" spans="1:8" x14ac:dyDescent="0.2">
      <c r="A13" s="154" t="s">
        <v>471</v>
      </c>
      <c r="B13" s="154" t="s">
        <v>438</v>
      </c>
      <c r="C13" s="154">
        <v>1</v>
      </c>
      <c r="D13" s="154">
        <v>28</v>
      </c>
      <c r="G13" s="154">
        <f>D13</f>
        <v>28</v>
      </c>
      <c r="H13" s="154">
        <f>C13*D13</f>
        <v>28</v>
      </c>
    </row>
    <row r="14" spans="1:8" x14ac:dyDescent="0.2">
      <c r="A14" s="154" t="s">
        <v>470</v>
      </c>
      <c r="B14" s="154" t="s">
        <v>436</v>
      </c>
      <c r="C14" s="154">
        <v>6</v>
      </c>
      <c r="D14" s="154">
        <v>24</v>
      </c>
      <c r="G14" s="154">
        <f>D14</f>
        <v>24</v>
      </c>
      <c r="H14" s="154">
        <f>C14*D14</f>
        <v>144</v>
      </c>
    </row>
    <row r="15" spans="1:8" x14ac:dyDescent="0.2">
      <c r="A15" s="154" t="s">
        <v>469</v>
      </c>
      <c r="B15" s="154" t="s">
        <v>434</v>
      </c>
      <c r="C15" s="154">
        <v>4</v>
      </c>
      <c r="D15" s="154">
        <v>18</v>
      </c>
      <c r="G15" s="154">
        <f>D15</f>
        <v>18</v>
      </c>
      <c r="H15" s="154">
        <f>C15*D15</f>
        <v>72</v>
      </c>
    </row>
    <row r="16" spans="1:8" x14ac:dyDescent="0.2">
      <c r="A16" s="154" t="s">
        <v>468</v>
      </c>
      <c r="B16" s="154" t="s">
        <v>432</v>
      </c>
      <c r="C16" s="154">
        <v>2</v>
      </c>
      <c r="D16" s="154">
        <v>27</v>
      </c>
      <c r="G16" s="154">
        <f>D16</f>
        <v>27</v>
      </c>
      <c r="H16" s="154">
        <f>C16*D16</f>
        <v>54</v>
      </c>
    </row>
    <row r="17" spans="1:9" x14ac:dyDescent="0.2">
      <c r="A17" s="154" t="s">
        <v>467</v>
      </c>
      <c r="B17" s="154" t="s">
        <v>430</v>
      </c>
      <c r="C17" s="154">
        <v>4</v>
      </c>
      <c r="D17" s="154">
        <v>16</v>
      </c>
      <c r="G17" s="154">
        <f>D17</f>
        <v>16</v>
      </c>
      <c r="H17" s="154">
        <f>C17*D17</f>
        <v>64</v>
      </c>
    </row>
    <row r="19" spans="1:9" x14ac:dyDescent="0.2">
      <c r="A19" s="154">
        <v>1.3</v>
      </c>
      <c r="B19" s="154" t="s">
        <v>429</v>
      </c>
    </row>
    <row r="20" spans="1:9" x14ac:dyDescent="0.2">
      <c r="A20" s="154" t="s">
        <v>466</v>
      </c>
      <c r="B20" s="154" t="s">
        <v>427</v>
      </c>
      <c r="C20" s="154">
        <v>12</v>
      </c>
      <c r="D20" s="154">
        <v>7</v>
      </c>
      <c r="G20" s="154">
        <f>D20</f>
        <v>7</v>
      </c>
      <c r="H20" s="154">
        <f>C20*D20</f>
        <v>84</v>
      </c>
    </row>
    <row r="21" spans="1:9" x14ac:dyDescent="0.2">
      <c r="B21" s="166"/>
    </row>
    <row r="22" spans="1:9" x14ac:dyDescent="0.2">
      <c r="B22" s="165" t="s">
        <v>126</v>
      </c>
      <c r="C22" s="162"/>
      <c r="D22" s="162"/>
      <c r="E22" s="162"/>
      <c r="F22" s="162"/>
      <c r="G22" s="162"/>
      <c r="H22" s="161">
        <f>SUM(H6:H20)</f>
        <v>960</v>
      </c>
    </row>
    <row r="23" spans="1:9" x14ac:dyDescent="0.2">
      <c r="G23" s="154" t="s">
        <v>346</v>
      </c>
      <c r="H23" s="154" t="s">
        <v>346</v>
      </c>
    </row>
    <row r="24" spans="1:9" x14ac:dyDescent="0.2">
      <c r="A24" s="164">
        <v>2</v>
      </c>
      <c r="B24" s="164" t="s">
        <v>465</v>
      </c>
      <c r="C24" s="164"/>
      <c r="D24" s="164"/>
      <c r="E24" s="164"/>
      <c r="F24" s="164"/>
      <c r="G24" s="164"/>
      <c r="H24" s="164"/>
      <c r="I24"/>
    </row>
    <row r="25" spans="1:9" x14ac:dyDescent="0.2">
      <c r="A25" s="154">
        <v>2.1</v>
      </c>
      <c r="B25" s="154" t="s">
        <v>451</v>
      </c>
    </row>
    <row r="26" spans="1:9" x14ac:dyDescent="0.2">
      <c r="A26" s="154" t="s">
        <v>464</v>
      </c>
      <c r="B26" s="154" t="s">
        <v>449</v>
      </c>
      <c r="C26" s="154">
        <v>5</v>
      </c>
      <c r="D26" s="154">
        <v>4.25</v>
      </c>
      <c r="F26" s="154">
        <v>6.75</v>
      </c>
      <c r="G26" s="154">
        <f>D26*F26</f>
        <v>28.6875</v>
      </c>
      <c r="H26" s="154">
        <f>C26*G26</f>
        <v>143.4375</v>
      </c>
    </row>
    <row r="27" spans="1:9" x14ac:dyDescent="0.2">
      <c r="A27" s="154" t="s">
        <v>463</v>
      </c>
      <c r="B27" s="154" t="s">
        <v>447</v>
      </c>
      <c r="C27" s="154">
        <v>10</v>
      </c>
      <c r="D27" s="154">
        <v>3.25</v>
      </c>
      <c r="F27" s="154">
        <v>6.75</v>
      </c>
      <c r="G27" s="154">
        <f>D27*F27</f>
        <v>21.9375</v>
      </c>
      <c r="H27" s="154">
        <f>C27*G27</f>
        <v>219.375</v>
      </c>
    </row>
    <row r="28" spans="1:9" x14ac:dyDescent="0.2">
      <c r="A28" s="154" t="s">
        <v>462</v>
      </c>
      <c r="B28" s="154" t="s">
        <v>445</v>
      </c>
      <c r="C28" s="154">
        <v>3</v>
      </c>
      <c r="D28" s="154">
        <v>2.75</v>
      </c>
      <c r="F28" s="154">
        <v>6.75</v>
      </c>
      <c r="G28" s="154">
        <f>D28*F28</f>
        <v>18.5625</v>
      </c>
      <c r="H28" s="154">
        <f>C28*G28</f>
        <v>55.6875</v>
      </c>
    </row>
    <row r="29" spans="1:9" x14ac:dyDescent="0.2">
      <c r="A29" s="154" t="s">
        <v>461</v>
      </c>
      <c r="B29" s="154" t="s">
        <v>443</v>
      </c>
      <c r="C29" s="154">
        <v>9</v>
      </c>
      <c r="D29" s="154">
        <v>2.25</v>
      </c>
      <c r="F29" s="154">
        <v>6.75</v>
      </c>
      <c r="G29" s="154">
        <f>D29*F29</f>
        <v>15.1875</v>
      </c>
      <c r="H29" s="154">
        <f>C29*G29</f>
        <v>136.6875</v>
      </c>
    </row>
    <row r="30" spans="1:9" x14ac:dyDescent="0.2">
      <c r="A30" s="154" t="s">
        <v>460</v>
      </c>
      <c r="B30" s="154" t="s">
        <v>441</v>
      </c>
      <c r="C30" s="154">
        <v>4</v>
      </c>
      <c r="D30" s="154">
        <v>4.75</v>
      </c>
      <c r="F30" s="154">
        <v>6.75</v>
      </c>
      <c r="G30" s="154">
        <f>D30*F30</f>
        <v>32.0625</v>
      </c>
      <c r="H30" s="154">
        <f>C30*G30</f>
        <v>128.25</v>
      </c>
    </row>
    <row r="32" spans="1:9" x14ac:dyDescent="0.2">
      <c r="A32" s="154">
        <v>2.2000000000000002</v>
      </c>
      <c r="B32" s="154" t="s">
        <v>440</v>
      </c>
    </row>
    <row r="33" spans="1:8" x14ac:dyDescent="0.2">
      <c r="A33" s="154" t="s">
        <v>252</v>
      </c>
      <c r="B33" s="154" t="s">
        <v>438</v>
      </c>
      <c r="C33" s="154">
        <v>3</v>
      </c>
      <c r="D33" s="154">
        <v>3.33</v>
      </c>
      <c r="F33" s="154">
        <v>3.75</v>
      </c>
      <c r="G33" s="154">
        <f>F33*D33</f>
        <v>12.487500000000001</v>
      </c>
      <c r="H33" s="154">
        <f>G33*C33</f>
        <v>37.462500000000006</v>
      </c>
    </row>
    <row r="34" spans="1:8" x14ac:dyDescent="0.2">
      <c r="A34" s="154" t="s">
        <v>268</v>
      </c>
      <c r="B34" s="154" t="s">
        <v>436</v>
      </c>
      <c r="C34" s="154">
        <v>12</v>
      </c>
      <c r="D34" s="154">
        <v>4</v>
      </c>
      <c r="F34" s="154">
        <v>3.75</v>
      </c>
      <c r="G34" s="154">
        <f>F34*D34</f>
        <v>15</v>
      </c>
      <c r="H34" s="154">
        <f>G34*C34</f>
        <v>180</v>
      </c>
    </row>
    <row r="35" spans="1:8" x14ac:dyDescent="0.2">
      <c r="A35" s="154" t="s">
        <v>272</v>
      </c>
      <c r="B35" s="154" t="s">
        <v>434</v>
      </c>
      <c r="C35" s="154">
        <v>8</v>
      </c>
      <c r="D35" s="154">
        <v>5</v>
      </c>
      <c r="F35" s="154">
        <v>3.75</v>
      </c>
      <c r="G35" s="154">
        <f>F35*D35</f>
        <v>18.75</v>
      </c>
      <c r="H35" s="154">
        <f>G35*C35</f>
        <v>150</v>
      </c>
    </row>
    <row r="36" spans="1:8" x14ac:dyDescent="0.2">
      <c r="A36" s="154" t="s">
        <v>274</v>
      </c>
      <c r="B36" s="154" t="s">
        <v>432</v>
      </c>
      <c r="C36" s="154">
        <v>4</v>
      </c>
      <c r="D36" s="154">
        <v>4.75</v>
      </c>
      <c r="F36" s="154">
        <v>3.75</v>
      </c>
      <c r="G36" s="154">
        <f>F36*D36</f>
        <v>17.8125</v>
      </c>
      <c r="H36" s="154">
        <f>G36*C36</f>
        <v>71.25</v>
      </c>
    </row>
    <row r="37" spans="1:8" x14ac:dyDescent="0.2">
      <c r="A37" s="154" t="s">
        <v>459</v>
      </c>
      <c r="B37" s="154" t="s">
        <v>430</v>
      </c>
      <c r="C37" s="154">
        <v>8</v>
      </c>
      <c r="D37" s="154">
        <v>2</v>
      </c>
      <c r="F37" s="154">
        <v>3.75</v>
      </c>
      <c r="G37" s="154">
        <f>F37*D37</f>
        <v>7.5</v>
      </c>
      <c r="H37" s="154">
        <f>G37*C37</f>
        <v>60</v>
      </c>
    </row>
    <row r="39" spans="1:8" x14ac:dyDescent="0.2">
      <c r="A39" s="154">
        <v>2.2999999999999998</v>
      </c>
      <c r="B39" s="154" t="s">
        <v>429</v>
      </c>
    </row>
    <row r="40" spans="1:8" x14ac:dyDescent="0.2">
      <c r="A40" s="154" t="s">
        <v>278</v>
      </c>
      <c r="B40" s="154" t="s">
        <v>427</v>
      </c>
      <c r="C40" s="154">
        <v>12</v>
      </c>
      <c r="D40" s="154">
        <v>2</v>
      </c>
      <c r="F40" s="154">
        <v>1.25</v>
      </c>
      <c r="G40" s="154">
        <f>F40*D40</f>
        <v>2.5</v>
      </c>
      <c r="H40" s="154">
        <f>G40*C40</f>
        <v>30</v>
      </c>
    </row>
    <row r="42" spans="1:8" x14ac:dyDescent="0.2">
      <c r="A42" s="154">
        <v>2.4</v>
      </c>
      <c r="B42" s="154" t="s">
        <v>458</v>
      </c>
    </row>
    <row r="43" spans="1:8" x14ac:dyDescent="0.2">
      <c r="A43" s="154" t="s">
        <v>457</v>
      </c>
      <c r="B43" s="154" t="s">
        <v>456</v>
      </c>
      <c r="C43" s="154">
        <v>1</v>
      </c>
      <c r="D43" s="154">
        <v>3.75</v>
      </c>
      <c r="E43" s="154">
        <v>7</v>
      </c>
      <c r="G43" s="154">
        <f>E43*D43</f>
        <v>26.25</v>
      </c>
      <c r="H43" s="154">
        <f>G43*C43</f>
        <v>26.25</v>
      </c>
    </row>
    <row r="44" spans="1:8" x14ac:dyDescent="0.2">
      <c r="A44" s="154" t="s">
        <v>455</v>
      </c>
      <c r="B44" s="154" t="s">
        <v>454</v>
      </c>
      <c r="C44" s="154">
        <v>1</v>
      </c>
      <c r="D44" s="154">
        <v>13</v>
      </c>
      <c r="E44" s="154">
        <v>7</v>
      </c>
      <c r="G44" s="154">
        <f>E44*D44</f>
        <v>91</v>
      </c>
      <c r="H44" s="154">
        <f>G44*C44</f>
        <v>91</v>
      </c>
    </row>
    <row r="46" spans="1:8" ht="18.75" x14ac:dyDescent="0.2">
      <c r="B46" s="163" t="s">
        <v>126</v>
      </c>
      <c r="C46" s="162"/>
      <c r="D46" s="162"/>
      <c r="E46" s="162"/>
      <c r="F46" s="162"/>
      <c r="G46" s="162"/>
      <c r="H46" s="161">
        <f>SUM(H26:H44)</f>
        <v>1329.4</v>
      </c>
    </row>
    <row r="47" spans="1:8" ht="18.75" x14ac:dyDescent="0.2">
      <c r="B47" s="160"/>
      <c r="C47" s="159"/>
      <c r="D47" s="159"/>
      <c r="E47" s="159"/>
      <c r="F47" s="159"/>
      <c r="G47" s="159"/>
      <c r="H47" s="158"/>
    </row>
    <row r="48" spans="1:8" x14ac:dyDescent="0.2">
      <c r="A48" s="154">
        <v>3</v>
      </c>
      <c r="B48" s="154" t="s">
        <v>453</v>
      </c>
      <c r="G48" s="154" t="s">
        <v>452</v>
      </c>
      <c r="H48" s="154" t="s">
        <v>452</v>
      </c>
    </row>
    <row r="49" spans="1:8" x14ac:dyDescent="0.2">
      <c r="A49" s="154">
        <v>3.1</v>
      </c>
      <c r="B49" s="154" t="s">
        <v>451</v>
      </c>
    </row>
    <row r="50" spans="1:8" x14ac:dyDescent="0.2">
      <c r="A50" s="154" t="s">
        <v>450</v>
      </c>
      <c r="B50" s="154" t="s">
        <v>449</v>
      </c>
      <c r="C50" s="154">
        <v>10</v>
      </c>
      <c r="D50" s="154">
        <v>19.5</v>
      </c>
      <c r="G50" s="154">
        <v>19.5</v>
      </c>
      <c r="H50" s="154">
        <f>G50*C50</f>
        <v>195</v>
      </c>
    </row>
    <row r="51" spans="1:8" x14ac:dyDescent="0.2">
      <c r="A51" s="154" t="s">
        <v>448</v>
      </c>
      <c r="B51" s="154" t="s">
        <v>447</v>
      </c>
      <c r="C51" s="154">
        <v>20</v>
      </c>
      <c r="D51" s="154">
        <v>18.5</v>
      </c>
      <c r="G51" s="154">
        <v>18.5</v>
      </c>
      <c r="H51" s="154">
        <f>G51*C51</f>
        <v>370</v>
      </c>
    </row>
    <row r="52" spans="1:8" x14ac:dyDescent="0.2">
      <c r="A52" s="154" t="s">
        <v>446</v>
      </c>
      <c r="B52" s="154" t="s">
        <v>445</v>
      </c>
      <c r="C52" s="154">
        <v>6</v>
      </c>
      <c r="D52" s="154">
        <v>18</v>
      </c>
      <c r="G52" s="154">
        <v>18</v>
      </c>
      <c r="H52" s="154">
        <f>G52*C52</f>
        <v>108</v>
      </c>
    </row>
    <row r="53" spans="1:8" x14ac:dyDescent="0.2">
      <c r="A53" s="154" t="s">
        <v>444</v>
      </c>
      <c r="B53" s="154" t="s">
        <v>443</v>
      </c>
      <c r="C53" s="154">
        <v>18</v>
      </c>
      <c r="D53" s="154">
        <v>17.5</v>
      </c>
      <c r="G53" s="154">
        <v>17.5</v>
      </c>
      <c r="H53" s="154">
        <f>G53*C53</f>
        <v>315</v>
      </c>
    </row>
    <row r="54" spans="1:8" x14ac:dyDescent="0.2">
      <c r="A54" s="154" t="s">
        <v>442</v>
      </c>
      <c r="B54" s="154" t="s">
        <v>441</v>
      </c>
      <c r="C54" s="154">
        <v>4</v>
      </c>
      <c r="D54" s="154">
        <v>24.5</v>
      </c>
      <c r="G54" s="154">
        <v>24.5</v>
      </c>
      <c r="H54" s="154">
        <f>G54*C54</f>
        <v>98</v>
      </c>
    </row>
    <row r="56" spans="1:8" x14ac:dyDescent="0.2">
      <c r="A56" s="154">
        <v>3.2</v>
      </c>
      <c r="B56" s="154" t="s">
        <v>440</v>
      </c>
    </row>
    <row r="57" spans="1:8" x14ac:dyDescent="0.2">
      <c r="A57" s="154" t="s">
        <v>439</v>
      </c>
      <c r="B57" s="154" t="s">
        <v>438</v>
      </c>
      <c r="C57" s="154">
        <v>2</v>
      </c>
      <c r="D57" s="154">
        <v>30</v>
      </c>
      <c r="G57" s="154">
        <f>D57</f>
        <v>30</v>
      </c>
      <c r="H57" s="154">
        <f>G57*C57</f>
        <v>60</v>
      </c>
    </row>
    <row r="58" spans="1:8" x14ac:dyDescent="0.2">
      <c r="A58" s="154" t="s">
        <v>437</v>
      </c>
      <c r="B58" s="154" t="s">
        <v>436</v>
      </c>
      <c r="C58" s="154">
        <v>12</v>
      </c>
      <c r="D58" s="154">
        <v>26</v>
      </c>
      <c r="G58" s="154">
        <f>D58</f>
        <v>26</v>
      </c>
      <c r="H58" s="154">
        <f>G58*C58</f>
        <v>312</v>
      </c>
    </row>
    <row r="59" spans="1:8" x14ac:dyDescent="0.2">
      <c r="A59" s="154" t="s">
        <v>435</v>
      </c>
      <c r="B59" s="154" t="s">
        <v>434</v>
      </c>
      <c r="C59" s="154">
        <v>8</v>
      </c>
      <c r="D59" s="154">
        <v>20</v>
      </c>
      <c r="G59" s="154">
        <f>D59</f>
        <v>20</v>
      </c>
      <c r="H59" s="154">
        <f>G59*C59</f>
        <v>160</v>
      </c>
    </row>
    <row r="60" spans="1:8" x14ac:dyDescent="0.2">
      <c r="A60" s="154" t="s">
        <v>433</v>
      </c>
      <c r="B60" s="154" t="s">
        <v>432</v>
      </c>
      <c r="C60" s="154">
        <v>4</v>
      </c>
      <c r="D60" s="154">
        <v>29</v>
      </c>
      <c r="G60" s="154">
        <f>D60</f>
        <v>29</v>
      </c>
      <c r="H60" s="154">
        <f>G60*C60</f>
        <v>116</v>
      </c>
    </row>
    <row r="61" spans="1:8" x14ac:dyDescent="0.2">
      <c r="A61" s="154" t="s">
        <v>431</v>
      </c>
      <c r="B61" s="154" t="s">
        <v>430</v>
      </c>
      <c r="C61" s="154">
        <v>8</v>
      </c>
      <c r="D61" s="154">
        <v>18</v>
      </c>
      <c r="G61" s="154">
        <f>D61</f>
        <v>18</v>
      </c>
      <c r="H61" s="154">
        <f>G61*C61</f>
        <v>144</v>
      </c>
    </row>
    <row r="63" spans="1:8" x14ac:dyDescent="0.2">
      <c r="A63" s="154">
        <v>3.3</v>
      </c>
      <c r="B63" s="154" t="s">
        <v>429</v>
      </c>
    </row>
    <row r="64" spans="1:8" x14ac:dyDescent="0.2">
      <c r="A64" s="154" t="s">
        <v>428</v>
      </c>
      <c r="B64" s="154" t="s">
        <v>427</v>
      </c>
      <c r="C64" s="154">
        <v>24</v>
      </c>
      <c r="D64" s="154">
        <v>9</v>
      </c>
      <c r="G64" s="154">
        <f>D64</f>
        <v>9</v>
      </c>
      <c r="H64" s="154">
        <f>G64*C64</f>
        <v>216</v>
      </c>
    </row>
    <row r="66" spans="2:8" ht="18.75" x14ac:dyDescent="0.2">
      <c r="B66" s="157" t="s">
        <v>126</v>
      </c>
      <c r="C66" s="156"/>
      <c r="D66" s="156"/>
      <c r="E66" s="156"/>
      <c r="F66" s="156"/>
      <c r="G66" s="156"/>
      <c r="H66" s="155">
        <f>SUM(H50:H64)</f>
        <v>2094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5"/>
  <sheetViews>
    <sheetView topLeftCell="C87" zoomScale="80" zoomScaleNormal="80" workbookViewId="0">
      <selection activeCell="K95" sqref="K95"/>
    </sheetView>
  </sheetViews>
  <sheetFormatPr defaultColWidth="9.14453125" defaultRowHeight="15" x14ac:dyDescent="0.2"/>
  <cols>
    <col min="1" max="1" width="9.14453125" style="154"/>
    <col min="2" max="2" width="21.5234375" style="154" customWidth="1"/>
    <col min="3" max="3" width="10.4921875" style="154" customWidth="1"/>
    <col min="4" max="4" width="14.390625" style="154" customWidth="1"/>
    <col min="5" max="5" width="13.98828125" style="154" customWidth="1"/>
    <col min="6" max="6" width="27.44140625" style="154" customWidth="1"/>
    <col min="7" max="8" width="9.14453125" style="154"/>
    <col min="9" max="9" width="16.54296875" style="154" customWidth="1"/>
    <col min="10" max="10" width="9.14453125" style="154"/>
    <col min="11" max="11" width="12.5078125" style="154" customWidth="1"/>
    <col min="12" max="12" width="15.46875" style="154" customWidth="1"/>
    <col min="13" max="16384" width="9.14453125" style="154"/>
  </cols>
  <sheetData>
    <row r="1" spans="1:13" x14ac:dyDescent="0.2">
      <c r="A1" s="266" t="s">
        <v>127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168"/>
    </row>
    <row r="2" spans="1:13" x14ac:dyDescent="0.2">
      <c r="A2" s="169" t="s">
        <v>1</v>
      </c>
      <c r="B2" s="169" t="s">
        <v>2</v>
      </c>
      <c r="C2" s="169" t="s">
        <v>3</v>
      </c>
      <c r="D2" s="169" t="s">
        <v>128</v>
      </c>
      <c r="E2" s="169" t="s">
        <v>129</v>
      </c>
      <c r="F2" s="170" t="s">
        <v>130</v>
      </c>
      <c r="G2" s="169" t="s">
        <v>131</v>
      </c>
      <c r="H2" s="169" t="s">
        <v>132</v>
      </c>
      <c r="I2" s="169" t="s">
        <v>133</v>
      </c>
      <c r="J2" s="169" t="s">
        <v>134</v>
      </c>
      <c r="K2" s="169" t="s">
        <v>135</v>
      </c>
      <c r="L2" s="169" t="s">
        <v>136</v>
      </c>
      <c r="M2" s="168"/>
    </row>
    <row r="3" spans="1:13" ht="15.75" thickBot="1" x14ac:dyDescent="0.25">
      <c r="A3" s="154">
        <v>1</v>
      </c>
      <c r="B3" s="154" t="s">
        <v>479</v>
      </c>
    </row>
    <row r="4" spans="1:13" ht="19.5" thickBot="1" x14ac:dyDescent="0.25">
      <c r="B4" s="171" t="s">
        <v>480</v>
      </c>
    </row>
    <row r="5" spans="1:13" x14ac:dyDescent="0.2">
      <c r="A5" s="154">
        <v>1.1000000000000001</v>
      </c>
      <c r="B5" s="154" t="s">
        <v>481</v>
      </c>
    </row>
    <row r="6" spans="1:13" ht="46.5" x14ac:dyDescent="0.65">
      <c r="B6" s="154" t="s">
        <v>482</v>
      </c>
      <c r="C6" s="154">
        <v>2</v>
      </c>
      <c r="D6" s="154">
        <v>4</v>
      </c>
      <c r="E6" s="154">
        <v>0.5</v>
      </c>
      <c r="F6" s="172"/>
      <c r="G6" s="154">
        <v>49.75</v>
      </c>
      <c r="H6" s="154">
        <f t="shared" ref="H6:H8" si="0">(12*E6*2)/12</f>
        <v>1</v>
      </c>
      <c r="I6" s="154">
        <f t="shared" ref="I6:I26" si="1">G6+H6</f>
        <v>50.75</v>
      </c>
      <c r="J6" s="154">
        <f t="shared" ref="J6:J10" si="2">(D6*2)/24</f>
        <v>0.33333333333333331</v>
      </c>
      <c r="K6" s="154">
        <f t="shared" ref="K6:K10" si="3">C6*I6*J6</f>
        <v>33.833333333333329</v>
      </c>
      <c r="L6" s="154">
        <f t="shared" ref="L6:L10" si="4">K6/2204</f>
        <v>1.5350877192982454E-2</v>
      </c>
    </row>
    <row r="7" spans="1:13" ht="23.25" x14ac:dyDescent="0.2">
      <c r="B7" s="154" t="s">
        <v>483</v>
      </c>
      <c r="C7" s="154">
        <v>5</v>
      </c>
      <c r="D7" s="154">
        <v>4</v>
      </c>
      <c r="E7" s="154">
        <v>0.5</v>
      </c>
      <c r="F7" s="173"/>
      <c r="G7" s="154">
        <v>5</v>
      </c>
      <c r="I7" s="154">
        <f t="shared" si="1"/>
        <v>5</v>
      </c>
      <c r="J7" s="154">
        <f t="shared" si="2"/>
        <v>0.33333333333333331</v>
      </c>
      <c r="K7" s="154">
        <f t="shared" si="3"/>
        <v>8.3333333333333321</v>
      </c>
      <c r="L7" s="154">
        <f t="shared" si="4"/>
        <v>3.7810042347247424E-3</v>
      </c>
    </row>
    <row r="8" spans="1:13" ht="46.5" x14ac:dyDescent="0.65">
      <c r="B8" s="154" t="s">
        <v>484</v>
      </c>
      <c r="C8" s="154">
        <v>2</v>
      </c>
      <c r="D8" s="154">
        <v>4</v>
      </c>
      <c r="E8" s="154">
        <v>0.5</v>
      </c>
      <c r="F8" s="172"/>
      <c r="G8" s="154">
        <v>49.75</v>
      </c>
      <c r="H8" s="154">
        <f t="shared" si="0"/>
        <v>1</v>
      </c>
      <c r="I8" s="154">
        <f t="shared" si="1"/>
        <v>50.75</v>
      </c>
      <c r="J8" s="154">
        <f t="shared" si="2"/>
        <v>0.33333333333333331</v>
      </c>
      <c r="K8" s="154">
        <f t="shared" si="3"/>
        <v>33.833333333333329</v>
      </c>
      <c r="L8" s="154">
        <f t="shared" si="4"/>
        <v>1.5350877192982454E-2</v>
      </c>
    </row>
    <row r="9" spans="1:13" ht="23.25" x14ac:dyDescent="0.2">
      <c r="B9" s="154" t="s">
        <v>485</v>
      </c>
      <c r="C9" s="154">
        <v>4</v>
      </c>
      <c r="D9" s="154">
        <v>4</v>
      </c>
      <c r="E9" s="154">
        <v>0.5</v>
      </c>
      <c r="F9" s="173"/>
      <c r="G9" s="154">
        <v>5</v>
      </c>
      <c r="I9" s="154">
        <f t="shared" si="1"/>
        <v>5</v>
      </c>
      <c r="J9" s="154">
        <f t="shared" si="2"/>
        <v>0.33333333333333331</v>
      </c>
      <c r="K9" s="154">
        <f t="shared" si="3"/>
        <v>6.6666666666666661</v>
      </c>
      <c r="L9" s="154">
        <f t="shared" si="4"/>
        <v>3.0248033877797939E-3</v>
      </c>
    </row>
    <row r="10" spans="1:13" ht="92.25" x14ac:dyDescent="1.3">
      <c r="B10" s="154" t="s">
        <v>486</v>
      </c>
      <c r="C10" s="154">
        <v>91</v>
      </c>
      <c r="D10" s="154">
        <v>3</v>
      </c>
      <c r="E10" s="154">
        <f>D10/8</f>
        <v>0.375</v>
      </c>
      <c r="F10" s="174"/>
      <c r="G10" s="154">
        <v>4.3330000000000002</v>
      </c>
      <c r="H10" s="154">
        <f>(12*E10*2)/12</f>
        <v>0.75</v>
      </c>
      <c r="I10" s="154">
        <f t="shared" si="1"/>
        <v>5.0830000000000002</v>
      </c>
      <c r="J10" s="154">
        <f t="shared" si="2"/>
        <v>0.25</v>
      </c>
      <c r="K10" s="154">
        <f t="shared" si="3"/>
        <v>115.63825</v>
      </c>
      <c r="L10" s="154">
        <f t="shared" si="4"/>
        <v>5.2467445553539022E-2</v>
      </c>
    </row>
    <row r="11" spans="1:13" x14ac:dyDescent="0.2">
      <c r="B11" s="166" t="s">
        <v>126</v>
      </c>
      <c r="K11" s="175">
        <f>SUM(K6:K10)</f>
        <v>198.30491666666666</v>
      </c>
      <c r="L11" s="175">
        <f>SUM(L6:L10)</f>
        <v>8.9975007562008463E-2</v>
      </c>
    </row>
    <row r="13" spans="1:13" x14ac:dyDescent="0.2">
      <c r="A13" s="154">
        <v>1.2</v>
      </c>
      <c r="B13" s="154" t="s">
        <v>487</v>
      </c>
    </row>
    <row r="14" spans="1:13" ht="46.5" x14ac:dyDescent="0.65">
      <c r="B14" s="154" t="s">
        <v>482</v>
      </c>
      <c r="C14" s="154">
        <v>2</v>
      </c>
      <c r="D14" s="154">
        <v>4</v>
      </c>
      <c r="E14" s="154">
        <v>0.5</v>
      </c>
      <c r="F14" s="172"/>
      <c r="G14" s="154">
        <v>80.25</v>
      </c>
      <c r="H14" s="154">
        <f>(12*E14*2)/12</f>
        <v>1</v>
      </c>
      <c r="I14" s="154">
        <f t="shared" si="1"/>
        <v>81.25</v>
      </c>
      <c r="J14" s="154">
        <f t="shared" ref="J14:J26" si="5">(D14*2)/24</f>
        <v>0.33333333333333331</v>
      </c>
      <c r="K14" s="154">
        <f t="shared" ref="K14:K26" si="6">C14*I14*J14</f>
        <v>54.166666666666664</v>
      </c>
      <c r="L14" s="154">
        <f t="shared" ref="L14:L26" si="7">K14/2204</f>
        <v>2.4576527525710826E-2</v>
      </c>
    </row>
    <row r="15" spans="1:13" ht="23.25" x14ac:dyDescent="0.2">
      <c r="B15" s="154" t="s">
        <v>483</v>
      </c>
      <c r="C15" s="154">
        <v>9</v>
      </c>
      <c r="D15" s="154">
        <v>4</v>
      </c>
      <c r="E15" s="154">
        <v>0.5</v>
      </c>
      <c r="F15" s="173"/>
      <c r="G15" s="154">
        <v>7.3689999999999998</v>
      </c>
      <c r="I15" s="154">
        <f t="shared" si="1"/>
        <v>7.3689999999999998</v>
      </c>
      <c r="J15" s="154">
        <f t="shared" si="5"/>
        <v>0.33333333333333331</v>
      </c>
      <c r="K15" s="154">
        <f t="shared" si="6"/>
        <v>22.106999999999999</v>
      </c>
      <c r="L15" s="154">
        <f t="shared" si="7"/>
        <v>1.0030399274047187E-2</v>
      </c>
    </row>
    <row r="16" spans="1:13" ht="46.5" x14ac:dyDescent="0.65">
      <c r="B16" s="154" t="s">
        <v>484</v>
      </c>
      <c r="C16" s="154">
        <v>2</v>
      </c>
      <c r="D16" s="154">
        <v>4</v>
      </c>
      <c r="E16" s="154">
        <v>0.5</v>
      </c>
      <c r="F16" s="172"/>
      <c r="G16" s="154">
        <v>80.25</v>
      </c>
      <c r="H16" s="154">
        <f>(12*E16*2)/12</f>
        <v>1</v>
      </c>
      <c r="I16" s="154">
        <f t="shared" si="1"/>
        <v>81.25</v>
      </c>
      <c r="J16" s="154">
        <f t="shared" si="5"/>
        <v>0.33333333333333331</v>
      </c>
      <c r="K16" s="154">
        <f t="shared" si="6"/>
        <v>54.166666666666664</v>
      </c>
      <c r="L16" s="154">
        <f t="shared" si="7"/>
        <v>2.4576527525710826E-2</v>
      </c>
    </row>
    <row r="17" spans="1:12" ht="23.25" x14ac:dyDescent="0.2">
      <c r="B17" s="154" t="s">
        <v>485</v>
      </c>
      <c r="C17" s="154">
        <v>8</v>
      </c>
      <c r="D17" s="154">
        <v>4</v>
      </c>
      <c r="E17" s="154">
        <v>0.5</v>
      </c>
      <c r="F17" s="173"/>
      <c r="G17" s="154">
        <v>4.93</v>
      </c>
      <c r="I17" s="154">
        <f t="shared" si="1"/>
        <v>4.93</v>
      </c>
      <c r="J17" s="154">
        <f t="shared" si="5"/>
        <v>0.33333333333333331</v>
      </c>
      <c r="K17" s="154">
        <f t="shared" si="6"/>
        <v>13.146666666666665</v>
      </c>
      <c r="L17" s="154">
        <f t="shared" si="7"/>
        <v>5.9649122807017537E-3</v>
      </c>
    </row>
    <row r="18" spans="1:12" ht="92.25" x14ac:dyDescent="1.3">
      <c r="B18" s="154" t="s">
        <v>486</v>
      </c>
      <c r="C18" s="154">
        <v>160</v>
      </c>
      <c r="D18" s="154">
        <v>3</v>
      </c>
      <c r="E18" s="154">
        <f t="shared" ref="E18:E26" si="8">D18/8</f>
        <v>0.375</v>
      </c>
      <c r="F18" s="174"/>
      <c r="G18" s="154">
        <v>4.3330000000000002</v>
      </c>
      <c r="H18" s="154">
        <f>(12*E18*2)/12</f>
        <v>0.75</v>
      </c>
      <c r="I18" s="154">
        <f t="shared" si="1"/>
        <v>5.0830000000000002</v>
      </c>
      <c r="J18" s="154">
        <f t="shared" si="5"/>
        <v>0.25</v>
      </c>
      <c r="K18" s="154">
        <f t="shared" si="6"/>
        <v>203.32</v>
      </c>
      <c r="L18" s="154">
        <f t="shared" si="7"/>
        <v>9.2250453720508163E-2</v>
      </c>
    </row>
    <row r="19" spans="1:12" x14ac:dyDescent="0.2">
      <c r="B19" s="166" t="s">
        <v>126</v>
      </c>
      <c r="K19" s="175">
        <f>SUM(K14:K18)</f>
        <v>346.90699999999998</v>
      </c>
      <c r="L19" s="175">
        <f>SUM(L14:L18)</f>
        <v>0.15739882032667876</v>
      </c>
    </row>
    <row r="21" spans="1:12" x14ac:dyDescent="0.2">
      <c r="A21" s="154">
        <v>1.3</v>
      </c>
      <c r="B21" s="154" t="s">
        <v>488</v>
      </c>
    </row>
    <row r="22" spans="1:12" ht="46.5" x14ac:dyDescent="0.65">
      <c r="B22" s="154" t="s">
        <v>482</v>
      </c>
      <c r="C22" s="154">
        <v>2</v>
      </c>
      <c r="D22" s="154">
        <v>4</v>
      </c>
      <c r="E22" s="154">
        <f t="shared" si="8"/>
        <v>0.5</v>
      </c>
      <c r="F22" s="172"/>
      <c r="G22" s="154">
        <v>29.91667</v>
      </c>
      <c r="H22" s="154">
        <f t="shared" ref="H22:H26" si="9">(12*E22*2)/12</f>
        <v>1</v>
      </c>
      <c r="I22" s="154">
        <f t="shared" si="1"/>
        <v>30.91667</v>
      </c>
      <c r="J22" s="154">
        <f t="shared" si="5"/>
        <v>0.33333333333333331</v>
      </c>
      <c r="K22" s="154">
        <f t="shared" si="6"/>
        <v>20.611113333333332</v>
      </c>
      <c r="L22" s="154">
        <f t="shared" si="7"/>
        <v>9.3516848154869929E-3</v>
      </c>
    </row>
    <row r="23" spans="1:12" ht="23.25" x14ac:dyDescent="0.2">
      <c r="B23" s="154" t="s">
        <v>483</v>
      </c>
      <c r="C23" s="154">
        <v>3</v>
      </c>
      <c r="D23" s="154">
        <v>4</v>
      </c>
      <c r="E23" s="154">
        <f t="shared" si="8"/>
        <v>0.5</v>
      </c>
      <c r="F23" s="173"/>
      <c r="G23" s="154">
        <v>7.4790000000000001</v>
      </c>
      <c r="I23" s="154">
        <f t="shared" si="1"/>
        <v>7.4790000000000001</v>
      </c>
      <c r="J23" s="154">
        <f t="shared" si="5"/>
        <v>0.33333333333333331</v>
      </c>
      <c r="K23" s="154">
        <f t="shared" si="6"/>
        <v>7.4790000000000001</v>
      </c>
      <c r="L23" s="154">
        <f t="shared" si="7"/>
        <v>3.3933756805807624E-3</v>
      </c>
    </row>
    <row r="24" spans="1:12" ht="46.5" x14ac:dyDescent="0.65">
      <c r="B24" s="154" t="s">
        <v>484</v>
      </c>
      <c r="C24" s="154">
        <v>2</v>
      </c>
      <c r="D24" s="154">
        <v>4</v>
      </c>
      <c r="E24" s="154">
        <f t="shared" si="8"/>
        <v>0.5</v>
      </c>
      <c r="F24" s="172"/>
      <c r="G24" s="154">
        <v>29.91667</v>
      </c>
      <c r="H24" s="154">
        <f t="shared" si="9"/>
        <v>1</v>
      </c>
      <c r="I24" s="154">
        <f t="shared" si="1"/>
        <v>30.91667</v>
      </c>
      <c r="J24" s="154">
        <f t="shared" si="5"/>
        <v>0.33333333333333331</v>
      </c>
      <c r="K24" s="154">
        <f t="shared" si="6"/>
        <v>20.611113333333332</v>
      </c>
      <c r="L24" s="154">
        <f t="shared" si="7"/>
        <v>9.3516848154869929E-3</v>
      </c>
    </row>
    <row r="25" spans="1:12" ht="23.25" x14ac:dyDescent="0.2">
      <c r="B25" s="154" t="s">
        <v>485</v>
      </c>
      <c r="C25" s="154">
        <v>2</v>
      </c>
      <c r="D25" s="154">
        <v>4</v>
      </c>
      <c r="E25" s="154">
        <f t="shared" si="8"/>
        <v>0.5</v>
      </c>
      <c r="F25" s="173"/>
      <c r="G25" s="154">
        <v>4.9861000000000004</v>
      </c>
      <c r="I25" s="154">
        <f t="shared" si="1"/>
        <v>4.9861000000000004</v>
      </c>
      <c r="J25" s="154">
        <f t="shared" si="5"/>
        <v>0.33333333333333331</v>
      </c>
      <c r="K25" s="154">
        <f t="shared" si="6"/>
        <v>3.3240666666666669</v>
      </c>
      <c r="L25" s="154">
        <f t="shared" si="7"/>
        <v>1.5081972171808833E-3</v>
      </c>
    </row>
    <row r="26" spans="1:12" ht="92.25" x14ac:dyDescent="1.3">
      <c r="B26" s="154" t="s">
        <v>486</v>
      </c>
      <c r="C26" s="154">
        <v>55</v>
      </c>
      <c r="D26" s="154">
        <v>3</v>
      </c>
      <c r="E26" s="154">
        <f t="shared" si="8"/>
        <v>0.375</v>
      </c>
      <c r="F26" s="174"/>
      <c r="G26" s="154">
        <v>4.3330000000000002</v>
      </c>
      <c r="H26" s="154">
        <f t="shared" si="9"/>
        <v>0.75</v>
      </c>
      <c r="I26" s="154">
        <f t="shared" si="1"/>
        <v>5.0830000000000002</v>
      </c>
      <c r="J26" s="154">
        <f t="shared" si="5"/>
        <v>0.25</v>
      </c>
      <c r="K26" s="154">
        <f t="shared" si="6"/>
        <v>69.891249999999999</v>
      </c>
      <c r="L26" s="154">
        <f t="shared" si="7"/>
        <v>3.1711093466424679E-2</v>
      </c>
    </row>
    <row r="27" spans="1:12" x14ac:dyDescent="0.2">
      <c r="B27" s="166" t="s">
        <v>126</v>
      </c>
      <c r="K27" s="175">
        <f>SUM(K22:K26)</f>
        <v>121.91654333333332</v>
      </c>
      <c r="L27" s="175">
        <f>SUM(L22:L26)</f>
        <v>5.5316035995160315E-2</v>
      </c>
    </row>
    <row r="29" spans="1:12" x14ac:dyDescent="0.2">
      <c r="A29" s="154">
        <v>1.4</v>
      </c>
      <c r="B29" s="154" t="s">
        <v>489</v>
      </c>
    </row>
    <row r="30" spans="1:12" ht="46.5" x14ac:dyDescent="0.65">
      <c r="B30" s="154" t="s">
        <v>482</v>
      </c>
      <c r="C30" s="154">
        <v>2</v>
      </c>
      <c r="D30" s="154">
        <v>4</v>
      </c>
      <c r="E30" s="154">
        <f t="shared" ref="E30:E34" si="10">D30/8</f>
        <v>0.5</v>
      </c>
      <c r="F30" s="172"/>
      <c r="G30" s="154">
        <v>78.832999999999998</v>
      </c>
      <c r="H30" s="154">
        <f t="shared" ref="H30:H34" si="11">(12*E30*2)/12</f>
        <v>1</v>
      </c>
      <c r="I30" s="154">
        <f t="shared" ref="I30:I34" si="12">G30+H30</f>
        <v>79.832999999999998</v>
      </c>
      <c r="J30" s="154">
        <f t="shared" ref="J30:J34" si="13">(D30*2)/24</f>
        <v>0.33333333333333331</v>
      </c>
      <c r="K30" s="154">
        <f t="shared" ref="K30:K34" si="14">C30*I30*J30</f>
        <v>53.221999999999994</v>
      </c>
      <c r="L30" s="154">
        <f t="shared" ref="L30:L34" si="15">K30/2204</f>
        <v>2.4147912885662429E-2</v>
      </c>
    </row>
    <row r="31" spans="1:12" ht="23.25" x14ac:dyDescent="0.2">
      <c r="B31" s="154" t="s">
        <v>483</v>
      </c>
      <c r="C31" s="154">
        <v>8</v>
      </c>
      <c r="D31" s="154">
        <v>4</v>
      </c>
      <c r="E31" s="154">
        <f t="shared" si="10"/>
        <v>0.5</v>
      </c>
      <c r="F31" s="173"/>
      <c r="G31" s="154">
        <v>8.4674999999999994</v>
      </c>
      <c r="I31" s="154">
        <f t="shared" si="12"/>
        <v>8.4674999999999994</v>
      </c>
      <c r="J31" s="154">
        <f t="shared" si="13"/>
        <v>0.33333333333333331</v>
      </c>
      <c r="K31" s="154">
        <f t="shared" si="14"/>
        <v>22.58</v>
      </c>
      <c r="L31" s="154">
        <f t="shared" si="15"/>
        <v>1.0245009074410163E-2</v>
      </c>
    </row>
    <row r="32" spans="1:12" ht="46.5" x14ac:dyDescent="0.65">
      <c r="B32" s="154" t="s">
        <v>484</v>
      </c>
      <c r="C32" s="154">
        <v>2</v>
      </c>
      <c r="D32" s="154">
        <v>4</v>
      </c>
      <c r="E32" s="154">
        <f t="shared" si="10"/>
        <v>0.5</v>
      </c>
      <c r="F32" s="172"/>
      <c r="G32" s="154">
        <v>78.832999999999998</v>
      </c>
      <c r="H32" s="154">
        <f t="shared" si="11"/>
        <v>1</v>
      </c>
      <c r="I32" s="154">
        <f t="shared" si="12"/>
        <v>79.832999999999998</v>
      </c>
      <c r="J32" s="154">
        <f t="shared" si="13"/>
        <v>0.33333333333333331</v>
      </c>
      <c r="K32" s="154">
        <f t="shared" si="14"/>
        <v>53.221999999999994</v>
      </c>
      <c r="L32" s="154">
        <f t="shared" si="15"/>
        <v>2.4147912885662429E-2</v>
      </c>
    </row>
    <row r="33" spans="1:12" ht="23.25" x14ac:dyDescent="0.2">
      <c r="B33" s="154" t="s">
        <v>485</v>
      </c>
      <c r="C33" s="154">
        <v>7</v>
      </c>
      <c r="D33" s="154">
        <v>4</v>
      </c>
      <c r="E33" s="154">
        <f t="shared" si="10"/>
        <v>0.5</v>
      </c>
      <c r="F33" s="173"/>
      <c r="G33" s="154">
        <v>5.6479999999999997</v>
      </c>
      <c r="I33" s="154">
        <f t="shared" si="12"/>
        <v>5.6479999999999997</v>
      </c>
      <c r="J33" s="154">
        <f t="shared" si="13"/>
        <v>0.33333333333333331</v>
      </c>
      <c r="K33" s="154">
        <f t="shared" si="14"/>
        <v>13.178666666666667</v>
      </c>
      <c r="L33" s="154">
        <f t="shared" si="15"/>
        <v>5.9794313369630975E-3</v>
      </c>
    </row>
    <row r="34" spans="1:12" ht="92.25" x14ac:dyDescent="1.3">
      <c r="B34" s="154" t="s">
        <v>486</v>
      </c>
      <c r="C34" s="154">
        <v>148</v>
      </c>
      <c r="D34" s="154">
        <v>3</v>
      </c>
      <c r="E34" s="154">
        <f t="shared" si="10"/>
        <v>0.375</v>
      </c>
      <c r="F34" s="174"/>
      <c r="G34" s="154">
        <v>4.3330000000000002</v>
      </c>
      <c r="H34" s="154">
        <f t="shared" si="11"/>
        <v>0.75</v>
      </c>
      <c r="I34" s="154">
        <f t="shared" si="12"/>
        <v>5.0830000000000002</v>
      </c>
      <c r="J34" s="154">
        <f t="shared" si="13"/>
        <v>0.25</v>
      </c>
      <c r="K34" s="154">
        <f t="shared" si="14"/>
        <v>188.071</v>
      </c>
      <c r="L34" s="154">
        <f t="shared" si="15"/>
        <v>8.5331669691470047E-2</v>
      </c>
    </row>
    <row r="35" spans="1:12" x14ac:dyDescent="0.2">
      <c r="K35" s="175"/>
      <c r="L35" s="175"/>
    </row>
    <row r="37" spans="1:12" x14ac:dyDescent="0.2">
      <c r="B37" s="154" t="s">
        <v>490</v>
      </c>
    </row>
    <row r="38" spans="1:12" ht="46.5" x14ac:dyDescent="0.65">
      <c r="B38" s="154" t="s">
        <v>482</v>
      </c>
      <c r="C38" s="154">
        <v>3</v>
      </c>
      <c r="D38" s="154">
        <v>4</v>
      </c>
      <c r="E38" s="154">
        <f t="shared" ref="E38:E42" si="16">D38/8</f>
        <v>0.5</v>
      </c>
      <c r="F38" s="172"/>
      <c r="G38" s="154">
        <v>9.6669999999999998</v>
      </c>
      <c r="H38" s="154">
        <f t="shared" ref="H38:H42" si="17">(12*E38*2)/12</f>
        <v>1</v>
      </c>
      <c r="I38" s="154">
        <f t="shared" ref="I38:I42" si="18">G38+H38</f>
        <v>10.667</v>
      </c>
      <c r="J38" s="154">
        <f t="shared" ref="J38:J42" si="19">(D38*2)/24</f>
        <v>0.33333333333333331</v>
      </c>
      <c r="K38" s="154">
        <f t="shared" ref="K38:K42" si="20">C38*I38*J38</f>
        <v>10.666999999999998</v>
      </c>
      <c r="L38" s="154">
        <f t="shared" ref="L38:L42" si="21">K38/2204</f>
        <v>4.8398366606170586E-3</v>
      </c>
    </row>
    <row r="39" spans="1:12" ht="23.25" x14ac:dyDescent="0.2">
      <c r="B39" s="154" t="s">
        <v>483</v>
      </c>
      <c r="D39" s="154">
        <v>4</v>
      </c>
      <c r="E39" s="154">
        <f t="shared" si="16"/>
        <v>0.5</v>
      </c>
      <c r="F39" s="173"/>
    </row>
    <row r="40" spans="1:12" ht="46.5" x14ac:dyDescent="0.65">
      <c r="B40" s="154" t="s">
        <v>484</v>
      </c>
      <c r="C40" s="154">
        <v>2</v>
      </c>
      <c r="D40" s="154">
        <v>4</v>
      </c>
      <c r="E40" s="154">
        <f t="shared" si="16"/>
        <v>0.5</v>
      </c>
      <c r="F40" s="172"/>
      <c r="G40" s="154">
        <v>9.6669999999999998</v>
      </c>
      <c r="H40" s="154">
        <f t="shared" si="17"/>
        <v>1</v>
      </c>
      <c r="I40" s="154">
        <f t="shared" si="18"/>
        <v>10.667</v>
      </c>
      <c r="J40" s="154">
        <f t="shared" si="19"/>
        <v>0.33333333333333331</v>
      </c>
      <c r="K40" s="154">
        <f t="shared" si="20"/>
        <v>7.1113333333333326</v>
      </c>
      <c r="L40" s="154">
        <f t="shared" si="21"/>
        <v>3.2265577737447064E-3</v>
      </c>
    </row>
    <row r="41" spans="1:12" ht="23.25" x14ac:dyDescent="0.2">
      <c r="B41" s="154" t="s">
        <v>485</v>
      </c>
      <c r="D41" s="154">
        <v>4</v>
      </c>
      <c r="E41" s="154">
        <f t="shared" si="16"/>
        <v>0.5</v>
      </c>
      <c r="F41" s="173"/>
    </row>
    <row r="42" spans="1:12" ht="92.25" x14ac:dyDescent="1.3">
      <c r="B42" s="154" t="s">
        <v>486</v>
      </c>
      <c r="C42" s="154">
        <v>19</v>
      </c>
      <c r="D42" s="154">
        <v>3</v>
      </c>
      <c r="E42" s="154">
        <f t="shared" si="16"/>
        <v>0.375</v>
      </c>
      <c r="F42" s="174"/>
      <c r="G42" s="154">
        <v>5.1666999999999996</v>
      </c>
      <c r="H42" s="154">
        <f t="shared" si="17"/>
        <v>0.75</v>
      </c>
      <c r="I42" s="154">
        <f t="shared" si="18"/>
        <v>5.9166999999999996</v>
      </c>
      <c r="J42" s="154">
        <f t="shared" si="19"/>
        <v>0.25</v>
      </c>
      <c r="K42" s="154">
        <f t="shared" si="20"/>
        <v>28.104324999999999</v>
      </c>
      <c r="L42" s="154">
        <f t="shared" si="21"/>
        <v>1.2751508620689654E-2</v>
      </c>
    </row>
    <row r="44" spans="1:12" x14ac:dyDescent="0.2">
      <c r="B44" s="154" t="s">
        <v>126</v>
      </c>
      <c r="K44" s="175">
        <f>SUM(K30:K42)</f>
        <v>376.15632499999998</v>
      </c>
      <c r="L44" s="175">
        <f>SUM(L30:L43)</f>
        <v>0.17066983892921958</v>
      </c>
    </row>
    <row r="45" spans="1:12" ht="15.75" thickBot="1" x14ac:dyDescent="0.25"/>
    <row r="46" spans="1:12" ht="19.5" thickBot="1" x14ac:dyDescent="0.25">
      <c r="B46" s="171" t="s">
        <v>491</v>
      </c>
    </row>
    <row r="47" spans="1:12" x14ac:dyDescent="0.2">
      <c r="A47" s="154">
        <v>1.5</v>
      </c>
      <c r="B47" s="154" t="s">
        <v>492</v>
      </c>
    </row>
    <row r="48" spans="1:12" ht="46.5" x14ac:dyDescent="0.65">
      <c r="B48" s="154" t="s">
        <v>482</v>
      </c>
      <c r="C48" s="154">
        <v>2</v>
      </c>
      <c r="D48" s="154">
        <v>4</v>
      </c>
      <c r="E48" s="154">
        <f>D48/8</f>
        <v>0.5</v>
      </c>
      <c r="F48" s="172"/>
      <c r="G48" s="154">
        <v>90.75</v>
      </c>
      <c r="H48" s="154">
        <f t="shared" ref="H48:H50" si="22">(12*E48*2)/12</f>
        <v>1</v>
      </c>
      <c r="I48" s="154">
        <f t="shared" ref="I48:I50" si="23">G48+H48</f>
        <v>91.75</v>
      </c>
      <c r="J48" s="154">
        <f t="shared" ref="J48:J50" si="24">(D48*2)/24</f>
        <v>0.33333333333333331</v>
      </c>
      <c r="K48" s="154">
        <f t="shared" ref="K48:K50" si="25">C48*I48*J48</f>
        <v>61.166666666666664</v>
      </c>
      <c r="L48" s="154">
        <f t="shared" ref="L48:L50" si="26">K48/2204</f>
        <v>2.7752571082879613E-2</v>
      </c>
    </row>
    <row r="49" spans="1:12" ht="46.5" x14ac:dyDescent="0.65">
      <c r="B49" s="154" t="s">
        <v>484</v>
      </c>
      <c r="C49" s="154">
        <v>2</v>
      </c>
      <c r="D49" s="154">
        <v>4</v>
      </c>
      <c r="E49" s="154">
        <f>D49/8</f>
        <v>0.5</v>
      </c>
      <c r="F49" s="172"/>
      <c r="G49" s="154">
        <v>90.75</v>
      </c>
      <c r="H49" s="154">
        <f t="shared" si="22"/>
        <v>1</v>
      </c>
      <c r="I49" s="154">
        <f t="shared" si="23"/>
        <v>91.75</v>
      </c>
      <c r="J49" s="154">
        <f t="shared" si="24"/>
        <v>0.33333333333333331</v>
      </c>
      <c r="K49" s="154">
        <f t="shared" si="25"/>
        <v>61.166666666666664</v>
      </c>
      <c r="L49" s="154">
        <f t="shared" si="26"/>
        <v>2.7752571082879613E-2</v>
      </c>
    </row>
    <row r="50" spans="1:12" ht="92.25" x14ac:dyDescent="1.3">
      <c r="B50" s="154" t="s">
        <v>486</v>
      </c>
      <c r="C50" s="154">
        <v>171</v>
      </c>
      <c r="D50" s="154">
        <v>3</v>
      </c>
      <c r="E50" s="154">
        <f>D50/8</f>
        <v>0.375</v>
      </c>
      <c r="F50" s="174"/>
      <c r="G50" s="154">
        <v>4.3330000000000002</v>
      </c>
      <c r="H50" s="154">
        <f t="shared" si="22"/>
        <v>0.75</v>
      </c>
      <c r="I50" s="154">
        <f t="shared" si="23"/>
        <v>5.0830000000000002</v>
      </c>
      <c r="J50" s="154">
        <f t="shared" si="24"/>
        <v>0.25</v>
      </c>
      <c r="K50" s="154">
        <f t="shared" si="25"/>
        <v>217.29825</v>
      </c>
      <c r="L50" s="154">
        <f t="shared" si="26"/>
        <v>9.8592672413793103E-2</v>
      </c>
    </row>
    <row r="52" spans="1:12" x14ac:dyDescent="0.2">
      <c r="B52" s="154" t="s">
        <v>126</v>
      </c>
      <c r="K52" s="175">
        <f>SUM(K48:K50)</f>
        <v>339.63158333333331</v>
      </c>
      <c r="L52" s="175">
        <f>SUM(L48:L50)</f>
        <v>0.15409781457955232</v>
      </c>
    </row>
    <row r="54" spans="1:12" x14ac:dyDescent="0.2">
      <c r="A54" s="154">
        <v>1.6</v>
      </c>
      <c r="B54" s="154" t="s">
        <v>493</v>
      </c>
    </row>
    <row r="55" spans="1:12" ht="46.5" x14ac:dyDescent="0.65">
      <c r="B55" s="154" t="s">
        <v>482</v>
      </c>
      <c r="C55" s="154">
        <v>2</v>
      </c>
      <c r="D55" s="154">
        <v>4</v>
      </c>
      <c r="E55" s="154">
        <f t="shared" ref="E55:E57" si="27">D55/8</f>
        <v>0.5</v>
      </c>
      <c r="F55" s="172"/>
      <c r="G55" s="154">
        <v>12.25</v>
      </c>
      <c r="H55" s="154">
        <f t="shared" ref="H55:H57" si="28">(12*E55*2)/12</f>
        <v>1</v>
      </c>
      <c r="I55" s="154">
        <f t="shared" ref="I55:I57" si="29">G55+H55</f>
        <v>13.25</v>
      </c>
      <c r="J55" s="154">
        <f t="shared" ref="J55:J57" si="30">(D55*2)/24</f>
        <v>0.33333333333333331</v>
      </c>
      <c r="K55" s="154">
        <f t="shared" ref="K55:K57" si="31">C55*I55*J55</f>
        <v>8.8333333333333321</v>
      </c>
      <c r="L55" s="154">
        <f t="shared" ref="L55:L57" si="32">K55/2204</f>
        <v>4.0078644888082273E-3</v>
      </c>
    </row>
    <row r="56" spans="1:12" ht="46.5" x14ac:dyDescent="0.65">
      <c r="B56" s="154" t="s">
        <v>484</v>
      </c>
      <c r="C56" s="154">
        <v>2</v>
      </c>
      <c r="D56" s="154">
        <v>4</v>
      </c>
      <c r="E56" s="154">
        <f t="shared" si="27"/>
        <v>0.5</v>
      </c>
      <c r="F56" s="172"/>
      <c r="G56" s="154">
        <v>12.25</v>
      </c>
      <c r="H56" s="154">
        <f t="shared" si="28"/>
        <v>1</v>
      </c>
      <c r="I56" s="154">
        <f t="shared" si="29"/>
        <v>13.25</v>
      </c>
      <c r="J56" s="154">
        <f t="shared" si="30"/>
        <v>0.33333333333333331</v>
      </c>
      <c r="K56" s="154">
        <f t="shared" si="31"/>
        <v>8.8333333333333321</v>
      </c>
      <c r="L56" s="154">
        <f t="shared" si="32"/>
        <v>4.0078644888082273E-3</v>
      </c>
    </row>
    <row r="57" spans="1:12" ht="92.25" x14ac:dyDescent="1.3">
      <c r="B57" s="154" t="s">
        <v>486</v>
      </c>
      <c r="C57" s="154">
        <v>25</v>
      </c>
      <c r="D57" s="154">
        <v>3</v>
      </c>
      <c r="E57" s="154">
        <f t="shared" si="27"/>
        <v>0.375</v>
      </c>
      <c r="F57" s="174"/>
      <c r="G57" s="154">
        <v>4.3330000000000002</v>
      </c>
      <c r="H57" s="154">
        <f t="shared" si="28"/>
        <v>0.75</v>
      </c>
      <c r="I57" s="154">
        <f t="shared" si="29"/>
        <v>5.0830000000000002</v>
      </c>
      <c r="J57" s="154">
        <f t="shared" si="30"/>
        <v>0.25</v>
      </c>
      <c r="K57" s="154">
        <f t="shared" si="31"/>
        <v>31.768750000000001</v>
      </c>
      <c r="L57" s="154">
        <f t="shared" si="32"/>
        <v>1.4414133393829402E-2</v>
      </c>
    </row>
    <row r="59" spans="1:12" x14ac:dyDescent="0.2">
      <c r="B59" s="154" t="s">
        <v>126</v>
      </c>
      <c r="K59" s="175">
        <f>SUM(K55:K57)</f>
        <v>49.435416666666669</v>
      </c>
      <c r="L59" s="175">
        <f>SUM(L55:L57)</f>
        <v>2.2429862371445855E-2</v>
      </c>
    </row>
    <row r="61" spans="1:12" x14ac:dyDescent="0.2">
      <c r="A61" s="154">
        <v>1.7</v>
      </c>
      <c r="B61" s="154" t="s">
        <v>494</v>
      </c>
    </row>
    <row r="62" spans="1:12" ht="46.5" x14ac:dyDescent="0.65">
      <c r="B62" s="154" t="s">
        <v>482</v>
      </c>
      <c r="C62" s="154">
        <v>2</v>
      </c>
      <c r="D62" s="154">
        <v>4</v>
      </c>
      <c r="E62" s="154">
        <f t="shared" ref="E62:E64" si="33">D62/8</f>
        <v>0.5</v>
      </c>
      <c r="F62" s="172"/>
      <c r="G62" s="154">
        <v>7.4166699999999999</v>
      </c>
      <c r="H62" s="154">
        <f t="shared" ref="H62:H64" si="34">(12*E62*2)/12</f>
        <v>1</v>
      </c>
      <c r="I62" s="154">
        <f t="shared" ref="I62:I64" si="35">G62+H62</f>
        <v>8.4166699999999999</v>
      </c>
      <c r="J62" s="154">
        <f t="shared" ref="J62:J64" si="36">(D62*2)/24</f>
        <v>0.33333333333333331</v>
      </c>
      <c r="K62" s="154">
        <f t="shared" ref="K62:K64" si="37">C62*I62*J62</f>
        <v>5.611113333333333</v>
      </c>
      <c r="L62" s="154">
        <f t="shared" ref="L62:L64" si="38">K62/2204</f>
        <v>2.5458771929824562E-3</v>
      </c>
    </row>
    <row r="63" spans="1:12" ht="46.5" x14ac:dyDescent="0.65">
      <c r="B63" s="154" t="s">
        <v>484</v>
      </c>
      <c r="C63" s="154">
        <v>2</v>
      </c>
      <c r="D63" s="154">
        <v>4</v>
      </c>
      <c r="E63" s="154">
        <f t="shared" si="33"/>
        <v>0.5</v>
      </c>
      <c r="F63" s="172"/>
      <c r="G63" s="154">
        <v>7.4166699999999999</v>
      </c>
      <c r="H63" s="154">
        <f t="shared" si="34"/>
        <v>1</v>
      </c>
      <c r="I63" s="154">
        <f t="shared" si="35"/>
        <v>8.4166699999999999</v>
      </c>
      <c r="J63" s="154">
        <f t="shared" si="36"/>
        <v>0.33333333333333331</v>
      </c>
      <c r="K63" s="154">
        <f t="shared" si="37"/>
        <v>5.611113333333333</v>
      </c>
      <c r="L63" s="154">
        <f t="shared" si="38"/>
        <v>2.5458771929824562E-3</v>
      </c>
    </row>
    <row r="64" spans="1:12" ht="92.25" x14ac:dyDescent="1.3">
      <c r="B64" s="154" t="s">
        <v>486</v>
      </c>
      <c r="C64" s="154">
        <v>16</v>
      </c>
      <c r="D64" s="154">
        <v>3</v>
      </c>
      <c r="E64" s="154">
        <f t="shared" si="33"/>
        <v>0.375</v>
      </c>
      <c r="F64" s="174"/>
      <c r="G64" s="154">
        <v>4.3330000000000002</v>
      </c>
      <c r="H64" s="154">
        <f t="shared" si="34"/>
        <v>0.75</v>
      </c>
      <c r="I64" s="154">
        <f t="shared" si="35"/>
        <v>5.0830000000000002</v>
      </c>
      <c r="J64" s="154">
        <f t="shared" si="36"/>
        <v>0.25</v>
      </c>
      <c r="K64" s="154">
        <f t="shared" si="37"/>
        <v>20.332000000000001</v>
      </c>
      <c r="L64" s="154">
        <f t="shared" si="38"/>
        <v>9.2250453720508167E-3</v>
      </c>
    </row>
    <row r="66" spans="1:12" x14ac:dyDescent="0.2">
      <c r="B66" s="154" t="s">
        <v>126</v>
      </c>
      <c r="K66" s="175">
        <f>SUM(K62:K64)</f>
        <v>31.554226666666665</v>
      </c>
      <c r="L66" s="175">
        <f>SUM(L62:L64)</f>
        <v>1.4316799758015728E-2</v>
      </c>
    </row>
    <row r="68" spans="1:12" x14ac:dyDescent="0.2">
      <c r="A68" s="154">
        <v>1.8</v>
      </c>
      <c r="B68" s="154" t="s">
        <v>495</v>
      </c>
    </row>
    <row r="69" spans="1:12" ht="46.5" x14ac:dyDescent="0.65">
      <c r="B69" s="154" t="s">
        <v>482</v>
      </c>
      <c r="C69" s="154">
        <v>2</v>
      </c>
      <c r="D69" s="154">
        <v>4</v>
      </c>
      <c r="E69" s="154">
        <f>D69/8</f>
        <v>0.5</v>
      </c>
      <c r="F69" s="172"/>
      <c r="G69" s="154">
        <v>58.167000000000002</v>
      </c>
      <c r="H69" s="154">
        <f>(12*E69*2)/12</f>
        <v>1</v>
      </c>
      <c r="I69" s="154">
        <f>G69+H69</f>
        <v>59.167000000000002</v>
      </c>
      <c r="J69" s="154">
        <f>(D69*2)/24</f>
        <v>0.33333333333333331</v>
      </c>
      <c r="K69" s="154">
        <f>C69*I69*J69</f>
        <v>39.444666666666663</v>
      </c>
      <c r="L69" s="154">
        <f>K69/2204</f>
        <v>1.7896854204476707E-2</v>
      </c>
    </row>
    <row r="70" spans="1:12" ht="23.25" x14ac:dyDescent="0.2">
      <c r="B70" s="154" t="s">
        <v>483</v>
      </c>
      <c r="C70" s="154">
        <v>4</v>
      </c>
      <c r="D70" s="154">
        <v>4</v>
      </c>
      <c r="E70" s="154">
        <f>D70/8</f>
        <v>0.5</v>
      </c>
      <c r="F70" s="173"/>
      <c r="G70" s="154">
        <v>28.992999999999999</v>
      </c>
      <c r="I70" s="154">
        <f>G70+H70</f>
        <v>28.992999999999999</v>
      </c>
      <c r="J70" s="154">
        <f>(D70*2)/24</f>
        <v>0.33333333333333331</v>
      </c>
      <c r="K70" s="154">
        <f>C70*I70*J70</f>
        <v>38.657333333333327</v>
      </c>
      <c r="L70" s="154">
        <f>K70/2204</f>
        <v>1.7539624924379913E-2</v>
      </c>
    </row>
    <row r="71" spans="1:12" ht="46.5" x14ac:dyDescent="0.65">
      <c r="B71" s="154" t="s">
        <v>484</v>
      </c>
      <c r="C71" s="154">
        <v>2</v>
      </c>
      <c r="D71" s="154">
        <v>4</v>
      </c>
      <c r="E71" s="154">
        <f>D71/8</f>
        <v>0.5</v>
      </c>
      <c r="F71" s="172"/>
      <c r="G71" s="154">
        <v>58.167000000000002</v>
      </c>
      <c r="H71" s="154">
        <f>(12*E71*2)/12</f>
        <v>1</v>
      </c>
      <c r="I71" s="154">
        <f>G71+H71</f>
        <v>59.167000000000002</v>
      </c>
      <c r="J71" s="154">
        <f>(D71*2)/24</f>
        <v>0.33333333333333331</v>
      </c>
      <c r="K71" s="154">
        <f>C71*I71*J71</f>
        <v>39.444666666666663</v>
      </c>
      <c r="L71" s="154">
        <f>K71/2204</f>
        <v>1.7896854204476707E-2</v>
      </c>
    </row>
    <row r="72" spans="1:12" ht="92.25" x14ac:dyDescent="1.3">
      <c r="B72" s="154" t="s">
        <v>486</v>
      </c>
      <c r="C72" s="154">
        <v>72</v>
      </c>
      <c r="D72" s="154">
        <v>3</v>
      </c>
      <c r="E72" s="154">
        <f>D72/8</f>
        <v>0.375</v>
      </c>
      <c r="F72" s="174"/>
      <c r="G72" s="154">
        <v>4.3330000000000002</v>
      </c>
      <c r="H72" s="154">
        <f>(12*E72*2)/12</f>
        <v>0.75</v>
      </c>
      <c r="I72" s="154">
        <f>G72+H72</f>
        <v>5.0830000000000002</v>
      </c>
      <c r="J72" s="154">
        <f>(D72*2)/24</f>
        <v>0.25</v>
      </c>
      <c r="K72" s="154">
        <f>C72*I72*J72</f>
        <v>91.494</v>
      </c>
      <c r="L72" s="154">
        <f>K72/2204</f>
        <v>4.1512704174228678E-2</v>
      </c>
    </row>
    <row r="73" spans="1:12" x14ac:dyDescent="0.2">
      <c r="B73" s="166" t="s">
        <v>126</v>
      </c>
      <c r="K73" s="175">
        <f>SUM(K69:K72)</f>
        <v>209.04066666666665</v>
      </c>
      <c r="L73" s="175">
        <f>SUM(L69:L72)</f>
        <v>9.4846037507562014E-2</v>
      </c>
    </row>
    <row r="74" spans="1:12" ht="15.75" thickBot="1" x14ac:dyDescent="0.25"/>
    <row r="75" spans="1:12" ht="19.5" thickBot="1" x14ac:dyDescent="0.25">
      <c r="B75" s="171" t="s">
        <v>496</v>
      </c>
    </row>
    <row r="77" spans="1:12" x14ac:dyDescent="0.2">
      <c r="A77" s="154">
        <v>1.9</v>
      </c>
      <c r="B77" s="154" t="s">
        <v>497</v>
      </c>
    </row>
    <row r="78" spans="1:12" ht="46.5" x14ac:dyDescent="0.65">
      <c r="B78" s="154" t="s">
        <v>482</v>
      </c>
      <c r="C78" s="154">
        <v>2</v>
      </c>
      <c r="D78" s="154">
        <v>4</v>
      </c>
      <c r="E78" s="154">
        <f>D78/8</f>
        <v>0.5</v>
      </c>
      <c r="F78" s="172"/>
      <c r="G78" s="154">
        <v>105.667</v>
      </c>
      <c r="H78" s="154">
        <f>(12*E78*2)/12</f>
        <v>1</v>
      </c>
      <c r="I78" s="154">
        <f>G78+H78</f>
        <v>106.667</v>
      </c>
      <c r="J78" s="154">
        <f>(D78*2)/24</f>
        <v>0.33333333333333331</v>
      </c>
      <c r="K78" s="154">
        <f>C78*I78*J78</f>
        <v>71.111333333333334</v>
      </c>
      <c r="L78" s="154">
        <f>K78/2204</f>
        <v>3.2264670296430729E-2</v>
      </c>
    </row>
    <row r="79" spans="1:12" ht="46.5" x14ac:dyDescent="0.65">
      <c r="B79" s="154" t="s">
        <v>484</v>
      </c>
      <c r="C79" s="154">
        <v>2</v>
      </c>
      <c r="D79" s="154">
        <v>4</v>
      </c>
      <c r="E79" s="154">
        <f t="shared" ref="E79:E86" si="39">D79/8</f>
        <v>0.5</v>
      </c>
      <c r="F79" s="172"/>
      <c r="G79" s="154">
        <v>105.667</v>
      </c>
      <c r="H79" s="154">
        <f t="shared" ref="H79:H86" si="40">(12*E79*2)/12</f>
        <v>1</v>
      </c>
      <c r="I79" s="154">
        <f t="shared" ref="I79:I86" si="41">G79+H79</f>
        <v>106.667</v>
      </c>
      <c r="J79" s="154">
        <f t="shared" ref="J79:J86" si="42">(D79*2)/24</f>
        <v>0.33333333333333331</v>
      </c>
      <c r="K79" s="154">
        <f t="shared" ref="K79:K86" si="43">C79*I79*J79</f>
        <v>71.111333333333334</v>
      </c>
      <c r="L79" s="154">
        <f t="shared" ref="L79:L86" si="44">K79/2204</f>
        <v>3.2264670296430729E-2</v>
      </c>
    </row>
    <row r="80" spans="1:12" ht="92.25" x14ac:dyDescent="1.3">
      <c r="B80" s="154" t="s">
        <v>486</v>
      </c>
      <c r="C80" s="154">
        <v>193</v>
      </c>
      <c r="D80" s="154">
        <v>3</v>
      </c>
      <c r="E80" s="154">
        <f t="shared" si="39"/>
        <v>0.375</v>
      </c>
      <c r="F80" s="174"/>
      <c r="G80" s="154">
        <v>4.3330000000000002</v>
      </c>
      <c r="H80" s="154">
        <f t="shared" si="40"/>
        <v>0.75</v>
      </c>
      <c r="I80" s="154">
        <f t="shared" si="41"/>
        <v>5.0830000000000002</v>
      </c>
      <c r="J80" s="154">
        <f t="shared" si="42"/>
        <v>0.25</v>
      </c>
      <c r="K80" s="154">
        <f t="shared" si="43"/>
        <v>245.25475</v>
      </c>
      <c r="L80" s="154">
        <f t="shared" si="44"/>
        <v>0.11127710980036298</v>
      </c>
    </row>
    <row r="81" spans="1:12" x14ac:dyDescent="0.2">
      <c r="B81" s="166" t="s">
        <v>126</v>
      </c>
      <c r="K81" s="175">
        <f>SUM(K78:K80)</f>
        <v>387.47741666666667</v>
      </c>
      <c r="L81" s="175">
        <f>SUM(L78:L80)</f>
        <v>0.17580645039322446</v>
      </c>
    </row>
    <row r="83" spans="1:12" x14ac:dyDescent="0.2">
      <c r="A83" s="154" t="s">
        <v>498</v>
      </c>
      <c r="B83" s="154" t="s">
        <v>499</v>
      </c>
    </row>
    <row r="84" spans="1:12" ht="46.5" x14ac:dyDescent="0.65">
      <c r="B84" s="154" t="s">
        <v>482</v>
      </c>
      <c r="C84" s="154">
        <v>2</v>
      </c>
      <c r="D84" s="154">
        <v>4</v>
      </c>
      <c r="E84" s="154">
        <f t="shared" si="39"/>
        <v>0.5</v>
      </c>
      <c r="F84" s="172"/>
      <c r="G84" s="154">
        <v>145.13667000000001</v>
      </c>
      <c r="H84" s="154">
        <f t="shared" si="40"/>
        <v>1</v>
      </c>
      <c r="I84" s="154">
        <f t="shared" si="41"/>
        <v>146.13667000000001</v>
      </c>
      <c r="J84" s="154">
        <f t="shared" si="42"/>
        <v>0.33333333333333331</v>
      </c>
      <c r="K84" s="154">
        <f t="shared" si="43"/>
        <v>97.424446666666668</v>
      </c>
      <c r="L84" s="154">
        <f t="shared" si="44"/>
        <v>4.4203469449485784E-2</v>
      </c>
    </row>
    <row r="85" spans="1:12" ht="46.5" x14ac:dyDescent="0.65">
      <c r="B85" s="154" t="s">
        <v>484</v>
      </c>
      <c r="C85" s="154">
        <v>2</v>
      </c>
      <c r="D85" s="154">
        <v>4</v>
      </c>
      <c r="E85" s="154">
        <f t="shared" si="39"/>
        <v>0.5</v>
      </c>
      <c r="F85" s="172"/>
      <c r="G85" s="154">
        <v>145.13667000000001</v>
      </c>
      <c r="H85" s="154">
        <f t="shared" si="40"/>
        <v>1</v>
      </c>
      <c r="I85" s="154">
        <f t="shared" si="41"/>
        <v>146.13667000000001</v>
      </c>
      <c r="J85" s="154">
        <f t="shared" si="42"/>
        <v>0.33333333333333331</v>
      </c>
      <c r="K85" s="154">
        <f t="shared" si="43"/>
        <v>97.424446666666668</v>
      </c>
      <c r="L85" s="154">
        <f t="shared" si="44"/>
        <v>4.4203469449485784E-2</v>
      </c>
    </row>
    <row r="86" spans="1:12" ht="92.25" x14ac:dyDescent="1.3">
      <c r="B86" s="154" t="s">
        <v>486</v>
      </c>
      <c r="C86" s="154">
        <v>263</v>
      </c>
      <c r="D86" s="154">
        <v>3</v>
      </c>
      <c r="E86" s="154">
        <f t="shared" si="39"/>
        <v>0.375</v>
      </c>
      <c r="F86" s="174"/>
      <c r="G86" s="154">
        <v>4.3330000000000002</v>
      </c>
      <c r="H86" s="154">
        <f t="shared" si="40"/>
        <v>0.75</v>
      </c>
      <c r="I86" s="154">
        <f t="shared" si="41"/>
        <v>5.0830000000000002</v>
      </c>
      <c r="J86" s="154">
        <f t="shared" si="42"/>
        <v>0.25</v>
      </c>
      <c r="K86" s="154">
        <f t="shared" si="43"/>
        <v>334.20724999999999</v>
      </c>
      <c r="L86" s="154">
        <f t="shared" si="44"/>
        <v>0.1516366833030853</v>
      </c>
    </row>
    <row r="87" spans="1:12" x14ac:dyDescent="0.2">
      <c r="B87" s="166" t="s">
        <v>126</v>
      </c>
      <c r="K87" s="175">
        <f>SUM(K84:K86)</f>
        <v>529.05614333333335</v>
      </c>
      <c r="L87" s="175">
        <f>SUM(L84:L86)</f>
        <v>0.24004362220205688</v>
      </c>
    </row>
    <row r="89" spans="1:12" x14ac:dyDescent="0.2">
      <c r="A89" s="154" t="s">
        <v>500</v>
      </c>
      <c r="B89" s="154" t="s">
        <v>501</v>
      </c>
    </row>
    <row r="90" spans="1:12" ht="46.5" x14ac:dyDescent="0.65">
      <c r="B90" s="154" t="s">
        <v>482</v>
      </c>
      <c r="C90" s="154">
        <v>2</v>
      </c>
      <c r="D90" s="154">
        <v>4</v>
      </c>
      <c r="E90" s="154">
        <f t="shared" ref="E90:E92" si="45">D90/8</f>
        <v>0.5</v>
      </c>
      <c r="F90" s="172"/>
      <c r="G90" s="154">
        <v>4.75</v>
      </c>
      <c r="H90" s="154">
        <f t="shared" ref="H90:H92" si="46">(12*E90*2)/12</f>
        <v>1</v>
      </c>
      <c r="I90" s="154">
        <f t="shared" ref="I90:I92" si="47">G90+H90</f>
        <v>5.75</v>
      </c>
      <c r="J90" s="154">
        <f t="shared" ref="J90:J92" si="48">(D90*2)/24</f>
        <v>0.33333333333333331</v>
      </c>
      <c r="K90" s="154">
        <f t="shared" ref="K90:K92" si="49">C90*I90*J90</f>
        <v>3.833333333333333</v>
      </c>
      <c r="L90" s="154">
        <f t="shared" ref="L90:L92" si="50">K90/2204</f>
        <v>1.7392619479733816E-3</v>
      </c>
    </row>
    <row r="91" spans="1:12" ht="46.5" x14ac:dyDescent="0.65">
      <c r="B91" s="154" t="s">
        <v>484</v>
      </c>
      <c r="C91" s="154">
        <v>2</v>
      </c>
      <c r="D91" s="154">
        <v>4</v>
      </c>
      <c r="E91" s="154">
        <f t="shared" si="45"/>
        <v>0.5</v>
      </c>
      <c r="F91" s="172"/>
      <c r="G91" s="154">
        <v>4.75</v>
      </c>
      <c r="H91" s="154">
        <f t="shared" si="46"/>
        <v>1</v>
      </c>
      <c r="I91" s="154">
        <f t="shared" si="47"/>
        <v>5.75</v>
      </c>
      <c r="J91" s="154">
        <f t="shared" si="48"/>
        <v>0.33333333333333331</v>
      </c>
      <c r="K91" s="154">
        <f t="shared" si="49"/>
        <v>3.833333333333333</v>
      </c>
      <c r="L91" s="154">
        <f t="shared" si="50"/>
        <v>1.7392619479733816E-3</v>
      </c>
    </row>
    <row r="92" spans="1:12" ht="92.25" x14ac:dyDescent="1.3">
      <c r="B92" s="154" t="s">
        <v>486</v>
      </c>
      <c r="C92" s="154">
        <v>13</v>
      </c>
      <c r="D92" s="154">
        <v>3</v>
      </c>
      <c r="E92" s="154">
        <f t="shared" si="45"/>
        <v>0.375</v>
      </c>
      <c r="F92" s="174"/>
      <c r="G92" s="154">
        <v>4.25</v>
      </c>
      <c r="H92" s="154">
        <f t="shared" si="46"/>
        <v>0.75</v>
      </c>
      <c r="I92" s="154">
        <f t="shared" si="47"/>
        <v>5</v>
      </c>
      <c r="J92" s="154">
        <f t="shared" si="48"/>
        <v>0.25</v>
      </c>
      <c r="K92" s="154">
        <f t="shared" si="49"/>
        <v>16.25</v>
      </c>
      <c r="L92" s="154">
        <f t="shared" si="50"/>
        <v>7.3729582577132489E-3</v>
      </c>
    </row>
    <row r="93" spans="1:12" x14ac:dyDescent="0.2">
      <c r="B93" s="166" t="s">
        <v>126</v>
      </c>
      <c r="K93" s="175">
        <f>SUM(K90:K92)</f>
        <v>23.916666666666664</v>
      </c>
      <c r="L93" s="175">
        <f>SUM(L90:L92)</f>
        <v>1.0851482153660013E-2</v>
      </c>
    </row>
    <row r="95" spans="1:12" ht="21" x14ac:dyDescent="0.2">
      <c r="B95" s="176" t="s">
        <v>502</v>
      </c>
      <c r="K95" s="229">
        <f>SUM(K6:K93)</f>
        <v>5226.7938100000001</v>
      </c>
      <c r="L95" s="229">
        <f>SUM(L6:L93)</f>
        <v>2.3715035435571683</v>
      </c>
    </row>
  </sheetData>
  <mergeCells count="1">
    <mergeCell ref="A1:L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60"/>
  <sheetViews>
    <sheetView workbookViewId="0">
      <selection sqref="A1:L1"/>
    </sheetView>
  </sheetViews>
  <sheetFormatPr defaultColWidth="9.14453125" defaultRowHeight="15" x14ac:dyDescent="0.2"/>
  <cols>
    <col min="1" max="1" width="9.14453125" style="154"/>
    <col min="2" max="2" width="21.92578125" style="154" customWidth="1"/>
    <col min="3" max="3" width="10.35546875" style="154" customWidth="1"/>
    <col min="4" max="4" width="13.31640625" style="154" customWidth="1"/>
    <col min="5" max="5" width="14.390625" style="154" customWidth="1"/>
    <col min="6" max="6" width="27.84375" style="154" customWidth="1"/>
    <col min="7" max="7" width="9.14453125" style="154"/>
    <col min="8" max="8" width="15.06640625" style="154" customWidth="1"/>
    <col min="9" max="9" width="17.484375" style="154" customWidth="1"/>
    <col min="10" max="10" width="7.93359375" style="154" customWidth="1"/>
    <col min="11" max="11" width="12.5078125" style="154" customWidth="1"/>
    <col min="12" max="12" width="16.140625" style="154" bestFit="1" customWidth="1"/>
    <col min="13" max="16384" width="9.14453125" style="154"/>
  </cols>
  <sheetData>
    <row r="1" spans="1:13" x14ac:dyDescent="0.2">
      <c r="A1" s="267" t="s">
        <v>127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9"/>
      <c r="M1" s="168"/>
    </row>
    <row r="2" spans="1:13" x14ac:dyDescent="0.2">
      <c r="A2" s="231" t="s">
        <v>1</v>
      </c>
      <c r="B2" s="232" t="s">
        <v>2</v>
      </c>
      <c r="C2" s="232" t="s">
        <v>3</v>
      </c>
      <c r="D2" s="232" t="s">
        <v>128</v>
      </c>
      <c r="E2" s="232" t="s">
        <v>129</v>
      </c>
      <c r="F2" s="233" t="s">
        <v>130</v>
      </c>
      <c r="G2" s="232" t="s">
        <v>131</v>
      </c>
      <c r="H2" s="232" t="s">
        <v>132</v>
      </c>
      <c r="I2" s="232" t="s">
        <v>133</v>
      </c>
      <c r="J2" s="232" t="s">
        <v>134</v>
      </c>
      <c r="K2" s="232" t="s">
        <v>135</v>
      </c>
      <c r="L2" s="234" t="s">
        <v>136</v>
      </c>
      <c r="M2" s="168"/>
    </row>
    <row r="3" spans="1:13" ht="21" x14ac:dyDescent="0.2">
      <c r="A3" s="235">
        <v>1</v>
      </c>
      <c r="B3" s="270" t="s">
        <v>569</v>
      </c>
      <c r="C3" s="270"/>
      <c r="D3" s="270"/>
      <c r="E3" s="270"/>
      <c r="F3" s="270"/>
      <c r="G3" s="270"/>
      <c r="H3" s="270"/>
      <c r="I3" s="270"/>
      <c r="J3" s="270"/>
      <c r="K3" s="270"/>
      <c r="L3" s="271"/>
    </row>
    <row r="4" spans="1:13" x14ac:dyDescent="0.2">
      <c r="A4" s="236">
        <v>1.1000000000000001</v>
      </c>
      <c r="B4" s="237" t="s">
        <v>568</v>
      </c>
      <c r="C4" s="237"/>
      <c r="D4" s="237"/>
      <c r="E4" s="237"/>
      <c r="F4" s="237"/>
      <c r="G4" s="237"/>
      <c r="H4" s="237"/>
      <c r="I4" s="237"/>
      <c r="J4" s="237"/>
      <c r="K4" s="237"/>
      <c r="L4" s="238"/>
    </row>
    <row r="5" spans="1:13" ht="46.5" x14ac:dyDescent="0.65">
      <c r="A5" s="236"/>
      <c r="B5" s="239" t="s">
        <v>482</v>
      </c>
      <c r="C5" s="239">
        <v>2</v>
      </c>
      <c r="D5" s="239">
        <v>4</v>
      </c>
      <c r="E5" s="239">
        <v>0.5</v>
      </c>
      <c r="F5" s="240"/>
      <c r="G5" s="239">
        <v>7.5</v>
      </c>
      <c r="H5" s="239">
        <f>(12*E5*2)/12</f>
        <v>1</v>
      </c>
      <c r="I5" s="239">
        <f>G5+H5</f>
        <v>8.5</v>
      </c>
      <c r="J5" s="239">
        <f>(D5*2)/24</f>
        <v>0.33333333333333331</v>
      </c>
      <c r="K5" s="239">
        <f>C5*I5*J5</f>
        <v>5.6666666666666661</v>
      </c>
      <c r="L5" s="241">
        <f>K5/2204</f>
        <v>2.571082879612825E-3</v>
      </c>
    </row>
    <row r="6" spans="1:13" ht="46.5" x14ac:dyDescent="0.65">
      <c r="A6" s="236"/>
      <c r="B6" s="239" t="s">
        <v>484</v>
      </c>
      <c r="C6" s="239">
        <v>2</v>
      </c>
      <c r="D6" s="239">
        <v>4</v>
      </c>
      <c r="E6" s="239">
        <v>0.5</v>
      </c>
      <c r="F6" s="240"/>
      <c r="G6" s="239">
        <v>7.5</v>
      </c>
      <c r="H6" s="239">
        <f>(12*E6*2)/12</f>
        <v>1</v>
      </c>
      <c r="I6" s="239">
        <f>G6+H6</f>
        <v>8.5</v>
      </c>
      <c r="J6" s="239">
        <f>(D6*2)/24</f>
        <v>0.33333333333333331</v>
      </c>
      <c r="K6" s="239">
        <f>C6*I6*J6</f>
        <v>5.6666666666666661</v>
      </c>
      <c r="L6" s="241">
        <f>K6/2204</f>
        <v>2.571082879612825E-3</v>
      </c>
    </row>
    <row r="7" spans="1:13" ht="92.25" x14ac:dyDescent="1.3">
      <c r="A7" s="236"/>
      <c r="B7" s="239" t="s">
        <v>486</v>
      </c>
      <c r="C7" s="239">
        <v>13</v>
      </c>
      <c r="D7" s="239">
        <v>3</v>
      </c>
      <c r="E7" s="239">
        <f>D7/8</f>
        <v>0.375</v>
      </c>
      <c r="F7" s="242"/>
      <c r="G7" s="239">
        <v>5.8333000000000004</v>
      </c>
      <c r="H7" s="239">
        <f>(12*E7*2)/12</f>
        <v>0.75</v>
      </c>
      <c r="I7" s="239">
        <f>G7+H7</f>
        <v>6.5833000000000004</v>
      </c>
      <c r="J7" s="239">
        <f>(D7*2)/24</f>
        <v>0.25</v>
      </c>
      <c r="K7" s="239">
        <f>C7*I7*J7</f>
        <v>21.395725000000002</v>
      </c>
      <c r="L7" s="241">
        <f>K7/2204</f>
        <v>9.7076792196007268E-3</v>
      </c>
    </row>
    <row r="8" spans="1:13" x14ac:dyDescent="0.2">
      <c r="A8" s="236"/>
      <c r="B8" s="243" t="s">
        <v>126</v>
      </c>
      <c r="C8" s="239"/>
      <c r="D8" s="239"/>
      <c r="E8" s="239"/>
      <c r="F8" s="239"/>
      <c r="G8" s="239"/>
      <c r="H8" s="239"/>
      <c r="I8" s="239"/>
      <c r="J8" s="239"/>
      <c r="K8" s="244">
        <f>SUM(K5:K7)</f>
        <v>32.729058333333334</v>
      </c>
      <c r="L8" s="245">
        <f>SUM(L5:L7)</f>
        <v>1.4849844978826377E-2</v>
      </c>
    </row>
    <row r="9" spans="1:13" x14ac:dyDescent="0.2">
      <c r="A9" s="236"/>
      <c r="B9" s="237"/>
      <c r="C9" s="237"/>
      <c r="D9" s="237"/>
      <c r="E9" s="237"/>
      <c r="F9" s="237"/>
      <c r="G9" s="237"/>
      <c r="H9" s="237"/>
      <c r="I9" s="237"/>
      <c r="J9" s="237"/>
      <c r="K9" s="237"/>
      <c r="L9" s="238"/>
    </row>
    <row r="10" spans="1:13" x14ac:dyDescent="0.2">
      <c r="A10" s="236">
        <v>1.2</v>
      </c>
      <c r="B10" s="237" t="s">
        <v>567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8"/>
    </row>
    <row r="11" spans="1:13" ht="46.5" x14ac:dyDescent="0.65">
      <c r="A11" s="236"/>
      <c r="B11" s="239" t="s">
        <v>482</v>
      </c>
      <c r="C11" s="239">
        <v>2</v>
      </c>
      <c r="D11" s="239">
        <v>4</v>
      </c>
      <c r="E11" s="239">
        <v>0.5</v>
      </c>
      <c r="F11" s="240"/>
      <c r="G11" s="239">
        <v>6</v>
      </c>
      <c r="H11" s="239">
        <f>(12*E11*2)/12</f>
        <v>1</v>
      </c>
      <c r="I11" s="239">
        <f>G11+H11</f>
        <v>7</v>
      </c>
      <c r="J11" s="239">
        <f>(D11*2)/24</f>
        <v>0.33333333333333331</v>
      </c>
      <c r="K11" s="239">
        <f>C11*I11*J11</f>
        <v>4.6666666666666661</v>
      </c>
      <c r="L11" s="241">
        <f>K11/2204</f>
        <v>2.1173623714458556E-3</v>
      </c>
    </row>
    <row r="12" spans="1:13" ht="46.5" x14ac:dyDescent="0.65">
      <c r="A12" s="236"/>
      <c r="B12" s="239" t="s">
        <v>484</v>
      </c>
      <c r="C12" s="239">
        <v>2</v>
      </c>
      <c r="D12" s="239">
        <v>4</v>
      </c>
      <c r="E12" s="239">
        <v>0.5</v>
      </c>
      <c r="F12" s="240"/>
      <c r="G12" s="239">
        <v>6</v>
      </c>
      <c r="H12" s="239">
        <f>(12*E12*2)/12</f>
        <v>1</v>
      </c>
      <c r="I12" s="239">
        <f>G12+H12</f>
        <v>7</v>
      </c>
      <c r="J12" s="239">
        <f>(D12*2)/24</f>
        <v>0.33333333333333331</v>
      </c>
      <c r="K12" s="239">
        <f>C12*I12*J12</f>
        <v>4.6666666666666661</v>
      </c>
      <c r="L12" s="241">
        <f>K12/2204</f>
        <v>2.1173623714458556E-3</v>
      </c>
    </row>
    <row r="13" spans="1:13" ht="92.25" x14ac:dyDescent="1.3">
      <c r="A13" s="236"/>
      <c r="B13" s="239" t="s">
        <v>486</v>
      </c>
      <c r="C13" s="239">
        <v>10</v>
      </c>
      <c r="D13" s="239">
        <v>3</v>
      </c>
      <c r="E13" s="239">
        <f>D13/8</f>
        <v>0.375</v>
      </c>
      <c r="F13" s="242"/>
      <c r="G13" s="239">
        <v>5.8333000000000004</v>
      </c>
      <c r="H13" s="239">
        <f>(12*E13*2)/12</f>
        <v>0.75</v>
      </c>
      <c r="I13" s="239">
        <f>G13+H13</f>
        <v>6.5833000000000004</v>
      </c>
      <c r="J13" s="239">
        <f>(D13*2)/24</f>
        <v>0.25</v>
      </c>
      <c r="K13" s="239">
        <f>C13*I13*J13</f>
        <v>16.45825</v>
      </c>
      <c r="L13" s="241">
        <f>K13/2204</f>
        <v>7.4674455535390198E-3</v>
      </c>
    </row>
    <row r="14" spans="1:13" x14ac:dyDescent="0.2">
      <c r="A14" s="236"/>
      <c r="B14" s="243" t="s">
        <v>126</v>
      </c>
      <c r="C14" s="239"/>
      <c r="D14" s="239"/>
      <c r="E14" s="239"/>
      <c r="F14" s="239"/>
      <c r="G14" s="239"/>
      <c r="H14" s="239"/>
      <c r="I14" s="239"/>
      <c r="J14" s="239"/>
      <c r="K14" s="244">
        <f>SUM(K11:K13)</f>
        <v>25.791583333333332</v>
      </c>
      <c r="L14" s="245">
        <f>SUM(L11:L13)</f>
        <v>1.1702170296430732E-2</v>
      </c>
    </row>
    <row r="15" spans="1:13" x14ac:dyDescent="0.2">
      <c r="A15" s="236"/>
      <c r="B15" s="237"/>
      <c r="C15" s="237"/>
      <c r="D15" s="237"/>
      <c r="E15" s="237"/>
      <c r="F15" s="237"/>
      <c r="G15" s="237"/>
      <c r="H15" s="237"/>
      <c r="I15" s="237"/>
      <c r="J15" s="237"/>
      <c r="K15" s="237"/>
      <c r="L15" s="238"/>
    </row>
    <row r="16" spans="1:13" x14ac:dyDescent="0.2">
      <c r="A16" s="236">
        <v>1.3</v>
      </c>
      <c r="B16" s="237" t="s">
        <v>566</v>
      </c>
      <c r="C16" s="237"/>
      <c r="D16" s="237"/>
      <c r="E16" s="237"/>
      <c r="F16" s="237"/>
      <c r="G16" s="237"/>
      <c r="H16" s="237"/>
      <c r="I16" s="237"/>
      <c r="J16" s="237"/>
      <c r="K16" s="237"/>
      <c r="L16" s="238"/>
    </row>
    <row r="17" spans="1:12" ht="46.5" x14ac:dyDescent="0.65">
      <c r="A17" s="236"/>
      <c r="B17" s="239" t="s">
        <v>482</v>
      </c>
      <c r="C17" s="239">
        <v>2</v>
      </c>
      <c r="D17" s="239">
        <v>4</v>
      </c>
      <c r="E17" s="239">
        <v>0.5</v>
      </c>
      <c r="F17" s="240"/>
      <c r="G17" s="239">
        <v>16</v>
      </c>
      <c r="H17" s="239">
        <f>(12*E17*2)/12</f>
        <v>1</v>
      </c>
      <c r="I17" s="239">
        <f>G17+H17</f>
        <v>17</v>
      </c>
      <c r="J17" s="239">
        <f>(D17*2)/24</f>
        <v>0.33333333333333331</v>
      </c>
      <c r="K17" s="239">
        <f>C17*I17*J17</f>
        <v>11.333333333333332</v>
      </c>
      <c r="L17" s="241">
        <f>K17/2204</f>
        <v>5.14216575922565E-3</v>
      </c>
    </row>
    <row r="18" spans="1:12" ht="46.5" x14ac:dyDescent="0.65">
      <c r="A18" s="236"/>
      <c r="B18" s="239" t="s">
        <v>484</v>
      </c>
      <c r="C18" s="239">
        <v>2</v>
      </c>
      <c r="D18" s="239">
        <v>4</v>
      </c>
      <c r="E18" s="239">
        <v>0.5</v>
      </c>
      <c r="F18" s="240"/>
      <c r="G18" s="239">
        <v>16</v>
      </c>
      <c r="H18" s="239">
        <f>(12*E18*2)/12</f>
        <v>1</v>
      </c>
      <c r="I18" s="239">
        <f>G18+H18</f>
        <v>17</v>
      </c>
      <c r="J18" s="239">
        <f>(D18*2)/24</f>
        <v>0.33333333333333331</v>
      </c>
      <c r="K18" s="239">
        <f>C18*I18*J18</f>
        <v>11.333333333333332</v>
      </c>
      <c r="L18" s="241">
        <f>K18/2204</f>
        <v>5.14216575922565E-3</v>
      </c>
    </row>
    <row r="19" spans="1:12" ht="92.25" x14ac:dyDescent="1.3">
      <c r="A19" s="236"/>
      <c r="B19" s="239" t="s">
        <v>486</v>
      </c>
      <c r="C19" s="239">
        <v>28</v>
      </c>
      <c r="D19" s="239">
        <v>3</v>
      </c>
      <c r="E19" s="239">
        <f>D19/8</f>
        <v>0.375</v>
      </c>
      <c r="F19" s="242"/>
      <c r="G19" s="239">
        <v>5.8333000000000004</v>
      </c>
      <c r="H19" s="239">
        <f>(12*E19*2)/12</f>
        <v>0.75</v>
      </c>
      <c r="I19" s="239">
        <f>G19+H19</f>
        <v>6.5833000000000004</v>
      </c>
      <c r="J19" s="239">
        <f>(D19*2)/24</f>
        <v>0.25</v>
      </c>
      <c r="K19" s="239">
        <f>C19*I19*J19</f>
        <v>46.083100000000002</v>
      </c>
      <c r="L19" s="241">
        <f>K19/2204</f>
        <v>2.0908847549909258E-2</v>
      </c>
    </row>
    <row r="20" spans="1:12" x14ac:dyDescent="0.2">
      <c r="A20" s="236"/>
      <c r="B20" s="243" t="s">
        <v>126</v>
      </c>
      <c r="C20" s="239"/>
      <c r="D20" s="239"/>
      <c r="E20" s="239"/>
      <c r="F20" s="239"/>
      <c r="G20" s="239"/>
      <c r="H20" s="239"/>
      <c r="I20" s="239"/>
      <c r="J20" s="239"/>
      <c r="K20" s="244">
        <f>SUM(K17:K19)</f>
        <v>68.749766666666659</v>
      </c>
      <c r="L20" s="245">
        <f>SUM(L17:L19)</f>
        <v>3.1193179068360558E-2</v>
      </c>
    </row>
    <row r="21" spans="1:12" x14ac:dyDescent="0.2">
      <c r="A21" s="236"/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8"/>
    </row>
    <row r="22" spans="1:12" x14ac:dyDescent="0.2">
      <c r="A22" s="236">
        <v>1.4</v>
      </c>
      <c r="B22" s="237" t="s">
        <v>565</v>
      </c>
      <c r="C22" s="237"/>
      <c r="D22" s="237"/>
      <c r="E22" s="237"/>
      <c r="F22" s="237"/>
      <c r="G22" s="237"/>
      <c r="H22" s="237"/>
      <c r="I22" s="237"/>
      <c r="J22" s="237"/>
      <c r="K22" s="237"/>
      <c r="L22" s="238"/>
    </row>
    <row r="23" spans="1:12" ht="46.5" x14ac:dyDescent="0.65">
      <c r="A23" s="236"/>
      <c r="B23" s="239" t="s">
        <v>482</v>
      </c>
      <c r="C23" s="239">
        <v>2</v>
      </c>
      <c r="D23" s="239">
        <v>4</v>
      </c>
      <c r="E23" s="239">
        <v>0.5</v>
      </c>
      <c r="F23" s="240"/>
      <c r="G23" s="239">
        <v>5</v>
      </c>
      <c r="H23" s="239">
        <f>(12*E23*2)/12</f>
        <v>1</v>
      </c>
      <c r="I23" s="239">
        <f>G23+H23</f>
        <v>6</v>
      </c>
      <c r="J23" s="239">
        <f>(D23*2)/24</f>
        <v>0.33333333333333331</v>
      </c>
      <c r="K23" s="239">
        <f>C23*I23*J23</f>
        <v>4</v>
      </c>
      <c r="L23" s="241">
        <f>K23/2204</f>
        <v>1.8148820326678765E-3</v>
      </c>
    </row>
    <row r="24" spans="1:12" ht="46.5" x14ac:dyDescent="0.65">
      <c r="A24" s="236"/>
      <c r="B24" s="239" t="s">
        <v>484</v>
      </c>
      <c r="C24" s="239">
        <v>2</v>
      </c>
      <c r="D24" s="239">
        <v>4</v>
      </c>
      <c r="E24" s="239">
        <v>0.5</v>
      </c>
      <c r="F24" s="240"/>
      <c r="G24" s="239">
        <v>5</v>
      </c>
      <c r="H24" s="239">
        <f>(12*E24*2)/12</f>
        <v>1</v>
      </c>
      <c r="I24" s="239">
        <f>G24+H24</f>
        <v>6</v>
      </c>
      <c r="J24" s="239">
        <f>(D24*2)/24</f>
        <v>0.33333333333333331</v>
      </c>
      <c r="K24" s="239">
        <f>C24*I24*J24</f>
        <v>4</v>
      </c>
      <c r="L24" s="241">
        <f>K24/2204</f>
        <v>1.8148820326678765E-3</v>
      </c>
    </row>
    <row r="25" spans="1:12" ht="92.25" x14ac:dyDescent="1.3">
      <c r="A25" s="236"/>
      <c r="B25" s="239" t="s">
        <v>486</v>
      </c>
      <c r="C25" s="239">
        <v>10</v>
      </c>
      <c r="D25" s="239">
        <v>3</v>
      </c>
      <c r="E25" s="239">
        <f>D25/8</f>
        <v>0.375</v>
      </c>
      <c r="F25" s="242"/>
      <c r="G25" s="239">
        <v>5.8333000000000004</v>
      </c>
      <c r="H25" s="239">
        <f>(12*E25*2)/12</f>
        <v>0.75</v>
      </c>
      <c r="I25" s="239">
        <f>G25+H25</f>
        <v>6.5833000000000004</v>
      </c>
      <c r="J25" s="239">
        <f>(D25*2)/24</f>
        <v>0.25</v>
      </c>
      <c r="K25" s="239">
        <f>C25*I25*J25</f>
        <v>16.45825</v>
      </c>
      <c r="L25" s="241">
        <f>K25/2204</f>
        <v>7.4674455535390198E-3</v>
      </c>
    </row>
    <row r="26" spans="1:12" x14ac:dyDescent="0.2">
      <c r="A26" s="236"/>
      <c r="B26" s="243" t="s">
        <v>126</v>
      </c>
      <c r="C26" s="239"/>
      <c r="D26" s="239"/>
      <c r="E26" s="239"/>
      <c r="F26" s="239"/>
      <c r="G26" s="239"/>
      <c r="H26" s="239"/>
      <c r="I26" s="239"/>
      <c r="J26" s="239"/>
      <c r="K26" s="244">
        <f>SUM(K23:K25)</f>
        <v>24.45825</v>
      </c>
      <c r="L26" s="245">
        <f>SUM(L23:L25)</f>
        <v>1.1097209618874773E-2</v>
      </c>
    </row>
    <row r="27" spans="1:12" x14ac:dyDescent="0.2">
      <c r="A27" s="236"/>
      <c r="B27" s="237"/>
      <c r="C27" s="237"/>
      <c r="D27" s="237"/>
      <c r="E27" s="237"/>
      <c r="F27" s="237"/>
      <c r="G27" s="237"/>
      <c r="H27" s="237"/>
      <c r="I27" s="237"/>
      <c r="J27" s="237"/>
      <c r="K27" s="237"/>
      <c r="L27" s="238"/>
    </row>
    <row r="28" spans="1:12" x14ac:dyDescent="0.2">
      <c r="A28" s="236">
        <v>1.5</v>
      </c>
      <c r="B28" s="237" t="s">
        <v>564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</row>
    <row r="29" spans="1:12" ht="46.5" x14ac:dyDescent="0.65">
      <c r="A29" s="236"/>
      <c r="B29" s="239" t="s">
        <v>482</v>
      </c>
      <c r="C29" s="239">
        <v>2</v>
      </c>
      <c r="D29" s="239">
        <v>4</v>
      </c>
      <c r="E29" s="239">
        <v>0.5</v>
      </c>
      <c r="F29" s="240"/>
      <c r="G29" s="239">
        <v>14.25</v>
      </c>
      <c r="H29" s="239">
        <f>(12*E29*2)/12</f>
        <v>1</v>
      </c>
      <c r="I29" s="239">
        <f>G29+H29</f>
        <v>15.25</v>
      </c>
      <c r="J29" s="239">
        <f>(D29*2)/24</f>
        <v>0.33333333333333331</v>
      </c>
      <c r="K29" s="239">
        <f>C29*I29*J29</f>
        <v>10.166666666666666</v>
      </c>
      <c r="L29" s="241">
        <f>K29/2204</f>
        <v>4.6128251663641864E-3</v>
      </c>
    </row>
    <row r="30" spans="1:12" ht="46.5" x14ac:dyDescent="0.65">
      <c r="A30" s="236"/>
      <c r="B30" s="239" t="s">
        <v>484</v>
      </c>
      <c r="C30" s="239">
        <v>2</v>
      </c>
      <c r="D30" s="239">
        <v>4</v>
      </c>
      <c r="E30" s="239">
        <v>0.5</v>
      </c>
      <c r="F30" s="240"/>
      <c r="G30" s="239">
        <v>14.25</v>
      </c>
      <c r="H30" s="239">
        <f>(12*E30*2)/12</f>
        <v>1</v>
      </c>
      <c r="I30" s="239">
        <f>G30+H30</f>
        <v>15.25</v>
      </c>
      <c r="J30" s="239">
        <f>(D30*2)/24</f>
        <v>0.33333333333333331</v>
      </c>
      <c r="K30" s="239">
        <f>C30*I30*J30</f>
        <v>10.166666666666666</v>
      </c>
      <c r="L30" s="241">
        <f>K30/2204</f>
        <v>4.6128251663641864E-3</v>
      </c>
    </row>
    <row r="31" spans="1:12" ht="92.25" x14ac:dyDescent="1.3">
      <c r="A31" s="236"/>
      <c r="B31" s="239" t="s">
        <v>486</v>
      </c>
      <c r="C31" s="239">
        <v>28</v>
      </c>
      <c r="D31" s="239">
        <v>3</v>
      </c>
      <c r="E31" s="239">
        <f>D31/8</f>
        <v>0.375</v>
      </c>
      <c r="F31" s="242"/>
      <c r="G31" s="239">
        <v>5.8333000000000004</v>
      </c>
      <c r="H31" s="239">
        <f>(12*E31*2)/12</f>
        <v>0.75</v>
      </c>
      <c r="I31" s="239">
        <f>G31+H31</f>
        <v>6.5833000000000004</v>
      </c>
      <c r="J31" s="239">
        <f>(D31*2)/24</f>
        <v>0.25</v>
      </c>
      <c r="K31" s="239">
        <f>C31*I31*J31</f>
        <v>46.083100000000002</v>
      </c>
      <c r="L31" s="241">
        <f>K31/2204</f>
        <v>2.0908847549909258E-2</v>
      </c>
    </row>
    <row r="32" spans="1:12" x14ac:dyDescent="0.2">
      <c r="A32" s="236"/>
      <c r="B32" s="243" t="s">
        <v>126</v>
      </c>
      <c r="C32" s="239"/>
      <c r="D32" s="239"/>
      <c r="E32" s="239"/>
      <c r="F32" s="239"/>
      <c r="G32" s="239"/>
      <c r="H32" s="239"/>
      <c r="I32" s="239"/>
      <c r="J32" s="239"/>
      <c r="K32" s="244">
        <f>SUM(K29:K31)</f>
        <v>66.41643333333333</v>
      </c>
      <c r="L32" s="245">
        <f>SUM(L29:L31)</f>
        <v>3.0134497882637633E-2</v>
      </c>
    </row>
    <row r="33" spans="1:12" x14ac:dyDescent="0.2">
      <c r="A33" s="236"/>
      <c r="B33" s="237"/>
      <c r="C33" s="237"/>
      <c r="D33" s="237"/>
      <c r="E33" s="237"/>
      <c r="F33" s="237"/>
      <c r="G33" s="237"/>
      <c r="H33" s="237"/>
      <c r="I33" s="237"/>
      <c r="J33" s="237"/>
      <c r="K33" s="237"/>
      <c r="L33" s="238"/>
    </row>
    <row r="34" spans="1:12" x14ac:dyDescent="0.2">
      <c r="A34" s="236">
        <v>1.6</v>
      </c>
      <c r="B34" s="237" t="s">
        <v>563</v>
      </c>
      <c r="C34" s="237"/>
      <c r="D34" s="237"/>
      <c r="E34" s="237"/>
      <c r="F34" s="237"/>
      <c r="G34" s="237"/>
      <c r="H34" s="237"/>
      <c r="I34" s="237"/>
      <c r="J34" s="237"/>
      <c r="K34" s="237"/>
      <c r="L34" s="238"/>
    </row>
    <row r="35" spans="1:12" ht="46.5" x14ac:dyDescent="0.65">
      <c r="A35" s="236"/>
      <c r="B35" s="239" t="s">
        <v>482</v>
      </c>
      <c r="C35" s="239">
        <v>2</v>
      </c>
      <c r="D35" s="239">
        <v>4</v>
      </c>
      <c r="E35" s="239">
        <v>0.5</v>
      </c>
      <c r="F35" s="240"/>
      <c r="G35" s="239">
        <v>7.25</v>
      </c>
      <c r="H35" s="239">
        <f>(12*E35*2)/12</f>
        <v>1</v>
      </c>
      <c r="I35" s="239">
        <f>G35+H35</f>
        <v>8.25</v>
      </c>
      <c r="J35" s="239">
        <f>(D35*2)/24</f>
        <v>0.33333333333333331</v>
      </c>
      <c r="K35" s="239">
        <f>C35*I35*J35</f>
        <v>5.5</v>
      </c>
      <c r="L35" s="241">
        <f>K35/2204</f>
        <v>2.4954627949183303E-3</v>
      </c>
    </row>
    <row r="36" spans="1:12" ht="46.5" x14ac:dyDescent="0.65">
      <c r="A36" s="236"/>
      <c r="B36" s="239" t="s">
        <v>484</v>
      </c>
      <c r="C36" s="239">
        <v>2</v>
      </c>
      <c r="D36" s="239">
        <v>4</v>
      </c>
      <c r="E36" s="239">
        <v>0.5</v>
      </c>
      <c r="F36" s="240"/>
      <c r="G36" s="239">
        <v>7.25</v>
      </c>
      <c r="H36" s="239">
        <f>(12*E36*2)/12</f>
        <v>1</v>
      </c>
      <c r="I36" s="239">
        <f>G36+H36</f>
        <v>8.25</v>
      </c>
      <c r="J36" s="239">
        <f>(D36*2)/24</f>
        <v>0.33333333333333331</v>
      </c>
      <c r="K36" s="239">
        <f>C36*I36*J36</f>
        <v>5.5</v>
      </c>
      <c r="L36" s="241">
        <f>K36/2204</f>
        <v>2.4954627949183303E-3</v>
      </c>
    </row>
    <row r="37" spans="1:12" ht="23.25" x14ac:dyDescent="0.2">
      <c r="A37" s="236"/>
      <c r="B37" s="239" t="s">
        <v>483</v>
      </c>
      <c r="C37" s="239">
        <v>2</v>
      </c>
      <c r="D37" s="239">
        <v>4</v>
      </c>
      <c r="E37" s="239">
        <v>0.5</v>
      </c>
      <c r="F37" s="246"/>
      <c r="G37" s="239">
        <v>5.33</v>
      </c>
      <c r="H37" s="239"/>
      <c r="I37" s="239">
        <f>G37+H37</f>
        <v>5.33</v>
      </c>
      <c r="J37" s="239">
        <f>(D37*2)/24</f>
        <v>0.33333333333333331</v>
      </c>
      <c r="K37" s="239">
        <f>C37*I37*J37</f>
        <v>3.5533333333333332</v>
      </c>
      <c r="L37" s="241">
        <f>K37/2204</f>
        <v>1.6122202056866304E-3</v>
      </c>
    </row>
    <row r="38" spans="1:12" ht="92.25" x14ac:dyDescent="1.3">
      <c r="A38" s="236"/>
      <c r="B38" s="239" t="s">
        <v>486</v>
      </c>
      <c r="C38" s="239">
        <v>16</v>
      </c>
      <c r="D38" s="239">
        <v>3</v>
      </c>
      <c r="E38" s="239">
        <f>D38/8</f>
        <v>0.375</v>
      </c>
      <c r="F38" s="242"/>
      <c r="G38" s="239">
        <v>3.5</v>
      </c>
      <c r="H38" s="239">
        <f>(12*E38*2)/12</f>
        <v>0.75</v>
      </c>
      <c r="I38" s="239">
        <f>G38+H38</f>
        <v>4.25</v>
      </c>
      <c r="J38" s="239">
        <f>(D38*2)/24</f>
        <v>0.25</v>
      </c>
      <c r="K38" s="239">
        <f>C38*I38*J38</f>
        <v>17</v>
      </c>
      <c r="L38" s="241">
        <f>K38/2204</f>
        <v>7.7132486388384758E-3</v>
      </c>
    </row>
    <row r="39" spans="1:12" x14ac:dyDescent="0.2">
      <c r="A39" s="236"/>
      <c r="B39" s="243" t="s">
        <v>126</v>
      </c>
      <c r="C39" s="239"/>
      <c r="D39" s="239"/>
      <c r="E39" s="239"/>
      <c r="F39" s="239"/>
      <c r="G39" s="239"/>
      <c r="H39" s="239"/>
      <c r="I39" s="239"/>
      <c r="J39" s="239"/>
      <c r="K39" s="244">
        <f>SUM(K35:K38)</f>
        <v>31.553333333333335</v>
      </c>
      <c r="L39" s="245">
        <f>SUM(L35:L38)</f>
        <v>1.4316394434361767E-2</v>
      </c>
    </row>
    <row r="40" spans="1:12" x14ac:dyDescent="0.2">
      <c r="A40" s="236"/>
      <c r="B40" s="237"/>
      <c r="C40" s="237"/>
      <c r="D40" s="237"/>
      <c r="E40" s="237"/>
      <c r="F40" s="237"/>
      <c r="G40" s="237"/>
      <c r="H40" s="237"/>
      <c r="I40" s="237"/>
      <c r="J40" s="237"/>
      <c r="K40" s="237"/>
      <c r="L40" s="238"/>
    </row>
    <row r="41" spans="1:12" x14ac:dyDescent="0.2">
      <c r="A41" s="236">
        <v>1.7</v>
      </c>
      <c r="B41" s="237" t="s">
        <v>562</v>
      </c>
      <c r="C41" s="237"/>
      <c r="D41" s="237"/>
      <c r="E41" s="237"/>
      <c r="F41" s="237"/>
      <c r="G41" s="237"/>
      <c r="H41" s="237"/>
      <c r="I41" s="237"/>
      <c r="J41" s="237"/>
      <c r="K41" s="237"/>
      <c r="L41" s="238"/>
    </row>
    <row r="42" spans="1:12" ht="46.5" x14ac:dyDescent="0.65">
      <c r="A42" s="236"/>
      <c r="B42" s="239" t="s">
        <v>482</v>
      </c>
      <c r="C42" s="239">
        <v>2</v>
      </c>
      <c r="D42" s="239">
        <v>4</v>
      </c>
      <c r="E42" s="239">
        <v>0.5</v>
      </c>
      <c r="F42" s="240"/>
      <c r="G42" s="239">
        <v>22.25</v>
      </c>
      <c r="H42" s="239">
        <f>(12*E42*2)/12</f>
        <v>1</v>
      </c>
      <c r="I42" s="239">
        <f>G42+H42</f>
        <v>23.25</v>
      </c>
      <c r="J42" s="239">
        <f>(D42*2)/24</f>
        <v>0.33333333333333331</v>
      </c>
      <c r="K42" s="239">
        <f>C42*I42*J42</f>
        <v>15.5</v>
      </c>
      <c r="L42" s="241">
        <f>K42/2204</f>
        <v>7.032667876588022E-3</v>
      </c>
    </row>
    <row r="43" spans="1:12" ht="46.5" x14ac:dyDescent="0.65">
      <c r="A43" s="236"/>
      <c r="B43" s="239" t="s">
        <v>484</v>
      </c>
      <c r="C43" s="239">
        <v>2</v>
      </c>
      <c r="D43" s="239">
        <v>4</v>
      </c>
      <c r="E43" s="239">
        <v>0.5</v>
      </c>
      <c r="F43" s="240"/>
      <c r="G43" s="239">
        <v>22.25</v>
      </c>
      <c r="H43" s="239">
        <f>(12*E43*2)/12</f>
        <v>1</v>
      </c>
      <c r="I43" s="239">
        <f>G43+H43</f>
        <v>23.25</v>
      </c>
      <c r="J43" s="239">
        <f>(D43*2)/24</f>
        <v>0.33333333333333331</v>
      </c>
      <c r="K43" s="239">
        <f>C43*I43*J43</f>
        <v>15.5</v>
      </c>
      <c r="L43" s="241">
        <f>K43/2204</f>
        <v>7.032667876588022E-3</v>
      </c>
    </row>
    <row r="44" spans="1:12" ht="46.5" x14ac:dyDescent="0.2">
      <c r="A44" s="236"/>
      <c r="B44" s="239" t="s">
        <v>561</v>
      </c>
      <c r="C44" s="239">
        <v>2</v>
      </c>
      <c r="D44" s="239">
        <v>4</v>
      </c>
      <c r="E44" s="239">
        <v>0.5</v>
      </c>
      <c r="F44" s="247"/>
      <c r="G44" s="239">
        <v>3.75</v>
      </c>
      <c r="H44" s="239">
        <f>(12*E44*2)/12</f>
        <v>1</v>
      </c>
      <c r="I44" s="239">
        <f>G44+H44</f>
        <v>4.75</v>
      </c>
      <c r="J44" s="239">
        <f>(D44*2)/24</f>
        <v>0.33333333333333331</v>
      </c>
      <c r="K44" s="239">
        <f>C44*I44*J44</f>
        <v>3.1666666666666665</v>
      </c>
      <c r="L44" s="241">
        <f>K44/2204</f>
        <v>1.4367816091954023E-3</v>
      </c>
    </row>
    <row r="45" spans="1:12" ht="92.25" x14ac:dyDescent="1.3">
      <c r="A45" s="236"/>
      <c r="B45" s="239" t="s">
        <v>486</v>
      </c>
      <c r="C45" s="239">
        <v>43</v>
      </c>
      <c r="D45" s="239">
        <v>3</v>
      </c>
      <c r="E45" s="239">
        <f>D45/8</f>
        <v>0.375</v>
      </c>
      <c r="F45" s="242"/>
      <c r="G45" s="239">
        <v>5.8333000000000004</v>
      </c>
      <c r="H45" s="239">
        <f>(12*E45*2)/12</f>
        <v>0.75</v>
      </c>
      <c r="I45" s="239">
        <f>G45+H45</f>
        <v>6.5833000000000004</v>
      </c>
      <c r="J45" s="239">
        <f>(D45*2)/24</f>
        <v>0.25</v>
      </c>
      <c r="K45" s="239">
        <f>C45*I45*J45</f>
        <v>70.770475000000005</v>
      </c>
      <c r="L45" s="241">
        <f>K45/2204</f>
        <v>3.2110015880217786E-2</v>
      </c>
    </row>
    <row r="46" spans="1:12" x14ac:dyDescent="0.2">
      <c r="A46" s="236"/>
      <c r="B46" s="243" t="s">
        <v>126</v>
      </c>
      <c r="C46" s="239"/>
      <c r="D46" s="239"/>
      <c r="E46" s="239"/>
      <c r="F46" s="239"/>
      <c r="G46" s="239"/>
      <c r="H46" s="239"/>
      <c r="I46" s="239"/>
      <c r="J46" s="239"/>
      <c r="K46" s="244">
        <f>SUM(K42:K45)</f>
        <v>104.93714166666666</v>
      </c>
      <c r="L46" s="245">
        <f>SUM(L42:L45)</f>
        <v>4.7612133242589234E-2</v>
      </c>
    </row>
    <row r="47" spans="1:12" x14ac:dyDescent="0.2">
      <c r="A47" s="236"/>
      <c r="B47" s="237"/>
      <c r="C47" s="237"/>
      <c r="D47" s="237"/>
      <c r="E47" s="237"/>
      <c r="F47" s="237"/>
      <c r="G47" s="237"/>
      <c r="H47" s="237"/>
      <c r="I47" s="237"/>
      <c r="J47" s="237"/>
      <c r="K47" s="237"/>
      <c r="L47" s="238"/>
    </row>
    <row r="48" spans="1:12" x14ac:dyDescent="0.2">
      <c r="A48" s="236">
        <v>1.8</v>
      </c>
      <c r="B48" s="237" t="s">
        <v>560</v>
      </c>
      <c r="C48" s="237"/>
      <c r="D48" s="237"/>
      <c r="E48" s="237"/>
      <c r="F48" s="237"/>
      <c r="G48" s="237"/>
      <c r="H48" s="237"/>
      <c r="I48" s="237"/>
      <c r="J48" s="237"/>
      <c r="K48" s="237"/>
      <c r="L48" s="238"/>
    </row>
    <row r="49" spans="1:12" ht="46.5" x14ac:dyDescent="0.65">
      <c r="A49" s="236"/>
      <c r="B49" s="239" t="s">
        <v>482</v>
      </c>
      <c r="C49" s="239">
        <v>2</v>
      </c>
      <c r="D49" s="239">
        <v>4</v>
      </c>
      <c r="E49" s="239">
        <v>0.5</v>
      </c>
      <c r="F49" s="240"/>
      <c r="G49" s="239">
        <v>7.25</v>
      </c>
      <c r="H49" s="239">
        <f>(12*E49*2)/12</f>
        <v>1</v>
      </c>
      <c r="I49" s="239">
        <f>G49+H49</f>
        <v>8.25</v>
      </c>
      <c r="J49" s="239">
        <f>(D49*2)/24</f>
        <v>0.33333333333333331</v>
      </c>
      <c r="K49" s="239">
        <f>C49*I49*J49</f>
        <v>5.5</v>
      </c>
      <c r="L49" s="241">
        <f>K49/2204</f>
        <v>2.4954627949183303E-3</v>
      </c>
    </row>
    <row r="50" spans="1:12" ht="23.25" x14ac:dyDescent="0.2">
      <c r="A50" s="236"/>
      <c r="B50" s="239" t="s">
        <v>483</v>
      </c>
      <c r="C50" s="239">
        <v>2</v>
      </c>
      <c r="D50" s="239">
        <v>4</v>
      </c>
      <c r="E50" s="239">
        <v>0.5</v>
      </c>
      <c r="F50" s="246"/>
      <c r="G50" s="239">
        <v>4.8330000000000002</v>
      </c>
      <c r="H50" s="239"/>
      <c r="I50" s="239">
        <f>G50+H50</f>
        <v>4.8330000000000002</v>
      </c>
      <c r="J50" s="239">
        <f>(D50*2)/24</f>
        <v>0.33333333333333331</v>
      </c>
      <c r="K50" s="239">
        <f>C50*I50*J50</f>
        <v>3.222</v>
      </c>
      <c r="L50" s="241">
        <f>K50/2204</f>
        <v>1.4618874773139746E-3</v>
      </c>
    </row>
    <row r="51" spans="1:12" ht="46.5" x14ac:dyDescent="0.65">
      <c r="A51" s="236"/>
      <c r="B51" s="239" t="s">
        <v>484</v>
      </c>
      <c r="C51" s="239">
        <v>2</v>
      </c>
      <c r="D51" s="239">
        <v>4</v>
      </c>
      <c r="E51" s="239">
        <v>0.5</v>
      </c>
      <c r="F51" s="240"/>
      <c r="G51" s="239">
        <v>7.25</v>
      </c>
      <c r="H51" s="239">
        <f>(12*E51*2)/12</f>
        <v>1</v>
      </c>
      <c r="I51" s="239">
        <f>G51+H51</f>
        <v>8.25</v>
      </c>
      <c r="J51" s="239">
        <f>(D51*2)/24</f>
        <v>0.33333333333333331</v>
      </c>
      <c r="K51" s="239">
        <f>C51*I51*J51</f>
        <v>5.5</v>
      </c>
      <c r="L51" s="241">
        <f>K51/2204</f>
        <v>2.4954627949183303E-3</v>
      </c>
    </row>
    <row r="52" spans="1:12" ht="92.25" x14ac:dyDescent="1.3">
      <c r="A52" s="236"/>
      <c r="B52" s="239" t="s">
        <v>486</v>
      </c>
      <c r="C52" s="239">
        <v>13</v>
      </c>
      <c r="D52" s="239">
        <v>3</v>
      </c>
      <c r="E52" s="239">
        <f>D52/8</f>
        <v>0.375</v>
      </c>
      <c r="F52" s="242"/>
      <c r="G52" s="239">
        <v>5.8333000000000004</v>
      </c>
      <c r="H52" s="239">
        <f>(12*E52*2)/12</f>
        <v>0.75</v>
      </c>
      <c r="I52" s="239">
        <f>G52+H52</f>
        <v>6.5833000000000004</v>
      </c>
      <c r="J52" s="239">
        <f>(D52*2)/24</f>
        <v>0.25</v>
      </c>
      <c r="K52" s="239">
        <f>C52*I52*J52</f>
        <v>21.395725000000002</v>
      </c>
      <c r="L52" s="241">
        <f>K52/2204</f>
        <v>9.7076792196007268E-3</v>
      </c>
    </row>
    <row r="53" spans="1:12" x14ac:dyDescent="0.2">
      <c r="A53" s="236"/>
      <c r="B53" s="243" t="s">
        <v>126</v>
      </c>
      <c r="C53" s="239"/>
      <c r="D53" s="239"/>
      <c r="E53" s="239"/>
      <c r="F53" s="239"/>
      <c r="G53" s="239"/>
      <c r="H53" s="239"/>
      <c r="I53" s="239"/>
      <c r="J53" s="239"/>
      <c r="K53" s="244">
        <f>SUM(K49:K52)</f>
        <v>35.617725</v>
      </c>
      <c r="L53" s="245">
        <f>SUM(L49:L52)</f>
        <v>1.6160492286751361E-2</v>
      </c>
    </row>
    <row r="54" spans="1:12" x14ac:dyDescent="0.2">
      <c r="A54" s="236"/>
      <c r="B54" s="237"/>
      <c r="C54" s="237"/>
      <c r="D54" s="237"/>
      <c r="E54" s="237"/>
      <c r="F54" s="237"/>
      <c r="G54" s="237"/>
      <c r="H54" s="237"/>
      <c r="I54" s="237"/>
      <c r="J54" s="237"/>
      <c r="K54" s="237"/>
      <c r="L54" s="238"/>
    </row>
    <row r="55" spans="1:12" x14ac:dyDescent="0.2">
      <c r="A55" s="236">
        <v>1.9</v>
      </c>
      <c r="B55" s="237" t="s">
        <v>559</v>
      </c>
      <c r="C55" s="237"/>
      <c r="D55" s="237"/>
      <c r="E55" s="237"/>
      <c r="F55" s="237"/>
      <c r="G55" s="237"/>
      <c r="H55" s="237"/>
      <c r="I55" s="237"/>
      <c r="J55" s="237"/>
      <c r="K55" s="237"/>
      <c r="L55" s="238"/>
    </row>
    <row r="56" spans="1:12" ht="46.5" x14ac:dyDescent="0.65">
      <c r="A56" s="236"/>
      <c r="B56" s="239" t="s">
        <v>482</v>
      </c>
      <c r="C56" s="239">
        <v>2</v>
      </c>
      <c r="D56" s="239">
        <v>4</v>
      </c>
      <c r="E56" s="239">
        <v>0.5</v>
      </c>
      <c r="F56" s="240"/>
      <c r="G56" s="239">
        <v>16.75</v>
      </c>
      <c r="H56" s="239">
        <f>(12*E56*2)/12</f>
        <v>1</v>
      </c>
      <c r="I56" s="239">
        <f>G56+H56</f>
        <v>17.75</v>
      </c>
      <c r="J56" s="239">
        <f>(D56*2)/24</f>
        <v>0.33333333333333331</v>
      </c>
      <c r="K56" s="239">
        <f>C56*I56*J56</f>
        <v>11.833333333333332</v>
      </c>
      <c r="L56" s="241">
        <f>K56/2204</f>
        <v>5.369026013309134E-3</v>
      </c>
    </row>
    <row r="57" spans="1:12" ht="46.5" x14ac:dyDescent="0.65">
      <c r="A57" s="236"/>
      <c r="B57" s="239" t="s">
        <v>484</v>
      </c>
      <c r="C57" s="239">
        <v>2</v>
      </c>
      <c r="D57" s="239">
        <v>4</v>
      </c>
      <c r="E57" s="239">
        <v>0.5</v>
      </c>
      <c r="F57" s="240"/>
      <c r="G57" s="239">
        <v>16.75</v>
      </c>
      <c r="H57" s="239">
        <f>(12*E57*2)/12</f>
        <v>1</v>
      </c>
      <c r="I57" s="239">
        <f>G57+H57</f>
        <v>17.75</v>
      </c>
      <c r="J57" s="239">
        <f>(D57*2)/24</f>
        <v>0.33333333333333331</v>
      </c>
      <c r="K57" s="239">
        <f>C57*I57*J57</f>
        <v>11.833333333333332</v>
      </c>
      <c r="L57" s="241">
        <f>K57/2204</f>
        <v>5.369026013309134E-3</v>
      </c>
    </row>
    <row r="58" spans="1:12" ht="92.25" x14ac:dyDescent="1.3">
      <c r="A58" s="236"/>
      <c r="B58" s="239" t="s">
        <v>486</v>
      </c>
      <c r="C58" s="239">
        <v>31</v>
      </c>
      <c r="D58" s="239">
        <v>3</v>
      </c>
      <c r="E58" s="239">
        <f>D58/8</f>
        <v>0.375</v>
      </c>
      <c r="F58" s="242"/>
      <c r="G58" s="239">
        <v>5.8333000000000004</v>
      </c>
      <c r="H58" s="239">
        <f>(12*E58*2)/12</f>
        <v>0.75</v>
      </c>
      <c r="I58" s="239">
        <f>G58+H58</f>
        <v>6.5833000000000004</v>
      </c>
      <c r="J58" s="239">
        <f>(D58*2)/24</f>
        <v>0.25</v>
      </c>
      <c r="K58" s="239">
        <f>C58*I58*J58</f>
        <v>51.020575000000001</v>
      </c>
      <c r="L58" s="241">
        <f>K58/2204</f>
        <v>2.3149081215970962E-2</v>
      </c>
    </row>
    <row r="59" spans="1:12" x14ac:dyDescent="0.2">
      <c r="A59" s="236"/>
      <c r="B59" s="243" t="s">
        <v>126</v>
      </c>
      <c r="C59" s="239"/>
      <c r="D59" s="239"/>
      <c r="E59" s="239"/>
      <c r="F59" s="239"/>
      <c r="G59" s="239"/>
      <c r="H59" s="239"/>
      <c r="I59" s="239"/>
      <c r="J59" s="239"/>
      <c r="K59" s="244">
        <f>SUM(K56:K58)</f>
        <v>74.687241666666665</v>
      </c>
      <c r="L59" s="245">
        <f>SUM(L56:L58)</f>
        <v>3.3887133242589226E-2</v>
      </c>
    </row>
    <row r="60" spans="1:12" x14ac:dyDescent="0.2">
      <c r="A60" s="236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8"/>
    </row>
    <row r="61" spans="1:12" x14ac:dyDescent="0.2">
      <c r="A61" s="236" t="s">
        <v>475</v>
      </c>
      <c r="B61" s="237" t="s">
        <v>558</v>
      </c>
      <c r="C61" s="237"/>
      <c r="D61" s="237"/>
      <c r="E61" s="237"/>
      <c r="F61" s="237"/>
      <c r="G61" s="237"/>
      <c r="H61" s="237"/>
      <c r="I61" s="237"/>
      <c r="J61" s="237"/>
      <c r="K61" s="237"/>
      <c r="L61" s="238"/>
    </row>
    <row r="62" spans="1:12" ht="46.5" x14ac:dyDescent="0.65">
      <c r="A62" s="236"/>
      <c r="B62" s="239" t="s">
        <v>482</v>
      </c>
      <c r="C62" s="239">
        <v>2</v>
      </c>
      <c r="D62" s="239">
        <v>4</v>
      </c>
      <c r="E62" s="239">
        <v>0.5</v>
      </c>
      <c r="F62" s="240"/>
      <c r="G62" s="239">
        <v>14.25</v>
      </c>
      <c r="H62" s="239">
        <f>(12*E62*2)/12</f>
        <v>1</v>
      </c>
      <c r="I62" s="239">
        <f>G62+H62</f>
        <v>15.25</v>
      </c>
      <c r="J62" s="239">
        <f>(D62*2)/24</f>
        <v>0.33333333333333331</v>
      </c>
      <c r="K62" s="239">
        <f>C62*I62*J62</f>
        <v>10.166666666666666</v>
      </c>
      <c r="L62" s="241">
        <f>K62/2204</f>
        <v>4.6128251663641864E-3</v>
      </c>
    </row>
    <row r="63" spans="1:12" ht="23.25" x14ac:dyDescent="0.2">
      <c r="A63" s="236"/>
      <c r="B63" s="239" t="s">
        <v>483</v>
      </c>
      <c r="C63" s="239">
        <v>2</v>
      </c>
      <c r="D63" s="239">
        <v>4</v>
      </c>
      <c r="E63" s="239">
        <v>0.5</v>
      </c>
      <c r="F63" s="246"/>
      <c r="G63" s="239">
        <v>9</v>
      </c>
      <c r="H63" s="239"/>
      <c r="I63" s="239">
        <f>G63+H63</f>
        <v>9</v>
      </c>
      <c r="J63" s="239">
        <f>(D63*2)/24</f>
        <v>0.33333333333333331</v>
      </c>
      <c r="K63" s="239">
        <f>C63*I63*J63</f>
        <v>6</v>
      </c>
      <c r="L63" s="241">
        <f>K63/2204</f>
        <v>2.7223230490018148E-3</v>
      </c>
    </row>
    <row r="64" spans="1:12" ht="46.5" x14ac:dyDescent="0.65">
      <c r="A64" s="236"/>
      <c r="B64" s="239" t="s">
        <v>484</v>
      </c>
      <c r="C64" s="239">
        <v>2</v>
      </c>
      <c r="D64" s="239">
        <v>4</v>
      </c>
      <c r="E64" s="239">
        <v>0.5</v>
      </c>
      <c r="F64" s="240"/>
      <c r="G64" s="239">
        <v>14.25</v>
      </c>
      <c r="H64" s="239">
        <f>(12*E64*2)/12</f>
        <v>1</v>
      </c>
      <c r="I64" s="239">
        <f>G64+H64</f>
        <v>15.25</v>
      </c>
      <c r="J64" s="239">
        <f>(D64*2)/24</f>
        <v>0.33333333333333331</v>
      </c>
      <c r="K64" s="239">
        <f>C64*I64*J64</f>
        <v>10.166666666666666</v>
      </c>
      <c r="L64" s="241">
        <f>K64/2204</f>
        <v>4.6128251663641864E-3</v>
      </c>
    </row>
    <row r="65" spans="1:12" ht="92.25" x14ac:dyDescent="1.3">
      <c r="A65" s="236"/>
      <c r="B65" s="239" t="s">
        <v>486</v>
      </c>
      <c r="C65" s="239">
        <v>28</v>
      </c>
      <c r="D65" s="239">
        <v>3</v>
      </c>
      <c r="E65" s="239">
        <f>D65/8</f>
        <v>0.375</v>
      </c>
      <c r="F65" s="242"/>
      <c r="G65" s="239">
        <v>5.8333000000000004</v>
      </c>
      <c r="H65" s="239">
        <f>(12*E65*2)/12</f>
        <v>0.75</v>
      </c>
      <c r="I65" s="239">
        <f>G65+H65</f>
        <v>6.5833000000000004</v>
      </c>
      <c r="J65" s="239">
        <f>(D65*2)/24</f>
        <v>0.25</v>
      </c>
      <c r="K65" s="239">
        <f>C65*I65*J65</f>
        <v>46.083100000000002</v>
      </c>
      <c r="L65" s="241">
        <f>K65/2204</f>
        <v>2.0908847549909258E-2</v>
      </c>
    </row>
    <row r="66" spans="1:12" x14ac:dyDescent="0.2">
      <c r="A66" s="236"/>
      <c r="B66" s="243" t="s">
        <v>126</v>
      </c>
      <c r="C66" s="239"/>
      <c r="D66" s="239"/>
      <c r="E66" s="239"/>
      <c r="F66" s="239"/>
      <c r="G66" s="239"/>
      <c r="H66" s="239"/>
      <c r="I66" s="239"/>
      <c r="J66" s="239"/>
      <c r="K66" s="244">
        <f>SUM(K62:K65)</f>
        <v>72.41643333333333</v>
      </c>
      <c r="L66" s="245">
        <f>SUM(L62:L65)</f>
        <v>3.2856820931639441E-2</v>
      </c>
    </row>
    <row r="67" spans="1:12" x14ac:dyDescent="0.2">
      <c r="A67" s="236"/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8"/>
    </row>
    <row r="68" spans="1:12" x14ac:dyDescent="0.2">
      <c r="A68" s="236" t="s">
        <v>474</v>
      </c>
      <c r="B68" s="237" t="s">
        <v>557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8"/>
    </row>
    <row r="69" spans="1:12" ht="46.5" x14ac:dyDescent="0.65">
      <c r="A69" s="236"/>
      <c r="B69" s="239" t="s">
        <v>482</v>
      </c>
      <c r="C69" s="239">
        <v>2</v>
      </c>
      <c r="D69" s="239">
        <v>4</v>
      </c>
      <c r="E69" s="239">
        <v>0.5</v>
      </c>
      <c r="F69" s="240"/>
      <c r="G69" s="239">
        <v>16.75</v>
      </c>
      <c r="H69" s="239">
        <f>(12*E69*2)/12</f>
        <v>1</v>
      </c>
      <c r="I69" s="239">
        <f>G69+H69</f>
        <v>17.75</v>
      </c>
      <c r="J69" s="239">
        <f>(D69*2)/24</f>
        <v>0.33333333333333331</v>
      </c>
      <c r="K69" s="239">
        <f>C69*I69*J69</f>
        <v>11.833333333333332</v>
      </c>
      <c r="L69" s="241">
        <f>K69/2204</f>
        <v>5.369026013309134E-3</v>
      </c>
    </row>
    <row r="70" spans="1:12" ht="46.5" x14ac:dyDescent="0.65">
      <c r="A70" s="236"/>
      <c r="B70" s="239" t="s">
        <v>484</v>
      </c>
      <c r="C70" s="239">
        <v>2</v>
      </c>
      <c r="D70" s="239">
        <v>4</v>
      </c>
      <c r="E70" s="239">
        <v>0.5</v>
      </c>
      <c r="F70" s="240"/>
      <c r="G70" s="239">
        <v>16.75</v>
      </c>
      <c r="H70" s="239">
        <f>(12*E70*2)/12</f>
        <v>1</v>
      </c>
      <c r="I70" s="239">
        <f>G70+H70</f>
        <v>17.75</v>
      </c>
      <c r="J70" s="239">
        <f>(D70*2)/24</f>
        <v>0.33333333333333331</v>
      </c>
      <c r="K70" s="239">
        <f>C70*I70*J70</f>
        <v>11.833333333333332</v>
      </c>
      <c r="L70" s="241">
        <f>K70/2204</f>
        <v>5.369026013309134E-3</v>
      </c>
    </row>
    <row r="71" spans="1:12" ht="92.25" x14ac:dyDescent="1.3">
      <c r="A71" s="236"/>
      <c r="B71" s="239" t="s">
        <v>486</v>
      </c>
      <c r="C71" s="239">
        <v>31</v>
      </c>
      <c r="D71" s="239">
        <v>3</v>
      </c>
      <c r="E71" s="239">
        <f>D71/8</f>
        <v>0.375</v>
      </c>
      <c r="F71" s="242"/>
      <c r="G71" s="239">
        <v>5.8333000000000004</v>
      </c>
      <c r="H71" s="239">
        <f>(12*E71*2)/12</f>
        <v>0.75</v>
      </c>
      <c r="I71" s="239">
        <f>G71+H71</f>
        <v>6.5833000000000004</v>
      </c>
      <c r="J71" s="239">
        <f>(D71*2)/24</f>
        <v>0.25</v>
      </c>
      <c r="K71" s="239">
        <f>C71*I71*J71</f>
        <v>51.020575000000001</v>
      </c>
      <c r="L71" s="241">
        <f>K71/2204</f>
        <v>2.3149081215970962E-2</v>
      </c>
    </row>
    <row r="72" spans="1:12" x14ac:dyDescent="0.2">
      <c r="A72" s="236"/>
      <c r="B72" s="243" t="s">
        <v>126</v>
      </c>
      <c r="C72" s="239"/>
      <c r="D72" s="239"/>
      <c r="E72" s="239"/>
      <c r="F72" s="239"/>
      <c r="G72" s="239"/>
      <c r="H72" s="239"/>
      <c r="I72" s="239"/>
      <c r="J72" s="239"/>
      <c r="K72" s="244">
        <f>SUM(K69:K71)</f>
        <v>74.687241666666665</v>
      </c>
      <c r="L72" s="245">
        <f>SUM(L69:L71)</f>
        <v>3.3887133242589226E-2</v>
      </c>
    </row>
    <row r="73" spans="1:12" x14ac:dyDescent="0.2">
      <c r="A73" s="236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8"/>
    </row>
    <row r="74" spans="1:12" x14ac:dyDescent="0.2">
      <c r="A74" s="236" t="s">
        <v>466</v>
      </c>
      <c r="B74" s="237" t="s">
        <v>556</v>
      </c>
      <c r="C74" s="237"/>
      <c r="D74" s="237"/>
      <c r="E74" s="237"/>
      <c r="F74" s="237"/>
      <c r="G74" s="237"/>
      <c r="H74" s="237"/>
      <c r="I74" s="237"/>
      <c r="J74" s="237"/>
      <c r="K74" s="237"/>
      <c r="L74" s="238"/>
    </row>
    <row r="75" spans="1:12" ht="46.5" x14ac:dyDescent="0.65">
      <c r="A75" s="236"/>
      <c r="B75" s="239" t="s">
        <v>482</v>
      </c>
      <c r="C75" s="239">
        <v>2</v>
      </c>
      <c r="D75" s="239">
        <v>4</v>
      </c>
      <c r="E75" s="239">
        <v>0.5</v>
      </c>
      <c r="F75" s="240"/>
      <c r="G75" s="239">
        <v>14.25</v>
      </c>
      <c r="H75" s="239">
        <f>(12*E75*2)/12</f>
        <v>1</v>
      </c>
      <c r="I75" s="239">
        <f>G75+H75</f>
        <v>15.25</v>
      </c>
      <c r="J75" s="239">
        <f>(D75*2)/24</f>
        <v>0.33333333333333331</v>
      </c>
      <c r="K75" s="239">
        <f>C75*I75*J75</f>
        <v>10.166666666666666</v>
      </c>
      <c r="L75" s="241">
        <f>K75/2204</f>
        <v>4.6128251663641864E-3</v>
      </c>
    </row>
    <row r="76" spans="1:12" ht="46.5" x14ac:dyDescent="0.65">
      <c r="A76" s="236"/>
      <c r="B76" s="239" t="s">
        <v>484</v>
      </c>
      <c r="C76" s="239">
        <v>2</v>
      </c>
      <c r="D76" s="239">
        <v>4</v>
      </c>
      <c r="E76" s="239">
        <v>0.5</v>
      </c>
      <c r="F76" s="240"/>
      <c r="G76" s="239">
        <v>14.25</v>
      </c>
      <c r="H76" s="239">
        <f>(12*E76*2)/12</f>
        <v>1</v>
      </c>
      <c r="I76" s="239">
        <f>G76+H76</f>
        <v>15.25</v>
      </c>
      <c r="J76" s="239">
        <f>(D76*2)/24</f>
        <v>0.33333333333333331</v>
      </c>
      <c r="K76" s="239">
        <f>C76*I76*J76</f>
        <v>10.166666666666666</v>
      </c>
      <c r="L76" s="241">
        <f>K76/2204</f>
        <v>4.6128251663641864E-3</v>
      </c>
    </row>
    <row r="77" spans="1:12" ht="92.25" x14ac:dyDescent="1.3">
      <c r="A77" s="236"/>
      <c r="B77" s="239" t="s">
        <v>486</v>
      </c>
      <c r="C77" s="239">
        <v>28</v>
      </c>
      <c r="D77" s="239">
        <v>3</v>
      </c>
      <c r="E77" s="239">
        <f>D77/8</f>
        <v>0.375</v>
      </c>
      <c r="F77" s="242"/>
      <c r="G77" s="239">
        <v>5.8333000000000004</v>
      </c>
      <c r="H77" s="239">
        <f>(12*E77*2)/12</f>
        <v>0.75</v>
      </c>
      <c r="I77" s="239">
        <f>G77+H77</f>
        <v>6.5833000000000004</v>
      </c>
      <c r="J77" s="239">
        <f>(D77*2)/24</f>
        <v>0.25</v>
      </c>
      <c r="K77" s="239">
        <f>C77*I77*J77</f>
        <v>46.083100000000002</v>
      </c>
      <c r="L77" s="241">
        <f>K77/2204</f>
        <v>2.0908847549909258E-2</v>
      </c>
    </row>
    <row r="78" spans="1:12" x14ac:dyDescent="0.2">
      <c r="A78" s="236"/>
      <c r="B78" s="243" t="s">
        <v>126</v>
      </c>
      <c r="C78" s="239"/>
      <c r="D78" s="239"/>
      <c r="E78" s="239"/>
      <c r="F78" s="239"/>
      <c r="G78" s="239"/>
      <c r="H78" s="239"/>
      <c r="I78" s="239"/>
      <c r="J78" s="239"/>
      <c r="K78" s="244">
        <f>SUM(K75:K77)</f>
        <v>66.41643333333333</v>
      </c>
      <c r="L78" s="245">
        <f>SUM(L75:L77)</f>
        <v>3.0134497882637633E-2</v>
      </c>
    </row>
    <row r="79" spans="1:12" x14ac:dyDescent="0.2">
      <c r="A79" s="236"/>
      <c r="B79" s="237"/>
      <c r="C79" s="237"/>
      <c r="D79" s="237"/>
      <c r="E79" s="237"/>
      <c r="F79" s="237"/>
      <c r="G79" s="237"/>
      <c r="H79" s="237"/>
      <c r="I79" s="237"/>
      <c r="J79" s="237"/>
      <c r="K79" s="237"/>
      <c r="L79" s="238"/>
    </row>
    <row r="80" spans="1:12" x14ac:dyDescent="0.2">
      <c r="A80" s="236" t="s">
        <v>473</v>
      </c>
      <c r="B80" s="237" t="s">
        <v>555</v>
      </c>
      <c r="C80" s="237"/>
      <c r="D80" s="237"/>
      <c r="E80" s="237"/>
      <c r="F80" s="237"/>
      <c r="G80" s="237"/>
      <c r="H80" s="237"/>
      <c r="I80" s="237"/>
      <c r="J80" s="237"/>
      <c r="K80" s="237"/>
      <c r="L80" s="238"/>
    </row>
    <row r="81" spans="1:12" ht="46.5" x14ac:dyDescent="0.65">
      <c r="A81" s="236"/>
      <c r="B81" s="239" t="s">
        <v>482</v>
      </c>
      <c r="C81" s="239">
        <v>2</v>
      </c>
      <c r="D81" s="239">
        <v>4</v>
      </c>
      <c r="E81" s="239">
        <v>0.5</v>
      </c>
      <c r="F81" s="240"/>
      <c r="G81" s="239">
        <v>9.0832999999999995</v>
      </c>
      <c r="H81" s="239">
        <f>(12*E81*2)/12</f>
        <v>1</v>
      </c>
      <c r="I81" s="239">
        <f>G81+H81</f>
        <v>10.083299999999999</v>
      </c>
      <c r="J81" s="239">
        <f>(D81*2)/24</f>
        <v>0.33333333333333331</v>
      </c>
      <c r="K81" s="239">
        <f>C81*I81*J81</f>
        <v>6.7221999999999991</v>
      </c>
      <c r="L81" s="241">
        <f>K81/2204</f>
        <v>3.0499999999999998E-3</v>
      </c>
    </row>
    <row r="82" spans="1:12" ht="46.5" x14ac:dyDescent="0.65">
      <c r="A82" s="236"/>
      <c r="B82" s="239" t="s">
        <v>484</v>
      </c>
      <c r="C82" s="239">
        <v>2</v>
      </c>
      <c r="D82" s="239">
        <v>4</v>
      </c>
      <c r="E82" s="239">
        <v>0.5</v>
      </c>
      <c r="F82" s="240"/>
      <c r="G82" s="239">
        <v>9.0832999999999995</v>
      </c>
      <c r="H82" s="239">
        <f>(12*E82*2)/12</f>
        <v>1</v>
      </c>
      <c r="I82" s="239">
        <f>G82+H82</f>
        <v>10.083299999999999</v>
      </c>
      <c r="J82" s="239">
        <f>(D82*2)/24</f>
        <v>0.33333333333333331</v>
      </c>
      <c r="K82" s="239">
        <f>C82*I82*J82</f>
        <v>6.7221999999999991</v>
      </c>
      <c r="L82" s="241">
        <f>K82/2204</f>
        <v>3.0499999999999998E-3</v>
      </c>
    </row>
    <row r="83" spans="1:12" ht="92.25" x14ac:dyDescent="1.3">
      <c r="A83" s="236"/>
      <c r="B83" s="239" t="s">
        <v>486</v>
      </c>
      <c r="C83" s="239">
        <v>19</v>
      </c>
      <c r="D83" s="239">
        <v>3</v>
      </c>
      <c r="E83" s="239">
        <f>D83/8</f>
        <v>0.375</v>
      </c>
      <c r="F83" s="242"/>
      <c r="G83" s="239">
        <v>5.8333000000000004</v>
      </c>
      <c r="H83" s="239">
        <f>(12*E83*2)/12</f>
        <v>0.75</v>
      </c>
      <c r="I83" s="239">
        <f>G83+H83</f>
        <v>6.5833000000000004</v>
      </c>
      <c r="J83" s="239">
        <f>(D83*2)/24</f>
        <v>0.25</v>
      </c>
      <c r="K83" s="239">
        <f>C83*I83*J83</f>
        <v>31.270675000000001</v>
      </c>
      <c r="L83" s="241">
        <f>K83/2204</f>
        <v>1.4188146551724139E-2</v>
      </c>
    </row>
    <row r="84" spans="1:12" x14ac:dyDescent="0.2">
      <c r="A84" s="236"/>
      <c r="B84" s="243" t="s">
        <v>126</v>
      </c>
      <c r="C84" s="239"/>
      <c r="D84" s="239"/>
      <c r="E84" s="239"/>
      <c r="F84" s="239"/>
      <c r="G84" s="239"/>
      <c r="H84" s="239"/>
      <c r="I84" s="239"/>
      <c r="J84" s="239"/>
      <c r="K84" s="244">
        <f>SUM(K81:K83)</f>
        <v>44.715074999999999</v>
      </c>
      <c r="L84" s="245">
        <f>SUM(L81:L83)</f>
        <v>2.0288146551724139E-2</v>
      </c>
    </row>
    <row r="85" spans="1:12" x14ac:dyDescent="0.2">
      <c r="A85" s="236"/>
      <c r="B85" s="237"/>
      <c r="C85" s="237"/>
      <c r="D85" s="237"/>
      <c r="E85" s="237"/>
      <c r="F85" s="237"/>
      <c r="G85" s="237"/>
      <c r="H85" s="237"/>
      <c r="I85" s="237"/>
      <c r="J85" s="237"/>
      <c r="K85" s="237"/>
      <c r="L85" s="238"/>
    </row>
    <row r="86" spans="1:12" x14ac:dyDescent="0.2">
      <c r="A86" s="236" t="s">
        <v>472</v>
      </c>
      <c r="B86" s="237" t="s">
        <v>554</v>
      </c>
      <c r="C86" s="237"/>
      <c r="D86" s="237"/>
      <c r="E86" s="237"/>
      <c r="F86" s="237"/>
      <c r="G86" s="237"/>
      <c r="H86" s="237"/>
      <c r="I86" s="237"/>
      <c r="J86" s="237"/>
      <c r="K86" s="237"/>
      <c r="L86" s="238"/>
    </row>
    <row r="87" spans="1:12" ht="46.5" x14ac:dyDescent="0.65">
      <c r="A87" s="236"/>
      <c r="B87" s="239" t="s">
        <v>482</v>
      </c>
      <c r="C87" s="239">
        <v>2</v>
      </c>
      <c r="D87" s="239">
        <v>4</v>
      </c>
      <c r="E87" s="239">
        <v>0.5</v>
      </c>
      <c r="F87" s="240"/>
      <c r="G87" s="239">
        <v>10.6167</v>
      </c>
      <c r="H87" s="239">
        <f>(12*E87*2)/12</f>
        <v>1</v>
      </c>
      <c r="I87" s="239">
        <f>G87+H87</f>
        <v>11.6167</v>
      </c>
      <c r="J87" s="239">
        <f>(D87*2)/24</f>
        <v>0.33333333333333331</v>
      </c>
      <c r="K87" s="239">
        <f>C87*I87*J87</f>
        <v>7.7444666666666659</v>
      </c>
      <c r="L87" s="241">
        <f>K87/2204</f>
        <v>3.5138233514821534E-3</v>
      </c>
    </row>
    <row r="88" spans="1:12" ht="46.5" x14ac:dyDescent="0.65">
      <c r="A88" s="236"/>
      <c r="B88" s="239" t="s">
        <v>484</v>
      </c>
      <c r="C88" s="239">
        <v>2</v>
      </c>
      <c r="D88" s="239">
        <v>4</v>
      </c>
      <c r="E88" s="239">
        <v>0.5</v>
      </c>
      <c r="F88" s="240"/>
      <c r="G88" s="239">
        <v>10.6167</v>
      </c>
      <c r="H88" s="239">
        <f>(12*E88*2)/12</f>
        <v>1</v>
      </c>
      <c r="I88" s="239">
        <f>G88+H88</f>
        <v>11.6167</v>
      </c>
      <c r="J88" s="239">
        <f>(D88*2)/24</f>
        <v>0.33333333333333331</v>
      </c>
      <c r="K88" s="239">
        <f>C88*I88*J88</f>
        <v>7.7444666666666659</v>
      </c>
      <c r="L88" s="241">
        <f>K88/2204</f>
        <v>3.5138233514821534E-3</v>
      </c>
    </row>
    <row r="89" spans="1:12" ht="92.25" x14ac:dyDescent="1.3">
      <c r="A89" s="236"/>
      <c r="B89" s="239" t="s">
        <v>486</v>
      </c>
      <c r="C89" s="239">
        <v>19</v>
      </c>
      <c r="D89" s="239">
        <v>3</v>
      </c>
      <c r="E89" s="239">
        <f>D89/8</f>
        <v>0.375</v>
      </c>
      <c r="F89" s="242"/>
      <c r="G89" s="239">
        <v>5.8333000000000004</v>
      </c>
      <c r="H89" s="239">
        <f>(12*E89*2)/12</f>
        <v>0.75</v>
      </c>
      <c r="I89" s="239">
        <f>G89+H89</f>
        <v>6.5833000000000004</v>
      </c>
      <c r="J89" s="239">
        <f>(D89*2)/24</f>
        <v>0.25</v>
      </c>
      <c r="K89" s="239">
        <f>C89*I89*J89</f>
        <v>31.270675000000001</v>
      </c>
      <c r="L89" s="241">
        <f>K89/2204</f>
        <v>1.4188146551724139E-2</v>
      </c>
    </row>
    <row r="90" spans="1:12" x14ac:dyDescent="0.2">
      <c r="A90" s="236"/>
      <c r="B90" s="243" t="s">
        <v>126</v>
      </c>
      <c r="C90" s="239"/>
      <c r="D90" s="239"/>
      <c r="E90" s="239"/>
      <c r="F90" s="239"/>
      <c r="G90" s="239"/>
      <c r="H90" s="239"/>
      <c r="I90" s="239"/>
      <c r="J90" s="239"/>
      <c r="K90" s="244">
        <f>SUM(K87:K89)</f>
        <v>46.759608333333333</v>
      </c>
      <c r="L90" s="245">
        <f>SUM(L87:L89)</f>
        <v>2.1215793254688448E-2</v>
      </c>
    </row>
    <row r="91" spans="1:12" x14ac:dyDescent="0.2">
      <c r="A91" s="236"/>
      <c r="B91" s="237"/>
      <c r="C91" s="237"/>
      <c r="D91" s="237"/>
      <c r="E91" s="237"/>
      <c r="F91" s="237"/>
      <c r="G91" s="237"/>
      <c r="H91" s="237"/>
      <c r="I91" s="237"/>
      <c r="J91" s="237"/>
      <c r="K91" s="237"/>
      <c r="L91" s="238"/>
    </row>
    <row r="92" spans="1:12" x14ac:dyDescent="0.2">
      <c r="A92" s="236" t="s">
        <v>553</v>
      </c>
      <c r="B92" s="237" t="s">
        <v>552</v>
      </c>
      <c r="C92" s="237"/>
      <c r="D92" s="237"/>
      <c r="E92" s="237"/>
      <c r="F92" s="237"/>
      <c r="G92" s="237"/>
      <c r="H92" s="237"/>
      <c r="I92" s="237"/>
      <c r="J92" s="237"/>
      <c r="K92" s="237"/>
      <c r="L92" s="238"/>
    </row>
    <row r="93" spans="1:12" ht="46.5" x14ac:dyDescent="0.65">
      <c r="A93" s="236"/>
      <c r="B93" s="239" t="s">
        <v>551</v>
      </c>
      <c r="C93" s="239"/>
      <c r="D93" s="239"/>
      <c r="E93" s="239"/>
      <c r="F93" s="240"/>
      <c r="G93" s="239"/>
      <c r="H93" s="239"/>
      <c r="I93" s="239"/>
      <c r="J93" s="239"/>
      <c r="K93" s="239"/>
      <c r="L93" s="241"/>
    </row>
    <row r="94" spans="1:12" ht="46.5" x14ac:dyDescent="0.65">
      <c r="A94" s="236"/>
      <c r="B94" s="239" t="s">
        <v>482</v>
      </c>
      <c r="C94" s="239">
        <v>2</v>
      </c>
      <c r="D94" s="239">
        <v>4</v>
      </c>
      <c r="E94" s="239">
        <v>0.5</v>
      </c>
      <c r="F94" s="240"/>
      <c r="G94" s="239">
        <v>4.75</v>
      </c>
      <c r="H94" s="239">
        <f>(12*E94*2)/12</f>
        <v>1</v>
      </c>
      <c r="I94" s="239">
        <f>G94+H94</f>
        <v>5.75</v>
      </c>
      <c r="J94" s="239">
        <f>(D94*2)/24</f>
        <v>0.33333333333333331</v>
      </c>
      <c r="K94" s="239">
        <f>C94*I94*J94</f>
        <v>3.833333333333333</v>
      </c>
      <c r="L94" s="241">
        <f>K94/2204</f>
        <v>1.7392619479733816E-3</v>
      </c>
    </row>
    <row r="95" spans="1:12" ht="23.25" x14ac:dyDescent="0.2">
      <c r="A95" s="236"/>
      <c r="B95" s="239" t="s">
        <v>483</v>
      </c>
      <c r="C95" s="239">
        <v>2</v>
      </c>
      <c r="D95" s="239">
        <v>4</v>
      </c>
      <c r="E95" s="239">
        <v>0.5</v>
      </c>
      <c r="F95" s="246"/>
      <c r="G95" s="239">
        <v>3.1667000000000001</v>
      </c>
      <c r="H95" s="239"/>
      <c r="I95" s="239">
        <f>G95+H95</f>
        <v>3.1667000000000001</v>
      </c>
      <c r="J95" s="239">
        <f>(D95*2)/24</f>
        <v>0.33333333333333331</v>
      </c>
      <c r="K95" s="239">
        <f>C95*I95*J95</f>
        <v>2.1111333333333331</v>
      </c>
      <c r="L95" s="241">
        <f>K95/2204</f>
        <v>9.578644888082274E-4</v>
      </c>
    </row>
    <row r="96" spans="1:12" ht="46.5" x14ac:dyDescent="0.65">
      <c r="A96" s="236"/>
      <c r="B96" s="239" t="s">
        <v>484</v>
      </c>
      <c r="C96" s="239">
        <v>2</v>
      </c>
      <c r="D96" s="239">
        <v>4</v>
      </c>
      <c r="E96" s="239">
        <v>0.5</v>
      </c>
      <c r="F96" s="240"/>
      <c r="G96" s="239">
        <v>4.75</v>
      </c>
      <c r="H96" s="239">
        <f>(12*E96*2)/12</f>
        <v>1</v>
      </c>
      <c r="I96" s="239">
        <f>G96+H96</f>
        <v>5.75</v>
      </c>
      <c r="J96" s="239">
        <f>(D96*2)/24</f>
        <v>0.33333333333333331</v>
      </c>
      <c r="K96" s="239">
        <f>C96*I96*J96</f>
        <v>3.833333333333333</v>
      </c>
      <c r="L96" s="241">
        <f>K96/2204</f>
        <v>1.7392619479733816E-3</v>
      </c>
    </row>
    <row r="97" spans="1:12" ht="46.5" x14ac:dyDescent="0.2">
      <c r="A97" s="236"/>
      <c r="B97" s="239" t="s">
        <v>511</v>
      </c>
      <c r="C97" s="239">
        <v>2</v>
      </c>
      <c r="D97" s="239">
        <v>4</v>
      </c>
      <c r="E97" s="239">
        <v>0.5</v>
      </c>
      <c r="F97" s="247"/>
      <c r="G97" s="239">
        <v>5</v>
      </c>
      <c r="H97" s="239">
        <f>(12*E96*2)/12</f>
        <v>1</v>
      </c>
      <c r="I97" s="239">
        <f>G97+H97</f>
        <v>6</v>
      </c>
      <c r="J97" s="239">
        <f>(D97*2)/24</f>
        <v>0.33333333333333331</v>
      </c>
      <c r="K97" s="239">
        <f>C97*I97*J97</f>
        <v>4</v>
      </c>
      <c r="L97" s="241">
        <f>K97/2204</f>
        <v>1.8148820326678765E-3</v>
      </c>
    </row>
    <row r="98" spans="1:12" ht="92.25" x14ac:dyDescent="1.3">
      <c r="A98" s="236"/>
      <c r="B98" s="239" t="s">
        <v>486</v>
      </c>
      <c r="C98" s="239">
        <v>10</v>
      </c>
      <c r="D98" s="239">
        <v>3</v>
      </c>
      <c r="E98" s="239">
        <f>D98/8</f>
        <v>0.375</v>
      </c>
      <c r="F98" s="242"/>
      <c r="G98" s="239">
        <v>4.3330000000000002</v>
      </c>
      <c r="H98" s="239">
        <f>(12*E98*2)/12</f>
        <v>0.75</v>
      </c>
      <c r="I98" s="239">
        <f>G98+H98</f>
        <v>5.0830000000000002</v>
      </c>
      <c r="J98" s="239">
        <f>(D98*2)/24</f>
        <v>0.25</v>
      </c>
      <c r="K98" s="239">
        <f>C98*I98*J98</f>
        <v>12.7075</v>
      </c>
      <c r="L98" s="241">
        <f>K98/2204</f>
        <v>5.7656533575317602E-3</v>
      </c>
    </row>
    <row r="99" spans="1:12" x14ac:dyDescent="0.2">
      <c r="A99" s="236"/>
      <c r="B99" s="243" t="s">
        <v>126</v>
      </c>
      <c r="C99" s="239"/>
      <c r="D99" s="239"/>
      <c r="E99" s="239"/>
      <c r="F99" s="239"/>
      <c r="G99" s="239"/>
      <c r="H99" s="239"/>
      <c r="I99" s="239"/>
      <c r="J99" s="239"/>
      <c r="K99" s="244">
        <f>SUM(K94:K98)</f>
        <v>26.485299999999999</v>
      </c>
      <c r="L99" s="245">
        <f>SUM(L94:L98)</f>
        <v>1.2016923774954627E-2</v>
      </c>
    </row>
    <row r="100" spans="1:12" x14ac:dyDescent="0.2">
      <c r="A100" s="236"/>
      <c r="B100" s="248" t="s">
        <v>551</v>
      </c>
      <c r="C100" s="237"/>
      <c r="D100" s="237"/>
      <c r="E100" s="237"/>
      <c r="F100" s="237"/>
      <c r="G100" s="237"/>
      <c r="H100" s="237"/>
      <c r="I100" s="237"/>
      <c r="J100" s="237"/>
      <c r="K100" s="237"/>
      <c r="L100" s="238"/>
    </row>
    <row r="101" spans="1:12" ht="46.5" x14ac:dyDescent="0.65">
      <c r="A101" s="236"/>
      <c r="B101" s="239" t="s">
        <v>482</v>
      </c>
      <c r="C101" s="239">
        <v>2</v>
      </c>
      <c r="D101" s="239">
        <v>4</v>
      </c>
      <c r="E101" s="239">
        <v>0.5</v>
      </c>
      <c r="F101" s="240"/>
      <c r="G101" s="239">
        <v>16.25</v>
      </c>
      <c r="H101" s="239">
        <f>(12*E101*2)/12</f>
        <v>1</v>
      </c>
      <c r="I101" s="239">
        <f>G101+H101</f>
        <v>17.25</v>
      </c>
      <c r="J101" s="239">
        <f>(D101*2)/24</f>
        <v>0.33333333333333331</v>
      </c>
      <c r="K101" s="239">
        <f>C101*I101*J101</f>
        <v>11.5</v>
      </c>
      <c r="L101" s="241">
        <f>K101/2204</f>
        <v>5.2177858439201455E-3</v>
      </c>
    </row>
    <row r="102" spans="1:12" ht="23.25" x14ac:dyDescent="0.2">
      <c r="A102" s="236"/>
      <c r="B102" s="239" t="s">
        <v>483</v>
      </c>
      <c r="C102" s="239">
        <v>2</v>
      </c>
      <c r="D102" s="239">
        <v>4</v>
      </c>
      <c r="E102" s="239">
        <v>0.5</v>
      </c>
      <c r="F102" s="246"/>
      <c r="G102" s="239">
        <v>10.667</v>
      </c>
      <c r="H102" s="239"/>
      <c r="I102" s="239">
        <f>G102+H102</f>
        <v>10.667</v>
      </c>
      <c r="J102" s="239">
        <f>(D102*2)/24</f>
        <v>0.33333333333333331</v>
      </c>
      <c r="K102" s="239">
        <f>C102*I102*J102</f>
        <v>7.1113333333333326</v>
      </c>
      <c r="L102" s="241">
        <f>K102/2204</f>
        <v>3.2265577737447064E-3</v>
      </c>
    </row>
    <row r="103" spans="1:12" ht="46.5" x14ac:dyDescent="0.65">
      <c r="A103" s="236"/>
      <c r="B103" s="239" t="s">
        <v>484</v>
      </c>
      <c r="C103" s="239">
        <v>2</v>
      </c>
      <c r="D103" s="239">
        <v>4</v>
      </c>
      <c r="E103" s="239">
        <v>0.5</v>
      </c>
      <c r="F103" s="240"/>
      <c r="G103" s="239">
        <v>16.25</v>
      </c>
      <c r="H103" s="239">
        <f>(12*E103*2)/12</f>
        <v>1</v>
      </c>
      <c r="I103" s="239">
        <f>G103+H103</f>
        <v>17.25</v>
      </c>
      <c r="J103" s="239">
        <f>(D103*2)/24</f>
        <v>0.33333333333333331</v>
      </c>
      <c r="K103" s="239">
        <f>C103*I103*J103</f>
        <v>11.5</v>
      </c>
      <c r="L103" s="241">
        <f>K103/2204</f>
        <v>5.2177858439201455E-3</v>
      </c>
    </row>
    <row r="104" spans="1:12" ht="46.5" x14ac:dyDescent="0.2">
      <c r="A104" s="236"/>
      <c r="B104" s="239" t="s">
        <v>511</v>
      </c>
      <c r="C104" s="239">
        <v>2</v>
      </c>
      <c r="D104" s="239">
        <v>4</v>
      </c>
      <c r="E104" s="239">
        <v>0.5</v>
      </c>
      <c r="F104" s="247"/>
      <c r="G104" s="239">
        <v>4</v>
      </c>
      <c r="H104" s="239">
        <f>(12*E103*2)/12</f>
        <v>1</v>
      </c>
      <c r="I104" s="239">
        <f>G104+H104</f>
        <v>5</v>
      </c>
      <c r="J104" s="239">
        <f>(D104*2)/24</f>
        <v>0.33333333333333331</v>
      </c>
      <c r="K104" s="239">
        <f>C104*I104*J104</f>
        <v>3.333333333333333</v>
      </c>
      <c r="L104" s="241">
        <f>K104/2204</f>
        <v>1.512401693889897E-3</v>
      </c>
    </row>
    <row r="105" spans="1:12" ht="92.25" x14ac:dyDescent="1.3">
      <c r="A105" s="236"/>
      <c r="B105" s="239" t="s">
        <v>486</v>
      </c>
      <c r="C105" s="239">
        <v>10</v>
      </c>
      <c r="D105" s="239">
        <v>3</v>
      </c>
      <c r="E105" s="239">
        <f>D105/8</f>
        <v>0.375</v>
      </c>
      <c r="F105" s="242"/>
      <c r="G105" s="239">
        <v>4.3330000000000002</v>
      </c>
      <c r="H105" s="239">
        <f>(12*E105*2)/12</f>
        <v>0.75</v>
      </c>
      <c r="I105" s="239">
        <f>G105+H105</f>
        <v>5.0830000000000002</v>
      </c>
      <c r="J105" s="239">
        <f>(D105*2)/24</f>
        <v>0.25</v>
      </c>
      <c r="K105" s="239">
        <f>C105*I105*J105</f>
        <v>12.7075</v>
      </c>
      <c r="L105" s="241">
        <f>K105/2204</f>
        <v>5.7656533575317602E-3</v>
      </c>
    </row>
    <row r="106" spans="1:12" x14ac:dyDescent="0.2">
      <c r="A106" s="236"/>
      <c r="B106" s="243" t="s">
        <v>126</v>
      </c>
      <c r="C106" s="239"/>
      <c r="D106" s="239"/>
      <c r="E106" s="239"/>
      <c r="F106" s="239"/>
      <c r="G106" s="239"/>
      <c r="H106" s="239"/>
      <c r="I106" s="239"/>
      <c r="J106" s="239"/>
      <c r="K106" s="244">
        <f>SUM(K101:K105)</f>
        <v>46.152166666666673</v>
      </c>
      <c r="L106" s="245">
        <f>SUM(L101:L105)</f>
        <v>2.0940184513006655E-2</v>
      </c>
    </row>
    <row r="107" spans="1:12" x14ac:dyDescent="0.2">
      <c r="A107" s="236"/>
      <c r="B107" s="237"/>
      <c r="C107" s="237"/>
      <c r="D107" s="237"/>
      <c r="E107" s="237"/>
      <c r="F107" s="237"/>
      <c r="G107" s="237"/>
      <c r="H107" s="237"/>
      <c r="I107" s="237"/>
      <c r="J107" s="237"/>
      <c r="K107" s="237"/>
      <c r="L107" s="238"/>
    </row>
    <row r="108" spans="1:12" x14ac:dyDescent="0.2">
      <c r="A108" s="236" t="s">
        <v>550</v>
      </c>
      <c r="B108" s="237" t="s">
        <v>549</v>
      </c>
      <c r="C108" s="237"/>
      <c r="D108" s="237"/>
      <c r="E108" s="237"/>
      <c r="F108" s="237"/>
      <c r="G108" s="237"/>
      <c r="H108" s="237"/>
      <c r="I108" s="237"/>
      <c r="J108" s="237"/>
      <c r="K108" s="237"/>
      <c r="L108" s="238"/>
    </row>
    <row r="109" spans="1:12" ht="46.5" x14ac:dyDescent="0.65">
      <c r="A109" s="236"/>
      <c r="B109" s="239" t="s">
        <v>548</v>
      </c>
      <c r="C109" s="239"/>
      <c r="D109" s="239"/>
      <c r="E109" s="239"/>
      <c r="F109" s="240"/>
      <c r="G109" s="239"/>
      <c r="H109" s="239"/>
      <c r="I109" s="239"/>
      <c r="J109" s="239"/>
      <c r="K109" s="239"/>
      <c r="L109" s="241"/>
    </row>
    <row r="110" spans="1:12" ht="46.5" x14ac:dyDescent="0.65">
      <c r="A110" s="236"/>
      <c r="B110" s="239" t="s">
        <v>482</v>
      </c>
      <c r="C110" s="239">
        <v>2</v>
      </c>
      <c r="D110" s="239">
        <v>5</v>
      </c>
      <c r="E110" s="239">
        <v>0.5</v>
      </c>
      <c r="F110" s="240"/>
      <c r="G110" s="239">
        <f>7.583+15</f>
        <v>22.582999999999998</v>
      </c>
      <c r="H110" s="239">
        <f>(12*E110*2)/12</f>
        <v>1</v>
      </c>
      <c r="I110" s="239">
        <f>G110+H110</f>
        <v>23.582999999999998</v>
      </c>
      <c r="J110" s="239">
        <f>(D110*2)/24</f>
        <v>0.41666666666666669</v>
      </c>
      <c r="K110" s="239">
        <f>C110*I110*J110</f>
        <v>19.6525</v>
      </c>
      <c r="L110" s="241">
        <f>K110/2204</f>
        <v>8.9167422867513606E-3</v>
      </c>
    </row>
    <row r="111" spans="1:12" ht="23.25" x14ac:dyDescent="0.2">
      <c r="A111" s="236"/>
      <c r="B111" s="239" t="s">
        <v>483</v>
      </c>
      <c r="C111" s="239">
        <v>2</v>
      </c>
      <c r="D111" s="239">
        <v>4</v>
      </c>
      <c r="E111" s="239">
        <v>0.5</v>
      </c>
      <c r="F111" s="246"/>
      <c r="G111" s="239">
        <f>5.05*2</f>
        <v>10.1</v>
      </c>
      <c r="H111" s="239"/>
      <c r="I111" s="239">
        <f>G111+H111</f>
        <v>10.1</v>
      </c>
      <c r="J111" s="239">
        <f>(D111*2)/24</f>
        <v>0.33333333333333331</v>
      </c>
      <c r="K111" s="239">
        <f>C111*I111*J111</f>
        <v>6.7333333333333325</v>
      </c>
      <c r="L111" s="241">
        <f>K111/2204</f>
        <v>3.0550514216575917E-3</v>
      </c>
    </row>
    <row r="112" spans="1:12" ht="46.5" x14ac:dyDescent="0.65">
      <c r="A112" s="236"/>
      <c r="B112" s="239" t="s">
        <v>484</v>
      </c>
      <c r="C112" s="239">
        <v>2</v>
      </c>
      <c r="D112" s="239">
        <v>5</v>
      </c>
      <c r="E112" s="239">
        <v>0.5</v>
      </c>
      <c r="F112" s="240"/>
      <c r="G112" s="239">
        <f>15+7.583</f>
        <v>22.582999999999998</v>
      </c>
      <c r="H112" s="239">
        <f>(12*E112*2)/12</f>
        <v>1</v>
      </c>
      <c r="I112" s="239">
        <f>G112+H112</f>
        <v>23.582999999999998</v>
      </c>
      <c r="J112" s="239">
        <f>(D112*2)/24</f>
        <v>0.41666666666666669</v>
      </c>
      <c r="K112" s="239">
        <f>C112*I112*J112</f>
        <v>19.6525</v>
      </c>
      <c r="L112" s="241">
        <f>K112/2204</f>
        <v>8.9167422867513606E-3</v>
      </c>
    </row>
    <row r="113" spans="1:12" ht="46.5" x14ac:dyDescent="0.2">
      <c r="A113" s="236"/>
      <c r="B113" s="239" t="s">
        <v>511</v>
      </c>
      <c r="C113" s="239">
        <v>2</v>
      </c>
      <c r="D113" s="239">
        <v>4</v>
      </c>
      <c r="E113" s="239">
        <v>0.5</v>
      </c>
      <c r="F113" s="247"/>
      <c r="G113" s="239">
        <f>3.79*2</f>
        <v>7.58</v>
      </c>
      <c r="H113" s="239">
        <f>(12*E112*2)/12</f>
        <v>1</v>
      </c>
      <c r="I113" s="239">
        <f>G113+H113</f>
        <v>8.58</v>
      </c>
      <c r="J113" s="239">
        <f>(D113*2)/24</f>
        <v>0.33333333333333331</v>
      </c>
      <c r="K113" s="239">
        <f>C113*I113*J113</f>
        <v>5.72</v>
      </c>
      <c r="L113" s="241">
        <f>K113/2204</f>
        <v>2.5952813067150636E-3</v>
      </c>
    </row>
    <row r="114" spans="1:12" ht="92.25" x14ac:dyDescent="1.3">
      <c r="A114" s="236"/>
      <c r="B114" s="239" t="s">
        <v>486</v>
      </c>
      <c r="C114" s="239">
        <v>40</v>
      </c>
      <c r="D114" s="239">
        <v>3</v>
      </c>
      <c r="E114" s="239">
        <f>D114/8</f>
        <v>0.375</v>
      </c>
      <c r="F114" s="242"/>
      <c r="G114" s="239">
        <v>4.8330000000000002</v>
      </c>
      <c r="H114" s="239">
        <f>(12*E114*2)/12</f>
        <v>0.75</v>
      </c>
      <c r="I114" s="239">
        <f>G114+H114</f>
        <v>5.5830000000000002</v>
      </c>
      <c r="J114" s="239">
        <f>(D114*2)/24</f>
        <v>0.25</v>
      </c>
      <c r="K114" s="239">
        <f>C114*I114*J114</f>
        <v>55.83</v>
      </c>
      <c r="L114" s="241">
        <f>K114/2204</f>
        <v>2.5331215970961888E-2</v>
      </c>
    </row>
    <row r="115" spans="1:12" x14ac:dyDescent="0.2">
      <c r="A115" s="236"/>
      <c r="B115" s="243" t="s">
        <v>126</v>
      </c>
      <c r="C115" s="239"/>
      <c r="D115" s="239"/>
      <c r="E115" s="239"/>
      <c r="F115" s="239"/>
      <c r="G115" s="239"/>
      <c r="H115" s="239"/>
      <c r="I115" s="239"/>
      <c r="J115" s="239"/>
      <c r="K115" s="244">
        <f>SUM(K110:K114)</f>
        <v>107.58833333333332</v>
      </c>
      <c r="L115" s="245">
        <f>SUM(L110:L114)</f>
        <v>4.8815033272837267E-2</v>
      </c>
    </row>
    <row r="116" spans="1:12" x14ac:dyDescent="0.2">
      <c r="A116" s="236"/>
      <c r="B116" s="237"/>
      <c r="C116" s="237"/>
      <c r="D116" s="237"/>
      <c r="E116" s="237"/>
      <c r="F116" s="237"/>
      <c r="G116" s="237"/>
      <c r="H116" s="237"/>
      <c r="I116" s="237"/>
      <c r="J116" s="237"/>
      <c r="K116" s="237"/>
      <c r="L116" s="238"/>
    </row>
    <row r="117" spans="1:12" x14ac:dyDescent="0.2">
      <c r="A117" s="236" t="s">
        <v>547</v>
      </c>
      <c r="B117" s="237" t="s">
        <v>546</v>
      </c>
      <c r="C117" s="237" t="s">
        <v>545</v>
      </c>
      <c r="D117" s="237"/>
      <c r="E117" s="237"/>
      <c r="F117" s="237"/>
      <c r="G117" s="237"/>
      <c r="H117" s="237"/>
      <c r="I117" s="237"/>
      <c r="J117" s="237"/>
      <c r="K117" s="237"/>
      <c r="L117" s="238"/>
    </row>
    <row r="118" spans="1:12" ht="46.5" x14ac:dyDescent="0.65">
      <c r="A118" s="236"/>
      <c r="B118" s="239" t="s">
        <v>482</v>
      </c>
      <c r="C118" s="239">
        <v>2</v>
      </c>
      <c r="D118" s="239">
        <v>4</v>
      </c>
      <c r="E118" s="239">
        <v>0.5</v>
      </c>
      <c r="F118" s="240"/>
      <c r="G118" s="239">
        <v>11.5</v>
      </c>
      <c r="H118" s="239">
        <f>(12*E118*2)/12</f>
        <v>1</v>
      </c>
      <c r="I118" s="239">
        <f>G118+H118</f>
        <v>12.5</v>
      </c>
      <c r="J118" s="239">
        <f>(D118*2)/24</f>
        <v>0.33333333333333331</v>
      </c>
      <c r="K118" s="239">
        <f>C118*I118*J118</f>
        <v>8.3333333333333321</v>
      </c>
      <c r="L118" s="241">
        <f>K118/2204</f>
        <v>3.7810042347247424E-3</v>
      </c>
    </row>
    <row r="119" spans="1:12" ht="46.5" x14ac:dyDescent="0.65">
      <c r="A119" s="236"/>
      <c r="B119" s="239" t="s">
        <v>484</v>
      </c>
      <c r="C119" s="239">
        <v>2</v>
      </c>
      <c r="D119" s="239">
        <v>4</v>
      </c>
      <c r="E119" s="239">
        <v>0.5</v>
      </c>
      <c r="F119" s="240"/>
      <c r="G119" s="239">
        <v>11.5</v>
      </c>
      <c r="H119" s="239">
        <f>(12*E119*2)/12</f>
        <v>1</v>
      </c>
      <c r="I119" s="239">
        <f>G119+H119</f>
        <v>12.5</v>
      </c>
      <c r="J119" s="239">
        <f>(D119*2)/24</f>
        <v>0.33333333333333331</v>
      </c>
      <c r="K119" s="239">
        <f>C119*I119*J119</f>
        <v>8.3333333333333321</v>
      </c>
      <c r="L119" s="241">
        <f>K119/2204</f>
        <v>3.7810042347247424E-3</v>
      </c>
    </row>
    <row r="120" spans="1:12" ht="92.25" x14ac:dyDescent="1.3">
      <c r="A120" s="236"/>
      <c r="B120" s="239" t="s">
        <v>486</v>
      </c>
      <c r="C120" s="239">
        <v>22</v>
      </c>
      <c r="D120" s="239">
        <v>3</v>
      </c>
      <c r="E120" s="239">
        <f>D120/8</f>
        <v>0.375</v>
      </c>
      <c r="F120" s="242"/>
      <c r="G120" s="239">
        <v>5.8333000000000004</v>
      </c>
      <c r="H120" s="239">
        <f>(12*E120*2)/12</f>
        <v>0.75</v>
      </c>
      <c r="I120" s="239">
        <f>G120+H120</f>
        <v>6.5833000000000004</v>
      </c>
      <c r="J120" s="239">
        <f>(D120*2)/24</f>
        <v>0.25</v>
      </c>
      <c r="K120" s="239">
        <f>C120*I120*J120</f>
        <v>36.208150000000003</v>
      </c>
      <c r="L120" s="241">
        <f>K120/2204</f>
        <v>1.6428380217785844E-2</v>
      </c>
    </row>
    <row r="121" spans="1:12" x14ac:dyDescent="0.2">
      <c r="A121" s="236"/>
      <c r="B121" s="243" t="s">
        <v>126</v>
      </c>
      <c r="C121" s="239"/>
      <c r="D121" s="239"/>
      <c r="E121" s="239"/>
      <c r="F121" s="239"/>
      <c r="G121" s="239"/>
      <c r="H121" s="239"/>
      <c r="I121" s="239"/>
      <c r="J121" s="239"/>
      <c r="K121" s="244">
        <f>SUM(K118:K120)</f>
        <v>52.874816666666668</v>
      </c>
      <c r="L121" s="245">
        <f>SUM(L118:L120)</f>
        <v>2.3990388687235329E-2</v>
      </c>
    </row>
    <row r="122" spans="1:12" x14ac:dyDescent="0.2">
      <c r="A122" s="236"/>
      <c r="B122" s="237" t="s">
        <v>544</v>
      </c>
      <c r="C122" s="237"/>
      <c r="D122" s="237"/>
      <c r="E122" s="237"/>
      <c r="F122" s="237"/>
      <c r="G122" s="237"/>
      <c r="H122" s="237"/>
      <c r="I122" s="237"/>
      <c r="J122" s="237"/>
      <c r="K122" s="237"/>
      <c r="L122" s="238"/>
    </row>
    <row r="123" spans="1:12" ht="46.5" x14ac:dyDescent="0.65">
      <c r="A123" s="236"/>
      <c r="B123" s="239" t="s">
        <v>482</v>
      </c>
      <c r="C123" s="239">
        <v>2</v>
      </c>
      <c r="D123" s="239">
        <v>4</v>
      </c>
      <c r="E123" s="239">
        <v>0.5</v>
      </c>
      <c r="F123" s="240"/>
      <c r="G123" s="239">
        <v>13.25</v>
      </c>
      <c r="H123" s="239">
        <f>(12*E123*2)/12</f>
        <v>1</v>
      </c>
      <c r="I123" s="239">
        <f>G123+H123</f>
        <v>14.25</v>
      </c>
      <c r="J123" s="239">
        <f>(D123*2)/24</f>
        <v>0.33333333333333331</v>
      </c>
      <c r="K123" s="239">
        <f>C123*I123*J123</f>
        <v>9.5</v>
      </c>
      <c r="L123" s="241">
        <f>K123/2204</f>
        <v>4.3103448275862068E-3</v>
      </c>
    </row>
    <row r="124" spans="1:12" ht="46.5" x14ac:dyDescent="0.65">
      <c r="A124" s="236"/>
      <c r="B124" s="239" t="s">
        <v>484</v>
      </c>
      <c r="C124" s="239">
        <v>2</v>
      </c>
      <c r="D124" s="239">
        <v>4</v>
      </c>
      <c r="E124" s="239">
        <v>0.5</v>
      </c>
      <c r="F124" s="240"/>
      <c r="G124" s="239">
        <v>13.25</v>
      </c>
      <c r="H124" s="239">
        <f>(12*E124*2)/12</f>
        <v>1</v>
      </c>
      <c r="I124" s="239">
        <f>G124+H124</f>
        <v>14.25</v>
      </c>
      <c r="J124" s="239">
        <f>(D124*2)/24</f>
        <v>0.33333333333333331</v>
      </c>
      <c r="K124" s="239">
        <f>C124*I124*J124</f>
        <v>9.5</v>
      </c>
      <c r="L124" s="241">
        <f>K124/2204</f>
        <v>4.3103448275862068E-3</v>
      </c>
    </row>
    <row r="125" spans="1:12" ht="92.25" x14ac:dyDescent="1.3">
      <c r="A125" s="236"/>
      <c r="B125" s="239" t="s">
        <v>486</v>
      </c>
      <c r="C125" s="239">
        <v>25</v>
      </c>
      <c r="D125" s="239">
        <v>3</v>
      </c>
      <c r="E125" s="239">
        <f>D125/8</f>
        <v>0.375</v>
      </c>
      <c r="F125" s="242"/>
      <c r="G125" s="239">
        <v>5.8333000000000004</v>
      </c>
      <c r="H125" s="239">
        <f>(12*E125*2)/12</f>
        <v>0.75</v>
      </c>
      <c r="I125" s="239">
        <f>G125+H125</f>
        <v>6.5833000000000004</v>
      </c>
      <c r="J125" s="239">
        <f>(D125*2)/24</f>
        <v>0.25</v>
      </c>
      <c r="K125" s="239">
        <f>C125*I125*J125</f>
        <v>41.145625000000003</v>
      </c>
      <c r="L125" s="241">
        <f>K125/2204</f>
        <v>1.8668613883847551E-2</v>
      </c>
    </row>
    <row r="126" spans="1:12" x14ac:dyDescent="0.2">
      <c r="A126" s="236"/>
      <c r="B126" s="243" t="s">
        <v>126</v>
      </c>
      <c r="C126" s="239"/>
      <c r="D126" s="239"/>
      <c r="E126" s="239"/>
      <c r="F126" s="239"/>
      <c r="G126" s="239"/>
      <c r="H126" s="239"/>
      <c r="I126" s="239"/>
      <c r="J126" s="239"/>
      <c r="K126" s="244">
        <f>SUM(K123:K125)</f>
        <v>60.145625000000003</v>
      </c>
      <c r="L126" s="245">
        <f>SUM(L123:L125)</f>
        <v>2.7289303539019965E-2</v>
      </c>
    </row>
    <row r="127" spans="1:12" x14ac:dyDescent="0.2">
      <c r="A127" s="236"/>
      <c r="B127" s="237"/>
      <c r="C127" s="237"/>
      <c r="D127" s="237"/>
      <c r="E127" s="237"/>
      <c r="F127" s="237"/>
      <c r="G127" s="237"/>
      <c r="H127" s="237"/>
      <c r="I127" s="237"/>
      <c r="J127" s="237"/>
      <c r="K127" s="237"/>
      <c r="L127" s="238"/>
    </row>
    <row r="128" spans="1:12" x14ac:dyDescent="0.2">
      <c r="A128" s="236"/>
      <c r="B128" s="237"/>
      <c r="C128" s="237"/>
      <c r="D128" s="237"/>
      <c r="E128" s="237"/>
      <c r="F128" s="237"/>
      <c r="G128" s="237"/>
      <c r="H128" s="237"/>
      <c r="I128" s="237"/>
      <c r="J128" s="237"/>
      <c r="K128" s="237"/>
      <c r="L128" s="238"/>
    </row>
    <row r="129" spans="1:12" x14ac:dyDescent="0.2">
      <c r="A129" s="236"/>
      <c r="B129" s="237"/>
      <c r="C129" s="237"/>
      <c r="D129" s="237"/>
      <c r="E129" s="237"/>
      <c r="F129" s="237"/>
      <c r="G129" s="237"/>
      <c r="H129" s="237"/>
      <c r="I129" s="237"/>
      <c r="J129" s="237"/>
      <c r="K129" s="237"/>
      <c r="L129" s="238"/>
    </row>
    <row r="130" spans="1:12" x14ac:dyDescent="0.2">
      <c r="A130" s="236" t="s">
        <v>543</v>
      </c>
      <c r="B130" s="237" t="s">
        <v>542</v>
      </c>
      <c r="C130" s="237" t="s">
        <v>541</v>
      </c>
      <c r="D130" s="237"/>
      <c r="E130" s="237"/>
      <c r="F130" s="237"/>
      <c r="G130" s="237"/>
      <c r="H130" s="237"/>
      <c r="I130" s="237"/>
      <c r="J130" s="237"/>
      <c r="K130" s="237"/>
      <c r="L130" s="238"/>
    </row>
    <row r="131" spans="1:12" ht="46.5" x14ac:dyDescent="0.65">
      <c r="A131" s="236"/>
      <c r="B131" s="239" t="s">
        <v>482</v>
      </c>
      <c r="C131" s="239">
        <v>2</v>
      </c>
      <c r="D131" s="239">
        <v>4</v>
      </c>
      <c r="E131" s="239">
        <v>0.5</v>
      </c>
      <c r="F131" s="240"/>
      <c r="G131" s="239">
        <v>5.25</v>
      </c>
      <c r="H131" s="239">
        <f>(12*E131*2)/12</f>
        <v>1</v>
      </c>
      <c r="I131" s="239">
        <f>G131+H131</f>
        <v>6.25</v>
      </c>
      <c r="J131" s="239">
        <f>(D131*2)/24</f>
        <v>0.33333333333333331</v>
      </c>
      <c r="K131" s="239">
        <f>C131*I131*J131</f>
        <v>4.1666666666666661</v>
      </c>
      <c r="L131" s="241">
        <f>K131/2204</f>
        <v>1.8905021173623712E-3</v>
      </c>
    </row>
    <row r="132" spans="1:12" ht="46.5" x14ac:dyDescent="0.65">
      <c r="A132" s="236"/>
      <c r="B132" s="239" t="s">
        <v>484</v>
      </c>
      <c r="C132" s="239">
        <v>2</v>
      </c>
      <c r="D132" s="239">
        <v>4</v>
      </c>
      <c r="E132" s="239">
        <v>0.5</v>
      </c>
      <c r="F132" s="240"/>
      <c r="G132" s="239">
        <v>5.25</v>
      </c>
      <c r="H132" s="239">
        <f>(12*E132*2)/12</f>
        <v>1</v>
      </c>
      <c r="I132" s="239">
        <f>G132+H132</f>
        <v>6.25</v>
      </c>
      <c r="J132" s="239">
        <f>(D132*2)/24</f>
        <v>0.33333333333333331</v>
      </c>
      <c r="K132" s="239">
        <f>C132*I132*J132</f>
        <v>4.1666666666666661</v>
      </c>
      <c r="L132" s="241">
        <f>K132/2204</f>
        <v>1.8905021173623712E-3</v>
      </c>
    </row>
    <row r="133" spans="1:12" ht="92.25" x14ac:dyDescent="1.3">
      <c r="A133" s="236"/>
      <c r="B133" s="239" t="s">
        <v>486</v>
      </c>
      <c r="C133" s="239">
        <v>10</v>
      </c>
      <c r="D133" s="239">
        <v>3</v>
      </c>
      <c r="E133" s="239">
        <f>D133/8</f>
        <v>0.375</v>
      </c>
      <c r="F133" s="242"/>
      <c r="G133" s="239">
        <v>5.8333000000000004</v>
      </c>
      <c r="H133" s="239">
        <f>(12*E133*2)/12</f>
        <v>0.75</v>
      </c>
      <c r="I133" s="239">
        <f>G133+H133</f>
        <v>6.5833000000000004</v>
      </c>
      <c r="J133" s="239">
        <f>(D133*2)/24</f>
        <v>0.25</v>
      </c>
      <c r="K133" s="239">
        <f>C133*I133*J133</f>
        <v>16.45825</v>
      </c>
      <c r="L133" s="241">
        <f>K133/2204</f>
        <v>7.4674455535390198E-3</v>
      </c>
    </row>
    <row r="134" spans="1:12" x14ac:dyDescent="0.2">
      <c r="A134" s="236"/>
      <c r="B134" s="243" t="s">
        <v>126</v>
      </c>
      <c r="C134" s="239"/>
      <c r="D134" s="239"/>
      <c r="E134" s="239"/>
      <c r="F134" s="239"/>
      <c r="G134" s="239"/>
      <c r="H134" s="239"/>
      <c r="I134" s="239"/>
      <c r="J134" s="239"/>
      <c r="K134" s="244">
        <f>SUM(K131:K133)</f>
        <v>24.791583333333332</v>
      </c>
      <c r="L134" s="245">
        <f>SUM(L131:L133)</f>
        <v>1.1248449788263762E-2</v>
      </c>
    </row>
    <row r="135" spans="1:12" x14ac:dyDescent="0.2">
      <c r="A135" s="236"/>
      <c r="B135" s="237" t="s">
        <v>540</v>
      </c>
      <c r="C135" s="237"/>
      <c r="D135" s="237"/>
      <c r="E135" s="237"/>
      <c r="F135" s="237"/>
      <c r="G135" s="237"/>
      <c r="H135" s="237"/>
      <c r="I135" s="237"/>
      <c r="J135" s="237"/>
      <c r="K135" s="237"/>
      <c r="L135" s="238"/>
    </row>
    <row r="136" spans="1:12" x14ac:dyDescent="0.2">
      <c r="A136" s="236"/>
      <c r="B136" s="237"/>
      <c r="C136" s="237"/>
      <c r="D136" s="237"/>
      <c r="E136" s="237"/>
      <c r="F136" s="237"/>
      <c r="G136" s="237"/>
      <c r="H136" s="237"/>
      <c r="I136" s="237"/>
      <c r="J136" s="237"/>
      <c r="K136" s="237"/>
      <c r="L136" s="238"/>
    </row>
    <row r="137" spans="1:12" ht="46.5" x14ac:dyDescent="0.65">
      <c r="A137" s="236"/>
      <c r="B137" s="239" t="s">
        <v>482</v>
      </c>
      <c r="C137" s="239">
        <v>2</v>
      </c>
      <c r="D137" s="239">
        <v>4</v>
      </c>
      <c r="E137" s="239">
        <v>0.5</v>
      </c>
      <c r="F137" s="240"/>
      <c r="G137" s="239">
        <v>6.75</v>
      </c>
      <c r="H137" s="239">
        <f>(12*E137*2)/12</f>
        <v>1</v>
      </c>
      <c r="I137" s="239">
        <f>G137+H137</f>
        <v>7.75</v>
      </c>
      <c r="J137" s="239">
        <f>(D137*2)/24</f>
        <v>0.33333333333333331</v>
      </c>
      <c r="K137" s="239">
        <f>C137*I137*J137</f>
        <v>5.1666666666666661</v>
      </c>
      <c r="L137" s="241">
        <f>K137/2204</f>
        <v>2.3442226255293405E-3</v>
      </c>
    </row>
    <row r="138" spans="1:12" ht="46.5" x14ac:dyDescent="0.65">
      <c r="A138" s="236"/>
      <c r="B138" s="239" t="s">
        <v>484</v>
      </c>
      <c r="C138" s="239">
        <v>2</v>
      </c>
      <c r="D138" s="239">
        <v>4</v>
      </c>
      <c r="E138" s="239">
        <v>0.5</v>
      </c>
      <c r="F138" s="240"/>
      <c r="G138" s="239">
        <v>6.75</v>
      </c>
      <c r="H138" s="239">
        <f>(12*E138*2)/12</f>
        <v>1</v>
      </c>
      <c r="I138" s="239">
        <f>G138+H138</f>
        <v>7.75</v>
      </c>
      <c r="J138" s="239">
        <f>(D138*2)/24</f>
        <v>0.33333333333333331</v>
      </c>
      <c r="K138" s="239">
        <f>C138*I138*J138</f>
        <v>5.1666666666666661</v>
      </c>
      <c r="L138" s="241">
        <f>K138/2204</f>
        <v>2.3442226255293405E-3</v>
      </c>
    </row>
    <row r="139" spans="1:12" ht="92.25" x14ac:dyDescent="1.3">
      <c r="A139" s="236"/>
      <c r="B139" s="239" t="s">
        <v>486</v>
      </c>
      <c r="C139" s="239">
        <v>13</v>
      </c>
      <c r="D139" s="239">
        <v>3</v>
      </c>
      <c r="E139" s="239">
        <f>D139/8</f>
        <v>0.375</v>
      </c>
      <c r="F139" s="242"/>
      <c r="G139" s="239">
        <v>5.8333000000000004</v>
      </c>
      <c r="H139" s="239">
        <f>(12*E139*2)/12</f>
        <v>0.75</v>
      </c>
      <c r="I139" s="239">
        <f>G139+H139</f>
        <v>6.5833000000000004</v>
      </c>
      <c r="J139" s="239">
        <f>(D139*2)/24</f>
        <v>0.25</v>
      </c>
      <c r="K139" s="239">
        <f>C139*I139*J139</f>
        <v>21.395725000000002</v>
      </c>
      <c r="L139" s="241">
        <f>K139/2204</f>
        <v>9.7076792196007268E-3</v>
      </c>
    </row>
    <row r="140" spans="1:12" x14ac:dyDescent="0.2">
      <c r="A140" s="236"/>
      <c r="B140" s="243" t="s">
        <v>126</v>
      </c>
      <c r="C140" s="239"/>
      <c r="D140" s="239"/>
      <c r="E140" s="239"/>
      <c r="F140" s="239"/>
      <c r="G140" s="239"/>
      <c r="H140" s="239"/>
      <c r="I140" s="239"/>
      <c r="J140" s="239"/>
      <c r="K140" s="244">
        <f>SUM(K137:K139)</f>
        <v>31.729058333333334</v>
      </c>
      <c r="L140" s="245">
        <f>SUM(L137:L139)</f>
        <v>1.4396124470659407E-2</v>
      </c>
    </row>
    <row r="141" spans="1:12" x14ac:dyDescent="0.2">
      <c r="A141" s="236"/>
      <c r="B141" s="237"/>
      <c r="C141" s="237"/>
      <c r="D141" s="237"/>
      <c r="E141" s="237"/>
      <c r="F141" s="237"/>
      <c r="G141" s="237"/>
      <c r="H141" s="237"/>
      <c r="I141" s="237"/>
      <c r="J141" s="237"/>
      <c r="K141" s="237"/>
      <c r="L141" s="238"/>
    </row>
    <row r="142" spans="1:12" x14ac:dyDescent="0.2">
      <c r="A142" s="236" t="s">
        <v>498</v>
      </c>
      <c r="B142" s="237" t="s">
        <v>539</v>
      </c>
      <c r="C142" s="237" t="s">
        <v>538</v>
      </c>
      <c r="D142" s="237"/>
      <c r="E142" s="237"/>
      <c r="F142" s="237"/>
      <c r="G142" s="237"/>
      <c r="H142" s="237"/>
      <c r="I142" s="237"/>
      <c r="J142" s="237"/>
      <c r="K142" s="237"/>
      <c r="L142" s="238"/>
    </row>
    <row r="143" spans="1:12" x14ac:dyDescent="0.2">
      <c r="A143" s="236"/>
      <c r="B143" s="237"/>
      <c r="C143" s="237"/>
      <c r="D143" s="237"/>
      <c r="E143" s="237"/>
      <c r="F143" s="237"/>
      <c r="G143" s="237"/>
      <c r="H143" s="237"/>
      <c r="I143" s="237"/>
      <c r="J143" s="237"/>
      <c r="K143" s="237"/>
      <c r="L143" s="238"/>
    </row>
    <row r="144" spans="1:12" ht="46.5" x14ac:dyDescent="0.65">
      <c r="A144" s="236"/>
      <c r="B144" s="239" t="s">
        <v>482</v>
      </c>
      <c r="C144" s="239">
        <v>2</v>
      </c>
      <c r="D144" s="239">
        <v>4</v>
      </c>
      <c r="E144" s="239">
        <v>0.5</v>
      </c>
      <c r="F144" s="240"/>
      <c r="G144" s="239">
        <v>6.75</v>
      </c>
      <c r="H144" s="239">
        <f>(12*E144*2)/12</f>
        <v>1</v>
      </c>
      <c r="I144" s="239">
        <f>G144+H144</f>
        <v>7.75</v>
      </c>
      <c r="J144" s="239">
        <f>(D144*2)/24</f>
        <v>0.33333333333333331</v>
      </c>
      <c r="K144" s="239">
        <f>C144*I144*J144</f>
        <v>5.1666666666666661</v>
      </c>
      <c r="L144" s="241">
        <f>K144/2204</f>
        <v>2.3442226255293405E-3</v>
      </c>
    </row>
    <row r="145" spans="1:12" ht="46.5" x14ac:dyDescent="0.65">
      <c r="A145" s="236"/>
      <c r="B145" s="239" t="s">
        <v>484</v>
      </c>
      <c r="C145" s="239">
        <v>2</v>
      </c>
      <c r="D145" s="239">
        <v>4</v>
      </c>
      <c r="E145" s="239">
        <v>0.5</v>
      </c>
      <c r="F145" s="240"/>
      <c r="G145" s="239">
        <v>6.75</v>
      </c>
      <c r="H145" s="239">
        <f>(12*E145*2)/12</f>
        <v>1</v>
      </c>
      <c r="I145" s="239">
        <f>G145+H145</f>
        <v>7.75</v>
      </c>
      <c r="J145" s="239">
        <f>(D145*2)/24</f>
        <v>0.33333333333333331</v>
      </c>
      <c r="K145" s="239">
        <f>C145*I145*J145</f>
        <v>5.1666666666666661</v>
      </c>
      <c r="L145" s="241">
        <f>K145/2204</f>
        <v>2.3442226255293405E-3</v>
      </c>
    </row>
    <row r="146" spans="1:12" ht="92.25" x14ac:dyDescent="1.3">
      <c r="A146" s="236"/>
      <c r="B146" s="239" t="s">
        <v>486</v>
      </c>
      <c r="C146" s="239">
        <v>16</v>
      </c>
      <c r="D146" s="239">
        <v>3</v>
      </c>
      <c r="E146" s="239">
        <f>D146/8</f>
        <v>0.375</v>
      </c>
      <c r="F146" s="242"/>
      <c r="G146" s="239">
        <v>3.3330000000000002</v>
      </c>
      <c r="H146" s="239">
        <f>(12*E146*2)/12</f>
        <v>0.75</v>
      </c>
      <c r="I146" s="239">
        <f>G146+H146</f>
        <v>4.0830000000000002</v>
      </c>
      <c r="J146" s="239">
        <f>(D146*2)/24</f>
        <v>0.25</v>
      </c>
      <c r="K146" s="239">
        <f>C146*I146*J146</f>
        <v>16.332000000000001</v>
      </c>
      <c r="L146" s="241">
        <f>K146/2204</f>
        <v>7.4101633393829401E-3</v>
      </c>
    </row>
    <row r="147" spans="1:12" x14ac:dyDescent="0.2">
      <c r="A147" s="236"/>
      <c r="B147" s="243" t="s">
        <v>126</v>
      </c>
      <c r="C147" s="239"/>
      <c r="D147" s="239"/>
      <c r="E147" s="239"/>
      <c r="F147" s="239"/>
      <c r="G147" s="239"/>
      <c r="H147" s="239"/>
      <c r="I147" s="239"/>
      <c r="J147" s="239"/>
      <c r="K147" s="244">
        <f>SUM(K144:K146)</f>
        <v>26.665333333333333</v>
      </c>
      <c r="L147" s="245">
        <f>SUM(L144:L146)</f>
        <v>1.2098608590441621E-2</v>
      </c>
    </row>
    <row r="148" spans="1:12" x14ac:dyDescent="0.2">
      <c r="A148" s="236"/>
      <c r="B148" s="237"/>
      <c r="C148" s="237"/>
      <c r="D148" s="237"/>
      <c r="E148" s="237"/>
      <c r="F148" s="237"/>
      <c r="G148" s="237"/>
      <c r="H148" s="237"/>
      <c r="I148" s="237"/>
      <c r="J148" s="237"/>
      <c r="K148" s="237"/>
      <c r="L148" s="238"/>
    </row>
    <row r="149" spans="1:12" x14ac:dyDescent="0.2">
      <c r="A149" s="236" t="s">
        <v>500</v>
      </c>
      <c r="B149" s="237" t="s">
        <v>537</v>
      </c>
      <c r="C149" s="237" t="s">
        <v>536</v>
      </c>
      <c r="D149" s="237"/>
      <c r="E149" s="237"/>
      <c r="F149" s="237"/>
      <c r="G149" s="237"/>
      <c r="H149" s="237"/>
      <c r="I149" s="237"/>
      <c r="J149" s="237"/>
      <c r="K149" s="237"/>
      <c r="L149" s="238"/>
    </row>
    <row r="150" spans="1:12" x14ac:dyDescent="0.2">
      <c r="A150" s="236"/>
      <c r="B150" s="237"/>
      <c r="C150" s="237"/>
      <c r="D150" s="237"/>
      <c r="E150" s="237"/>
      <c r="F150" s="237"/>
      <c r="G150" s="237"/>
      <c r="H150" s="237"/>
      <c r="I150" s="237"/>
      <c r="J150" s="237"/>
      <c r="K150" s="237"/>
      <c r="L150" s="238"/>
    </row>
    <row r="151" spans="1:12" ht="46.5" x14ac:dyDescent="0.65">
      <c r="A151" s="236"/>
      <c r="B151" s="239" t="s">
        <v>482</v>
      </c>
      <c r="C151" s="239">
        <v>2</v>
      </c>
      <c r="D151" s="239">
        <v>4</v>
      </c>
      <c r="E151" s="239">
        <v>0.5</v>
      </c>
      <c r="F151" s="240"/>
      <c r="G151" s="239">
        <v>15.75</v>
      </c>
      <c r="H151" s="239">
        <f>(12*E151*2)/12</f>
        <v>1</v>
      </c>
      <c r="I151" s="239">
        <f>G151+H151</f>
        <v>16.75</v>
      </c>
      <c r="J151" s="239">
        <f>(D151*2)/24</f>
        <v>0.33333333333333331</v>
      </c>
      <c r="K151" s="239">
        <f>C151*I151*J151</f>
        <v>11.166666666666666</v>
      </c>
      <c r="L151" s="241">
        <f>K151/2204</f>
        <v>5.0665456745311553E-3</v>
      </c>
    </row>
    <row r="152" spans="1:12" ht="46.5" x14ac:dyDescent="0.2">
      <c r="A152" s="236"/>
      <c r="B152" s="239" t="s">
        <v>511</v>
      </c>
      <c r="C152" s="239">
        <v>2</v>
      </c>
      <c r="D152" s="239">
        <v>4</v>
      </c>
      <c r="E152" s="239">
        <v>0.5</v>
      </c>
      <c r="F152" s="247"/>
      <c r="G152" s="239">
        <v>7.5</v>
      </c>
      <c r="H152" s="239">
        <f>(12*E151*2)/12</f>
        <v>1</v>
      </c>
      <c r="I152" s="239">
        <f>G152+H152</f>
        <v>8.5</v>
      </c>
      <c r="J152" s="239">
        <f>(D152*2)/24</f>
        <v>0.33333333333333331</v>
      </c>
      <c r="K152" s="239">
        <f>C152*I152*J152</f>
        <v>5.6666666666666661</v>
      </c>
      <c r="L152" s="241">
        <f>K152/2204</f>
        <v>2.571082879612825E-3</v>
      </c>
    </row>
    <row r="153" spans="1:12" ht="46.5" x14ac:dyDescent="0.65">
      <c r="A153" s="236"/>
      <c r="B153" s="239" t="s">
        <v>484</v>
      </c>
      <c r="C153" s="239">
        <v>2</v>
      </c>
      <c r="D153" s="239">
        <v>4</v>
      </c>
      <c r="E153" s="239">
        <v>0.5</v>
      </c>
      <c r="F153" s="240"/>
      <c r="G153" s="239">
        <v>15.75</v>
      </c>
      <c r="H153" s="239">
        <f>(12*E153*2)/12</f>
        <v>1</v>
      </c>
      <c r="I153" s="239">
        <f>G153+H153</f>
        <v>16.75</v>
      </c>
      <c r="J153" s="239">
        <f>(D153*2)/24</f>
        <v>0.33333333333333331</v>
      </c>
      <c r="K153" s="239">
        <f>C153*I153*J153</f>
        <v>11.166666666666666</v>
      </c>
      <c r="L153" s="241">
        <f>K153/2204</f>
        <v>5.0665456745311553E-3</v>
      </c>
    </row>
    <row r="154" spans="1:12" ht="92.25" x14ac:dyDescent="1.3">
      <c r="A154" s="236"/>
      <c r="B154" s="239" t="s">
        <v>486</v>
      </c>
      <c r="C154" s="239">
        <v>28</v>
      </c>
      <c r="D154" s="239">
        <v>3</v>
      </c>
      <c r="E154" s="239">
        <f>D154/8</f>
        <v>0.375</v>
      </c>
      <c r="F154" s="242"/>
      <c r="G154" s="239">
        <v>5.8330000000000002</v>
      </c>
      <c r="H154" s="239">
        <f>(12*E154*2)/12</f>
        <v>0.75</v>
      </c>
      <c r="I154" s="239">
        <f>G154+H154</f>
        <v>6.5830000000000002</v>
      </c>
      <c r="J154" s="239">
        <f>(D154*2)/24</f>
        <v>0.25</v>
      </c>
      <c r="K154" s="239">
        <f>C154*I154*J154</f>
        <v>46.081000000000003</v>
      </c>
      <c r="L154" s="241">
        <f>K154/2204</f>
        <v>2.0907894736842108E-2</v>
      </c>
    </row>
    <row r="155" spans="1:12" x14ac:dyDescent="0.2">
      <c r="A155" s="236"/>
      <c r="B155" s="243" t="s">
        <v>126</v>
      </c>
      <c r="C155" s="239"/>
      <c r="D155" s="239"/>
      <c r="E155" s="239"/>
      <c r="F155" s="239"/>
      <c r="G155" s="239"/>
      <c r="H155" s="239"/>
      <c r="I155" s="239"/>
      <c r="J155" s="239"/>
      <c r="K155" s="244">
        <f>SUM(K151:K154)</f>
        <v>74.081000000000003</v>
      </c>
      <c r="L155" s="245">
        <f>SUM(L151:L154)</f>
        <v>3.3612068965517244E-2</v>
      </c>
    </row>
    <row r="156" spans="1:12" x14ac:dyDescent="0.2">
      <c r="A156" s="236"/>
      <c r="B156" s="237"/>
      <c r="C156" s="237"/>
      <c r="D156" s="237"/>
      <c r="E156" s="237"/>
      <c r="F156" s="237"/>
      <c r="G156" s="237"/>
      <c r="H156" s="237"/>
      <c r="I156" s="237"/>
      <c r="J156" s="237"/>
      <c r="K156" s="237"/>
      <c r="L156" s="238"/>
    </row>
    <row r="157" spans="1:12" x14ac:dyDescent="0.2">
      <c r="A157" s="236" t="s">
        <v>535</v>
      </c>
      <c r="B157" s="237" t="s">
        <v>534</v>
      </c>
      <c r="C157" s="237"/>
      <c r="D157" s="237"/>
      <c r="E157" s="237"/>
      <c r="F157" s="237"/>
      <c r="G157" s="237"/>
      <c r="H157" s="237"/>
      <c r="I157" s="237"/>
      <c r="J157" s="237"/>
      <c r="K157" s="237"/>
      <c r="L157" s="238"/>
    </row>
    <row r="158" spans="1:12" ht="46.5" x14ac:dyDescent="0.65">
      <c r="A158" s="236"/>
      <c r="B158" s="239" t="s">
        <v>482</v>
      </c>
      <c r="C158" s="239">
        <v>2</v>
      </c>
      <c r="D158" s="239">
        <v>4</v>
      </c>
      <c r="E158" s="239">
        <v>0.5</v>
      </c>
      <c r="F158" s="240"/>
      <c r="G158" s="239">
        <v>11.5</v>
      </c>
      <c r="H158" s="239">
        <f>(12*E158*2)/12</f>
        <v>1</v>
      </c>
      <c r="I158" s="239">
        <f>G158+H158</f>
        <v>12.5</v>
      </c>
      <c r="J158" s="239">
        <f>(D158*2)/24</f>
        <v>0.33333333333333331</v>
      </c>
      <c r="K158" s="239">
        <f>C158*I158*J158</f>
        <v>8.3333333333333321</v>
      </c>
      <c r="L158" s="241">
        <f>K158/2204</f>
        <v>3.7810042347247424E-3</v>
      </c>
    </row>
    <row r="159" spans="1:12" ht="46.5" x14ac:dyDescent="0.65">
      <c r="A159" s="236"/>
      <c r="B159" s="239" t="s">
        <v>484</v>
      </c>
      <c r="C159" s="239">
        <v>2</v>
      </c>
      <c r="D159" s="239">
        <v>4</v>
      </c>
      <c r="E159" s="239">
        <v>0.5</v>
      </c>
      <c r="F159" s="240"/>
      <c r="G159" s="239">
        <v>11.5</v>
      </c>
      <c r="H159" s="239">
        <f>(12*E159*2)/12</f>
        <v>1</v>
      </c>
      <c r="I159" s="239">
        <f>G159+H159</f>
        <v>12.5</v>
      </c>
      <c r="J159" s="239">
        <f>(D159*2)/24</f>
        <v>0.33333333333333331</v>
      </c>
      <c r="K159" s="239">
        <f>C159*I159*J159</f>
        <v>8.3333333333333321</v>
      </c>
      <c r="L159" s="241">
        <f>K159/2204</f>
        <v>3.7810042347247424E-3</v>
      </c>
    </row>
    <row r="160" spans="1:12" ht="92.25" x14ac:dyDescent="1.3">
      <c r="A160" s="236"/>
      <c r="B160" s="239" t="s">
        <v>486</v>
      </c>
      <c r="C160" s="239">
        <v>25</v>
      </c>
      <c r="D160" s="239">
        <v>3</v>
      </c>
      <c r="E160" s="239">
        <f>D160/8</f>
        <v>0.375</v>
      </c>
      <c r="F160" s="242"/>
      <c r="G160" s="239">
        <v>3.8330000000000002</v>
      </c>
      <c r="H160" s="239">
        <f>(12*E160*2)/12</f>
        <v>0.75</v>
      </c>
      <c r="I160" s="239">
        <f>G160+H160</f>
        <v>4.5830000000000002</v>
      </c>
      <c r="J160" s="239">
        <f>(D160*2)/24</f>
        <v>0.25</v>
      </c>
      <c r="K160" s="239">
        <f>C160*I160*J160</f>
        <v>28.643750000000001</v>
      </c>
      <c r="L160" s="241">
        <f>K160/2204</f>
        <v>1.2996256805807623E-2</v>
      </c>
    </row>
    <row r="161" spans="1:12" x14ac:dyDescent="0.2">
      <c r="A161" s="236"/>
      <c r="B161" s="243" t="s">
        <v>126</v>
      </c>
      <c r="C161" s="239"/>
      <c r="D161" s="239"/>
      <c r="E161" s="239"/>
      <c r="F161" s="239"/>
      <c r="G161" s="239"/>
      <c r="H161" s="239"/>
      <c r="I161" s="239"/>
      <c r="J161" s="239"/>
      <c r="K161" s="244">
        <f>SUM(K158:K160)</f>
        <v>45.310416666666669</v>
      </c>
      <c r="L161" s="245">
        <f>SUM(L158:L160)</f>
        <v>2.0558265275257108E-2</v>
      </c>
    </row>
    <row r="162" spans="1:12" x14ac:dyDescent="0.2">
      <c r="A162" s="236"/>
      <c r="B162" s="237"/>
      <c r="C162" s="237"/>
      <c r="D162" s="237"/>
      <c r="E162" s="237"/>
      <c r="F162" s="237"/>
      <c r="G162" s="237"/>
      <c r="H162" s="237"/>
      <c r="I162" s="237"/>
      <c r="J162" s="237"/>
      <c r="K162" s="237"/>
      <c r="L162" s="238"/>
    </row>
    <row r="163" spans="1:12" x14ac:dyDescent="0.2">
      <c r="A163" s="236" t="s">
        <v>533</v>
      </c>
      <c r="B163" s="237" t="s">
        <v>532</v>
      </c>
      <c r="C163" s="237"/>
      <c r="D163" s="237"/>
      <c r="E163" s="237"/>
      <c r="F163" s="237"/>
      <c r="G163" s="237"/>
      <c r="H163" s="237"/>
      <c r="I163" s="237"/>
      <c r="J163" s="237"/>
      <c r="K163" s="237"/>
      <c r="L163" s="238"/>
    </row>
    <row r="164" spans="1:12" ht="46.5" x14ac:dyDescent="0.65">
      <c r="A164" s="236"/>
      <c r="B164" s="239" t="s">
        <v>482</v>
      </c>
      <c r="C164" s="239">
        <v>2</v>
      </c>
      <c r="D164" s="239">
        <v>4</v>
      </c>
      <c r="E164" s="239">
        <v>0.5</v>
      </c>
      <c r="F164" s="240"/>
      <c r="G164" s="239">
        <v>14.75</v>
      </c>
      <c r="H164" s="239">
        <f>(12*E164*2)/12</f>
        <v>1</v>
      </c>
      <c r="I164" s="239">
        <f>G164+H164</f>
        <v>15.75</v>
      </c>
      <c r="J164" s="239">
        <f>(D164*2)/24</f>
        <v>0.33333333333333331</v>
      </c>
      <c r="K164" s="239">
        <f>C164*I164*J164</f>
        <v>10.5</v>
      </c>
      <c r="L164" s="241">
        <f>K164/2204</f>
        <v>4.7640653357531757E-3</v>
      </c>
    </row>
    <row r="165" spans="1:12" ht="46.5" x14ac:dyDescent="0.65">
      <c r="A165" s="236"/>
      <c r="B165" s="239" t="s">
        <v>484</v>
      </c>
      <c r="C165" s="239">
        <v>2</v>
      </c>
      <c r="D165" s="239">
        <v>4</v>
      </c>
      <c r="E165" s="239">
        <v>0.5</v>
      </c>
      <c r="F165" s="240"/>
      <c r="G165" s="239">
        <v>14.75</v>
      </c>
      <c r="H165" s="239">
        <f>(12*E165*2)/12</f>
        <v>1</v>
      </c>
      <c r="I165" s="239">
        <f>G165+H165</f>
        <v>15.75</v>
      </c>
      <c r="J165" s="239">
        <f>(D165*2)/24</f>
        <v>0.33333333333333331</v>
      </c>
      <c r="K165" s="239">
        <f>C165*I165*J165</f>
        <v>10.5</v>
      </c>
      <c r="L165" s="241">
        <f>K165/2204</f>
        <v>4.7640653357531757E-3</v>
      </c>
    </row>
    <row r="166" spans="1:12" ht="92.25" x14ac:dyDescent="1.3">
      <c r="A166" s="236"/>
      <c r="B166" s="239" t="s">
        <v>486</v>
      </c>
      <c r="C166" s="239">
        <v>28</v>
      </c>
      <c r="D166" s="239">
        <v>3</v>
      </c>
      <c r="E166" s="239">
        <f>D166/8</f>
        <v>0.375</v>
      </c>
      <c r="F166" s="242"/>
      <c r="G166" s="239">
        <v>5.8330000000000002</v>
      </c>
      <c r="H166" s="239">
        <f>(12*E166*2)/12</f>
        <v>0.75</v>
      </c>
      <c r="I166" s="239">
        <f>G166+H166</f>
        <v>6.5830000000000002</v>
      </c>
      <c r="J166" s="239">
        <f>(D166*2)/24</f>
        <v>0.25</v>
      </c>
      <c r="K166" s="239">
        <f>C166*I166*J166</f>
        <v>46.081000000000003</v>
      </c>
      <c r="L166" s="241">
        <f>K166/2204</f>
        <v>2.0907894736842108E-2</v>
      </c>
    </row>
    <row r="167" spans="1:12" x14ac:dyDescent="0.2">
      <c r="A167" s="236"/>
      <c r="B167" s="243" t="s">
        <v>126</v>
      </c>
      <c r="C167" s="239"/>
      <c r="D167" s="239"/>
      <c r="E167" s="239"/>
      <c r="F167" s="239"/>
      <c r="G167" s="239"/>
      <c r="H167" s="239"/>
      <c r="I167" s="239"/>
      <c r="J167" s="239"/>
      <c r="K167" s="244">
        <f>SUM(K164:K166)</f>
        <v>67.081000000000003</v>
      </c>
      <c r="L167" s="245">
        <f>SUM(L164:L166)</f>
        <v>3.0436025408348458E-2</v>
      </c>
    </row>
    <row r="168" spans="1:12" x14ac:dyDescent="0.2">
      <c r="A168" s="236"/>
      <c r="B168" s="237"/>
      <c r="C168" s="237"/>
      <c r="D168" s="237"/>
      <c r="E168" s="237"/>
      <c r="F168" s="237"/>
      <c r="G168" s="237"/>
      <c r="H168" s="237"/>
      <c r="I168" s="237"/>
      <c r="J168" s="237"/>
      <c r="K168" s="237"/>
      <c r="L168" s="238"/>
    </row>
    <row r="169" spans="1:12" x14ac:dyDescent="0.2">
      <c r="A169" s="236" t="s">
        <v>531</v>
      </c>
      <c r="B169" s="237" t="s">
        <v>530</v>
      </c>
      <c r="C169" s="237" t="s">
        <v>529</v>
      </c>
      <c r="D169" s="237"/>
      <c r="E169" s="237"/>
      <c r="F169" s="237"/>
      <c r="G169" s="237"/>
      <c r="H169" s="237"/>
      <c r="I169" s="237"/>
      <c r="J169" s="237"/>
      <c r="K169" s="237"/>
      <c r="L169" s="238"/>
    </row>
    <row r="170" spans="1:12" ht="46.5" x14ac:dyDescent="0.65">
      <c r="A170" s="236"/>
      <c r="B170" s="239" t="s">
        <v>482</v>
      </c>
      <c r="C170" s="239">
        <v>2</v>
      </c>
      <c r="D170" s="239">
        <v>4</v>
      </c>
      <c r="E170" s="239">
        <v>0.5</v>
      </c>
      <c r="F170" s="240"/>
      <c r="G170" s="239">
        <v>13.75</v>
      </c>
      <c r="H170" s="239">
        <f>(12*E170*2)/12</f>
        <v>1</v>
      </c>
      <c r="I170" s="239">
        <f>G170+H170</f>
        <v>14.75</v>
      </c>
      <c r="J170" s="239">
        <f>(D170*2)/24</f>
        <v>0.33333333333333331</v>
      </c>
      <c r="K170" s="239">
        <f>C170*I170*J170</f>
        <v>9.8333333333333321</v>
      </c>
      <c r="L170" s="241">
        <f>K170/2204</f>
        <v>4.4615849969751962E-3</v>
      </c>
    </row>
    <row r="171" spans="1:12" ht="46.5" x14ac:dyDescent="0.65">
      <c r="A171" s="236"/>
      <c r="B171" s="239" t="s">
        <v>484</v>
      </c>
      <c r="C171" s="239">
        <v>2</v>
      </c>
      <c r="D171" s="239">
        <v>4</v>
      </c>
      <c r="E171" s="239">
        <v>0.5</v>
      </c>
      <c r="F171" s="240"/>
      <c r="G171" s="239">
        <v>13.75</v>
      </c>
      <c r="H171" s="239">
        <f>(12*E171*2)/12</f>
        <v>1</v>
      </c>
      <c r="I171" s="239">
        <f>G171+H171</f>
        <v>14.75</v>
      </c>
      <c r="J171" s="239">
        <f>(D171*2)/24</f>
        <v>0.33333333333333331</v>
      </c>
      <c r="K171" s="239">
        <f>C171*I171*J171</f>
        <v>9.8333333333333321</v>
      </c>
      <c r="L171" s="241">
        <f>K171/2204</f>
        <v>4.4615849969751962E-3</v>
      </c>
    </row>
    <row r="172" spans="1:12" ht="92.25" x14ac:dyDescent="1.3">
      <c r="A172" s="236"/>
      <c r="B172" s="239" t="s">
        <v>486</v>
      </c>
      <c r="C172" s="239">
        <v>25</v>
      </c>
      <c r="D172" s="239">
        <v>3</v>
      </c>
      <c r="E172" s="239">
        <f>D172/8</f>
        <v>0.375</v>
      </c>
      <c r="F172" s="242"/>
      <c r="G172" s="239">
        <v>5.8330000000000002</v>
      </c>
      <c r="H172" s="239">
        <f>(12*E172*2)/12</f>
        <v>0.75</v>
      </c>
      <c r="I172" s="239">
        <f>G172+H172</f>
        <v>6.5830000000000002</v>
      </c>
      <c r="J172" s="239">
        <f>(D172*2)/24</f>
        <v>0.25</v>
      </c>
      <c r="K172" s="239">
        <f>C172*I172*J172</f>
        <v>41.143750000000004</v>
      </c>
      <c r="L172" s="241">
        <f>K172/2204</f>
        <v>1.8667763157894739E-2</v>
      </c>
    </row>
    <row r="173" spans="1:12" x14ac:dyDescent="0.2">
      <c r="A173" s="236"/>
      <c r="B173" s="243" t="s">
        <v>126</v>
      </c>
      <c r="C173" s="239"/>
      <c r="D173" s="239"/>
      <c r="E173" s="239"/>
      <c r="F173" s="239"/>
      <c r="G173" s="239"/>
      <c r="H173" s="239"/>
      <c r="I173" s="239"/>
      <c r="J173" s="239"/>
      <c r="K173" s="244">
        <f>SUM(K170:K172)</f>
        <v>60.810416666666669</v>
      </c>
      <c r="L173" s="245">
        <f>SUM(L170:L172)</f>
        <v>2.7590933151845132E-2</v>
      </c>
    </row>
    <row r="174" spans="1:12" x14ac:dyDescent="0.2">
      <c r="A174" s="236"/>
      <c r="B174" s="237" t="s">
        <v>520</v>
      </c>
      <c r="C174" s="237"/>
      <c r="D174" s="237"/>
      <c r="E174" s="237"/>
      <c r="F174" s="237"/>
      <c r="G174" s="237"/>
      <c r="H174" s="237"/>
      <c r="I174" s="237"/>
      <c r="J174" s="237"/>
      <c r="K174" s="237"/>
      <c r="L174" s="238"/>
    </row>
    <row r="175" spans="1:12" ht="46.5" x14ac:dyDescent="0.65">
      <c r="A175" s="236"/>
      <c r="B175" s="239" t="s">
        <v>482</v>
      </c>
      <c r="C175" s="239">
        <v>2</v>
      </c>
      <c r="D175" s="239">
        <v>4</v>
      </c>
      <c r="E175" s="239">
        <v>0.5</v>
      </c>
      <c r="F175" s="240"/>
      <c r="G175" s="239">
        <v>6.25</v>
      </c>
      <c r="H175" s="239">
        <f>(12*E175*2)/12</f>
        <v>1</v>
      </c>
      <c r="I175" s="239">
        <f>G175+H175</f>
        <v>7.25</v>
      </c>
      <c r="J175" s="239">
        <f>(D175*2)/24</f>
        <v>0.33333333333333331</v>
      </c>
      <c r="K175" s="239">
        <f>C175*I175*J175</f>
        <v>4.833333333333333</v>
      </c>
      <c r="L175" s="241">
        <f>K175/2204</f>
        <v>2.1929824561403508E-3</v>
      </c>
    </row>
    <row r="176" spans="1:12" ht="46.5" x14ac:dyDescent="0.65">
      <c r="A176" s="236"/>
      <c r="B176" s="239" t="s">
        <v>484</v>
      </c>
      <c r="C176" s="239">
        <v>2</v>
      </c>
      <c r="D176" s="239">
        <v>4</v>
      </c>
      <c r="E176" s="239">
        <v>0.5</v>
      </c>
      <c r="F176" s="240"/>
      <c r="G176" s="239">
        <v>6.25</v>
      </c>
      <c r="H176" s="239">
        <f>(12*E176*2)/12</f>
        <v>1</v>
      </c>
      <c r="I176" s="239">
        <f>G176+H176</f>
        <v>7.25</v>
      </c>
      <c r="J176" s="239">
        <f>(D176*2)/24</f>
        <v>0.33333333333333331</v>
      </c>
      <c r="K176" s="239">
        <f>C176*I176*J176</f>
        <v>4.833333333333333</v>
      </c>
      <c r="L176" s="241">
        <f>K176/2204</f>
        <v>2.1929824561403508E-3</v>
      </c>
    </row>
    <row r="177" spans="1:12" ht="92.25" x14ac:dyDescent="1.3">
      <c r="A177" s="236"/>
      <c r="B177" s="239" t="s">
        <v>486</v>
      </c>
      <c r="C177" s="239">
        <v>13</v>
      </c>
      <c r="D177" s="239">
        <v>3</v>
      </c>
      <c r="E177" s="239">
        <f>D177/8</f>
        <v>0.375</v>
      </c>
      <c r="F177" s="242"/>
      <c r="G177" s="239">
        <v>5.8330000000000002</v>
      </c>
      <c r="H177" s="239">
        <f>(12*E177*2)/12</f>
        <v>0.75</v>
      </c>
      <c r="I177" s="239">
        <f>G177+H177</f>
        <v>6.5830000000000002</v>
      </c>
      <c r="J177" s="239">
        <f>(D177*2)/24</f>
        <v>0.25</v>
      </c>
      <c r="K177" s="239">
        <f>C177*I177*J177</f>
        <v>21.394750000000002</v>
      </c>
      <c r="L177" s="241">
        <f>K177/2204</f>
        <v>9.7072368421052633E-3</v>
      </c>
    </row>
    <row r="178" spans="1:12" x14ac:dyDescent="0.2">
      <c r="A178" s="236"/>
      <c r="B178" s="243" t="s">
        <v>126</v>
      </c>
      <c r="C178" s="239"/>
      <c r="D178" s="239"/>
      <c r="E178" s="239"/>
      <c r="F178" s="239"/>
      <c r="G178" s="239"/>
      <c r="H178" s="239"/>
      <c r="I178" s="239"/>
      <c r="J178" s="239"/>
      <c r="K178" s="244">
        <f>SUM(K175:K177)</f>
        <v>31.061416666666666</v>
      </c>
      <c r="L178" s="245">
        <f>SUM(L175:L177)</f>
        <v>1.4093201754385965E-2</v>
      </c>
    </row>
    <row r="179" spans="1:12" x14ac:dyDescent="0.2">
      <c r="A179" s="236" t="s">
        <v>526</v>
      </c>
      <c r="B179" s="237" t="s">
        <v>528</v>
      </c>
      <c r="C179" s="237" t="s">
        <v>527</v>
      </c>
      <c r="D179" s="237"/>
      <c r="E179" s="237"/>
      <c r="F179" s="237"/>
      <c r="G179" s="237"/>
      <c r="H179" s="237"/>
      <c r="I179" s="237"/>
      <c r="J179" s="237"/>
      <c r="K179" s="237"/>
      <c r="L179" s="238"/>
    </row>
    <row r="180" spans="1:12" x14ac:dyDescent="0.2">
      <c r="A180" s="236"/>
      <c r="B180" s="237"/>
      <c r="C180" s="237"/>
      <c r="D180" s="237"/>
      <c r="E180" s="237"/>
      <c r="F180" s="237"/>
      <c r="G180" s="237"/>
      <c r="H180" s="237"/>
      <c r="I180" s="237"/>
      <c r="J180" s="237"/>
      <c r="K180" s="237"/>
      <c r="L180" s="238"/>
    </row>
    <row r="181" spans="1:12" ht="46.5" x14ac:dyDescent="0.65">
      <c r="A181" s="236"/>
      <c r="B181" s="239" t="s">
        <v>482</v>
      </c>
      <c r="C181" s="239">
        <v>2</v>
      </c>
      <c r="D181" s="239">
        <v>4</v>
      </c>
      <c r="E181" s="239">
        <v>0.5</v>
      </c>
      <c r="F181" s="240"/>
      <c r="G181" s="239">
        <v>15.25</v>
      </c>
      <c r="H181" s="239">
        <f>(12*E181*2)/12</f>
        <v>1</v>
      </c>
      <c r="I181" s="239">
        <f>G181+H181</f>
        <v>16.25</v>
      </c>
      <c r="J181" s="239">
        <f>(D181*2)/24</f>
        <v>0.33333333333333331</v>
      </c>
      <c r="K181" s="239">
        <f>C181*I181*J181</f>
        <v>10.833333333333332</v>
      </c>
      <c r="L181" s="241">
        <f>K181/2204</f>
        <v>4.9153055051421651E-3</v>
      </c>
    </row>
    <row r="182" spans="1:12" ht="46.5" x14ac:dyDescent="0.65">
      <c r="A182" s="236"/>
      <c r="B182" s="239" t="s">
        <v>484</v>
      </c>
      <c r="C182" s="239">
        <v>2</v>
      </c>
      <c r="D182" s="239">
        <v>4</v>
      </c>
      <c r="E182" s="239">
        <v>0.5</v>
      </c>
      <c r="F182" s="240"/>
      <c r="G182" s="239">
        <v>15.25</v>
      </c>
      <c r="H182" s="239">
        <f>(12*E182*2)/12</f>
        <v>1</v>
      </c>
      <c r="I182" s="239">
        <f>G182+H182</f>
        <v>16.25</v>
      </c>
      <c r="J182" s="239">
        <f>(D182*2)/24</f>
        <v>0.33333333333333331</v>
      </c>
      <c r="K182" s="239">
        <f>C182*I182*J182</f>
        <v>10.833333333333332</v>
      </c>
      <c r="L182" s="241">
        <f>K182/2204</f>
        <v>4.9153055051421651E-3</v>
      </c>
    </row>
    <row r="183" spans="1:12" ht="92.25" x14ac:dyDescent="1.3">
      <c r="A183" s="236"/>
      <c r="B183" s="239" t="s">
        <v>486</v>
      </c>
      <c r="C183" s="239">
        <v>25</v>
      </c>
      <c r="D183" s="239">
        <v>3</v>
      </c>
      <c r="E183" s="239">
        <f>D183/8</f>
        <v>0.375</v>
      </c>
      <c r="F183" s="242"/>
      <c r="G183" s="239">
        <v>5.8333000000000004</v>
      </c>
      <c r="H183" s="239">
        <f>(12*E183*2)/12</f>
        <v>0.75</v>
      </c>
      <c r="I183" s="239">
        <f>G183+H183</f>
        <v>6.5833000000000004</v>
      </c>
      <c r="J183" s="239">
        <f>(D183*2)/24</f>
        <v>0.25</v>
      </c>
      <c r="K183" s="239">
        <f>C183*I183*J183</f>
        <v>41.145625000000003</v>
      </c>
      <c r="L183" s="241">
        <f>K183/2204</f>
        <v>1.8668613883847551E-2</v>
      </c>
    </row>
    <row r="184" spans="1:12" x14ac:dyDescent="0.2">
      <c r="A184" s="236"/>
      <c r="B184" s="243" t="s">
        <v>126</v>
      </c>
      <c r="C184" s="239"/>
      <c r="D184" s="239"/>
      <c r="E184" s="239"/>
      <c r="F184" s="239"/>
      <c r="G184" s="239"/>
      <c r="H184" s="239"/>
      <c r="I184" s="239"/>
      <c r="J184" s="239"/>
      <c r="K184" s="244">
        <f>SUM(K181:K183)</f>
        <v>62.812291666666667</v>
      </c>
      <c r="L184" s="245">
        <f>SUM(L181:L183)</f>
        <v>2.8499224894131883E-2</v>
      </c>
    </row>
    <row r="185" spans="1:12" x14ac:dyDescent="0.2">
      <c r="A185" s="236"/>
      <c r="B185" s="237"/>
      <c r="C185" s="237"/>
      <c r="D185" s="237"/>
      <c r="E185" s="237"/>
      <c r="F185" s="237"/>
      <c r="G185" s="237"/>
      <c r="H185" s="237"/>
      <c r="I185" s="237"/>
      <c r="J185" s="237"/>
      <c r="K185" s="237"/>
      <c r="L185" s="238"/>
    </row>
    <row r="186" spans="1:12" x14ac:dyDescent="0.2">
      <c r="A186" s="236" t="s">
        <v>526</v>
      </c>
      <c r="B186" s="237" t="s">
        <v>525</v>
      </c>
      <c r="C186" s="237" t="s">
        <v>524</v>
      </c>
      <c r="D186" s="237"/>
      <c r="E186" s="237"/>
      <c r="F186" s="237"/>
      <c r="G186" s="237"/>
      <c r="H186" s="237"/>
      <c r="I186" s="237"/>
      <c r="J186" s="237"/>
      <c r="K186" s="237"/>
      <c r="L186" s="238"/>
    </row>
    <row r="187" spans="1:12" x14ac:dyDescent="0.2">
      <c r="A187" s="236"/>
      <c r="B187" s="237"/>
      <c r="C187" s="237"/>
      <c r="D187" s="237"/>
      <c r="E187" s="237"/>
      <c r="F187" s="237"/>
      <c r="G187" s="237"/>
      <c r="H187" s="237"/>
      <c r="I187" s="237"/>
      <c r="J187" s="237"/>
      <c r="K187" s="237"/>
      <c r="L187" s="238"/>
    </row>
    <row r="188" spans="1:12" ht="46.5" x14ac:dyDescent="0.65">
      <c r="A188" s="236"/>
      <c r="B188" s="239" t="s">
        <v>482</v>
      </c>
      <c r="C188" s="239">
        <v>2</v>
      </c>
      <c r="D188" s="239">
        <v>4</v>
      </c>
      <c r="E188" s="239">
        <v>0.5</v>
      </c>
      <c r="F188" s="240"/>
      <c r="G188" s="239">
        <v>9.5830000000000002</v>
      </c>
      <c r="H188" s="239">
        <f>(12*E188*2)/12</f>
        <v>1</v>
      </c>
      <c r="I188" s="239">
        <f>G188+H188</f>
        <v>10.583</v>
      </c>
      <c r="J188" s="239">
        <f>(D188*2)/24</f>
        <v>0.33333333333333331</v>
      </c>
      <c r="K188" s="239">
        <f>C188*I188*J188</f>
        <v>7.0553333333333335</v>
      </c>
      <c r="L188" s="241">
        <f>K188/2204</f>
        <v>3.2011494252873565E-3</v>
      </c>
    </row>
    <row r="189" spans="1:12" ht="46.5" x14ac:dyDescent="0.65">
      <c r="A189" s="236"/>
      <c r="B189" s="239" t="s">
        <v>484</v>
      </c>
      <c r="C189" s="239">
        <v>2</v>
      </c>
      <c r="D189" s="239">
        <v>4</v>
      </c>
      <c r="E189" s="239">
        <v>0.5</v>
      </c>
      <c r="F189" s="240"/>
      <c r="G189" s="239">
        <v>9.5830000000000002</v>
      </c>
      <c r="H189" s="239">
        <f>(12*E189*2)/12</f>
        <v>1</v>
      </c>
      <c r="I189" s="239">
        <f>G189+H189</f>
        <v>10.583</v>
      </c>
      <c r="J189" s="239">
        <f>(D189*2)/24</f>
        <v>0.33333333333333331</v>
      </c>
      <c r="K189" s="239">
        <f>C189*I189*J189</f>
        <v>7.0553333333333335</v>
      </c>
      <c r="L189" s="241">
        <f>K189/2204</f>
        <v>3.2011494252873565E-3</v>
      </c>
    </row>
    <row r="190" spans="1:12" ht="92.25" x14ac:dyDescent="1.3">
      <c r="A190" s="236"/>
      <c r="B190" s="239" t="s">
        <v>486</v>
      </c>
      <c r="C190" s="239">
        <v>16</v>
      </c>
      <c r="D190" s="239">
        <v>3</v>
      </c>
      <c r="E190" s="239">
        <f>D190/8</f>
        <v>0.375</v>
      </c>
      <c r="F190" s="242"/>
      <c r="G190" s="239">
        <v>5.8333000000000004</v>
      </c>
      <c r="H190" s="239">
        <f>(12*E190*2)/12</f>
        <v>0.75</v>
      </c>
      <c r="I190" s="239">
        <f>G190+H190</f>
        <v>6.5833000000000004</v>
      </c>
      <c r="J190" s="239">
        <f>(D190*2)/24</f>
        <v>0.25</v>
      </c>
      <c r="K190" s="239">
        <f>C190*I190*J190</f>
        <v>26.333200000000001</v>
      </c>
      <c r="L190" s="241">
        <f>K190/2204</f>
        <v>1.1947912885662432E-2</v>
      </c>
    </row>
    <row r="191" spans="1:12" x14ac:dyDescent="0.2">
      <c r="A191" s="236"/>
      <c r="B191" s="243" t="s">
        <v>126</v>
      </c>
      <c r="C191" s="239"/>
      <c r="D191" s="239"/>
      <c r="E191" s="239"/>
      <c r="F191" s="239"/>
      <c r="G191" s="239"/>
      <c r="H191" s="239"/>
      <c r="I191" s="239"/>
      <c r="J191" s="239"/>
      <c r="K191" s="244">
        <f>SUM(K188:K190)</f>
        <v>40.443866666666665</v>
      </c>
      <c r="L191" s="245">
        <f>SUM(L188:L190)</f>
        <v>1.8350211736237146E-2</v>
      </c>
    </row>
    <row r="192" spans="1:12" x14ac:dyDescent="0.2">
      <c r="A192" s="236"/>
      <c r="B192" s="237"/>
      <c r="C192" s="237"/>
      <c r="D192" s="237"/>
      <c r="E192" s="237"/>
      <c r="F192" s="237"/>
      <c r="G192" s="237"/>
      <c r="H192" s="237"/>
      <c r="I192" s="237"/>
      <c r="J192" s="237"/>
      <c r="K192" s="237"/>
      <c r="L192" s="238"/>
    </row>
    <row r="193" spans="1:12" x14ac:dyDescent="0.2">
      <c r="A193" s="236"/>
      <c r="B193" s="237" t="s">
        <v>523</v>
      </c>
      <c r="C193" s="237"/>
      <c r="D193" s="237"/>
      <c r="E193" s="237"/>
      <c r="F193" s="237"/>
      <c r="G193" s="237"/>
      <c r="H193" s="237"/>
      <c r="I193" s="237"/>
      <c r="J193" s="237"/>
      <c r="K193" s="237"/>
      <c r="L193" s="238"/>
    </row>
    <row r="194" spans="1:12" ht="46.5" x14ac:dyDescent="0.65">
      <c r="A194" s="236"/>
      <c r="B194" s="239" t="s">
        <v>482</v>
      </c>
      <c r="C194" s="239">
        <v>2</v>
      </c>
      <c r="D194" s="239">
        <v>4</v>
      </c>
      <c r="E194" s="239">
        <v>0.5</v>
      </c>
      <c r="F194" s="240"/>
      <c r="G194" s="239">
        <v>7.8330000000000002</v>
      </c>
      <c r="H194" s="239">
        <f>(12*E194*2)/12</f>
        <v>1</v>
      </c>
      <c r="I194" s="239">
        <f>G194+H194</f>
        <v>8.8330000000000002</v>
      </c>
      <c r="J194" s="239">
        <f>(D194*2)/24</f>
        <v>0.33333333333333331</v>
      </c>
      <c r="K194" s="239">
        <f>C194*I194*J194</f>
        <v>5.8886666666666665</v>
      </c>
      <c r="L194" s="241">
        <f>K194/2204</f>
        <v>2.6718088324258924E-3</v>
      </c>
    </row>
    <row r="195" spans="1:12" ht="46.5" x14ac:dyDescent="0.65">
      <c r="A195" s="236"/>
      <c r="B195" s="239" t="s">
        <v>484</v>
      </c>
      <c r="C195" s="239">
        <v>2</v>
      </c>
      <c r="D195" s="239">
        <v>4</v>
      </c>
      <c r="E195" s="239">
        <v>0.5</v>
      </c>
      <c r="F195" s="240"/>
      <c r="G195" s="239">
        <v>7.8330000000000002</v>
      </c>
      <c r="H195" s="239">
        <f>(12*E195*2)/12</f>
        <v>1</v>
      </c>
      <c r="I195" s="239">
        <f>G195+H195</f>
        <v>8.8330000000000002</v>
      </c>
      <c r="J195" s="239">
        <f>(D195*2)/24</f>
        <v>0.33333333333333331</v>
      </c>
      <c r="K195" s="239">
        <f>C195*I195*J195</f>
        <v>5.8886666666666665</v>
      </c>
      <c r="L195" s="241">
        <f>K195/2204</f>
        <v>2.6718088324258924E-3</v>
      </c>
    </row>
    <row r="196" spans="1:12" ht="92.25" x14ac:dyDescent="1.3">
      <c r="A196" s="236"/>
      <c r="B196" s="239" t="s">
        <v>486</v>
      </c>
      <c r="C196" s="239">
        <v>12</v>
      </c>
      <c r="D196" s="239">
        <v>3</v>
      </c>
      <c r="E196" s="239">
        <f>D196/8</f>
        <v>0.375</v>
      </c>
      <c r="F196" s="242"/>
      <c r="G196" s="239">
        <v>5.8333000000000004</v>
      </c>
      <c r="H196" s="239">
        <f>(12*E196*2)/12</f>
        <v>0.75</v>
      </c>
      <c r="I196" s="239">
        <f>G196+H196</f>
        <v>6.5833000000000004</v>
      </c>
      <c r="J196" s="239">
        <f>(D196*2)/24</f>
        <v>0.25</v>
      </c>
      <c r="K196" s="239">
        <f>C196*I196*J196</f>
        <v>19.7499</v>
      </c>
      <c r="L196" s="241">
        <f>K196/2204</f>
        <v>8.9609346642468245E-3</v>
      </c>
    </row>
    <row r="197" spans="1:12" x14ac:dyDescent="0.2">
      <c r="A197" s="236"/>
      <c r="B197" s="243" t="s">
        <v>126</v>
      </c>
      <c r="C197" s="239"/>
      <c r="D197" s="239"/>
      <c r="E197" s="239"/>
      <c r="F197" s="239"/>
      <c r="G197" s="239"/>
      <c r="H197" s="239"/>
      <c r="I197" s="239"/>
      <c r="J197" s="239"/>
      <c r="K197" s="244">
        <f>SUM(K194:K196)</f>
        <v>31.527233333333335</v>
      </c>
      <c r="L197" s="245">
        <f>SUM(L194:L196)</f>
        <v>1.4304552329098609E-2</v>
      </c>
    </row>
    <row r="198" spans="1:12" x14ac:dyDescent="0.2">
      <c r="A198" s="236"/>
      <c r="B198" s="237"/>
      <c r="C198" s="237"/>
      <c r="D198" s="237"/>
      <c r="E198" s="237"/>
      <c r="F198" s="237"/>
      <c r="G198" s="237"/>
      <c r="H198" s="237"/>
      <c r="I198" s="237"/>
      <c r="J198" s="237"/>
      <c r="K198" s="237"/>
      <c r="L198" s="238"/>
    </row>
    <row r="199" spans="1:12" x14ac:dyDescent="0.2">
      <c r="A199" s="236" t="s">
        <v>522</v>
      </c>
      <c r="B199" s="237" t="s">
        <v>521</v>
      </c>
      <c r="C199" s="237"/>
      <c r="D199" s="237"/>
      <c r="E199" s="237"/>
      <c r="F199" s="237"/>
      <c r="G199" s="237"/>
      <c r="H199" s="237"/>
      <c r="I199" s="237"/>
      <c r="J199" s="237"/>
      <c r="K199" s="237"/>
      <c r="L199" s="238"/>
    </row>
    <row r="200" spans="1:12" x14ac:dyDescent="0.2">
      <c r="A200" s="236"/>
      <c r="B200" s="237" t="s">
        <v>520</v>
      </c>
      <c r="C200" s="237"/>
      <c r="D200" s="237"/>
      <c r="E200" s="237"/>
      <c r="F200" s="237"/>
      <c r="G200" s="237"/>
      <c r="H200" s="237"/>
      <c r="I200" s="237"/>
      <c r="J200" s="237"/>
      <c r="K200" s="237"/>
      <c r="L200" s="238"/>
    </row>
    <row r="201" spans="1:12" ht="46.5" x14ac:dyDescent="0.65">
      <c r="A201" s="236"/>
      <c r="B201" s="239" t="s">
        <v>482</v>
      </c>
      <c r="C201" s="239">
        <v>2</v>
      </c>
      <c r="D201" s="239">
        <v>4</v>
      </c>
      <c r="E201" s="239">
        <v>0.5</v>
      </c>
      <c r="F201" s="240"/>
      <c r="G201" s="239">
        <v>6.25</v>
      </c>
      <c r="H201" s="239">
        <f>(12*E201*2)/12</f>
        <v>1</v>
      </c>
      <c r="I201" s="239">
        <f>G201+H201</f>
        <v>7.25</v>
      </c>
      <c r="J201" s="239">
        <f>(D201*2)/24</f>
        <v>0.33333333333333331</v>
      </c>
      <c r="K201" s="239">
        <f>C201*I201*J201</f>
        <v>4.833333333333333</v>
      </c>
      <c r="L201" s="241">
        <f>K201/2204</f>
        <v>2.1929824561403508E-3</v>
      </c>
    </row>
    <row r="202" spans="1:12" ht="46.5" x14ac:dyDescent="0.65">
      <c r="A202" s="236"/>
      <c r="B202" s="239" t="s">
        <v>484</v>
      </c>
      <c r="C202" s="239">
        <v>2</v>
      </c>
      <c r="D202" s="239">
        <v>4</v>
      </c>
      <c r="E202" s="239">
        <v>0.5</v>
      </c>
      <c r="F202" s="240"/>
      <c r="G202" s="239">
        <v>6.25</v>
      </c>
      <c r="H202" s="239">
        <f>(12*E202*2)/12</f>
        <v>1</v>
      </c>
      <c r="I202" s="239">
        <f>G202+H202</f>
        <v>7.25</v>
      </c>
      <c r="J202" s="239">
        <f>(D202*2)/24</f>
        <v>0.33333333333333331</v>
      </c>
      <c r="K202" s="239">
        <f>C202*I202*J202</f>
        <v>4.833333333333333</v>
      </c>
      <c r="L202" s="241">
        <f>K202/2204</f>
        <v>2.1929824561403508E-3</v>
      </c>
    </row>
    <row r="203" spans="1:12" ht="92.25" x14ac:dyDescent="1.3">
      <c r="A203" s="236"/>
      <c r="B203" s="239" t="s">
        <v>486</v>
      </c>
      <c r="C203" s="239">
        <v>13</v>
      </c>
      <c r="D203" s="239">
        <v>3</v>
      </c>
      <c r="E203" s="239">
        <f>D203/8</f>
        <v>0.375</v>
      </c>
      <c r="F203" s="242"/>
      <c r="G203" s="239">
        <v>5.8330000000000002</v>
      </c>
      <c r="H203" s="239">
        <f>(12*E203*2)/12</f>
        <v>0.75</v>
      </c>
      <c r="I203" s="239">
        <f>G203+H203</f>
        <v>6.5830000000000002</v>
      </c>
      <c r="J203" s="239">
        <f>(D203*2)/24</f>
        <v>0.25</v>
      </c>
      <c r="K203" s="239">
        <f>C203*I203*J203</f>
        <v>21.394750000000002</v>
      </c>
      <c r="L203" s="241">
        <f>K203/2204</f>
        <v>9.7072368421052633E-3</v>
      </c>
    </row>
    <row r="204" spans="1:12" x14ac:dyDescent="0.2">
      <c r="A204" s="236"/>
      <c r="B204" s="243" t="s">
        <v>126</v>
      </c>
      <c r="C204" s="239"/>
      <c r="D204" s="239"/>
      <c r="E204" s="239"/>
      <c r="F204" s="239"/>
      <c r="G204" s="239"/>
      <c r="H204" s="239"/>
      <c r="I204" s="239"/>
      <c r="J204" s="239"/>
      <c r="K204" s="244">
        <f>SUM(K201:K203)</f>
        <v>31.061416666666666</v>
      </c>
      <c r="L204" s="245">
        <f>SUM(L201:L203)</f>
        <v>1.4093201754385965E-2</v>
      </c>
    </row>
    <row r="205" spans="1:12" x14ac:dyDescent="0.2">
      <c r="A205" s="236"/>
      <c r="B205" s="237"/>
      <c r="C205" s="237"/>
      <c r="D205" s="237"/>
      <c r="E205" s="237"/>
      <c r="F205" s="237"/>
      <c r="G205" s="237"/>
      <c r="H205" s="237"/>
      <c r="I205" s="237"/>
      <c r="J205" s="237"/>
      <c r="K205" s="237"/>
      <c r="L205" s="238"/>
    </row>
    <row r="206" spans="1:12" x14ac:dyDescent="0.2">
      <c r="A206" s="236" t="s">
        <v>519</v>
      </c>
      <c r="B206" s="237" t="s">
        <v>518</v>
      </c>
      <c r="C206" s="237"/>
      <c r="D206" s="237"/>
      <c r="E206" s="237"/>
      <c r="F206" s="237"/>
      <c r="G206" s="237"/>
      <c r="H206" s="237"/>
      <c r="I206" s="237"/>
      <c r="J206" s="237"/>
      <c r="K206" s="237"/>
      <c r="L206" s="238"/>
    </row>
    <row r="207" spans="1:12" ht="46.5" x14ac:dyDescent="0.65">
      <c r="A207" s="236"/>
      <c r="B207" s="239" t="s">
        <v>482</v>
      </c>
      <c r="C207" s="239">
        <v>2</v>
      </c>
      <c r="D207" s="239">
        <v>4</v>
      </c>
      <c r="E207" s="239">
        <v>0.5</v>
      </c>
      <c r="F207" s="240"/>
      <c r="G207" s="239">
        <f>2*14.75</f>
        <v>29.5</v>
      </c>
      <c r="H207" s="239">
        <f>(12*E207*2)/12</f>
        <v>1</v>
      </c>
      <c r="I207" s="239">
        <f>G207+H207</f>
        <v>30.5</v>
      </c>
      <c r="J207" s="239">
        <f>(D207*2)/24</f>
        <v>0.33333333333333331</v>
      </c>
      <c r="K207" s="239">
        <f>C207*I207*J207</f>
        <v>20.333333333333332</v>
      </c>
      <c r="L207" s="241">
        <f>K207/2204</f>
        <v>9.2256503327283728E-3</v>
      </c>
    </row>
    <row r="208" spans="1:12" ht="46.5" x14ac:dyDescent="0.65">
      <c r="A208" s="236"/>
      <c r="B208" s="239" t="s">
        <v>484</v>
      </c>
      <c r="C208" s="239">
        <v>2</v>
      </c>
      <c r="D208" s="239">
        <v>4</v>
      </c>
      <c r="E208" s="239">
        <v>0.5</v>
      </c>
      <c r="F208" s="240"/>
      <c r="G208" s="239">
        <f>2*14.75</f>
        <v>29.5</v>
      </c>
      <c r="H208" s="239">
        <f>(12*E208*2)/12</f>
        <v>1</v>
      </c>
      <c r="I208" s="239">
        <f>G208+H208</f>
        <v>30.5</v>
      </c>
      <c r="J208" s="239">
        <f>(D208*2)/24</f>
        <v>0.33333333333333331</v>
      </c>
      <c r="K208" s="239">
        <f>C208*I208*J208</f>
        <v>20.333333333333332</v>
      </c>
      <c r="L208" s="241">
        <f>K208/2204</f>
        <v>9.2256503327283728E-3</v>
      </c>
    </row>
    <row r="209" spans="1:12" ht="92.25" x14ac:dyDescent="1.3">
      <c r="A209" s="236"/>
      <c r="B209" s="239" t="s">
        <v>486</v>
      </c>
      <c r="C209" s="239">
        <v>54</v>
      </c>
      <c r="D209" s="239">
        <v>3</v>
      </c>
      <c r="E209" s="239">
        <f>D209/8</f>
        <v>0.375</v>
      </c>
      <c r="F209" s="242"/>
      <c r="G209" s="239">
        <v>5.8330000000000002</v>
      </c>
      <c r="H209" s="239">
        <f>(12*E209*2)/12</f>
        <v>0.75</v>
      </c>
      <c r="I209" s="239">
        <f>G209+H209</f>
        <v>6.5830000000000002</v>
      </c>
      <c r="J209" s="239">
        <f>(D209*2)/24</f>
        <v>0.25</v>
      </c>
      <c r="K209" s="239">
        <f>C209*I209*J209</f>
        <v>88.870500000000007</v>
      </c>
      <c r="L209" s="241">
        <f>K209/2204</f>
        <v>4.0322368421052635E-2</v>
      </c>
    </row>
    <row r="210" spans="1:12" x14ac:dyDescent="0.2">
      <c r="A210" s="236"/>
      <c r="B210" s="243" t="s">
        <v>126</v>
      </c>
      <c r="C210" s="239"/>
      <c r="D210" s="239"/>
      <c r="E210" s="239"/>
      <c r="F210" s="239"/>
      <c r="G210" s="239"/>
      <c r="H210" s="239"/>
      <c r="I210" s="239"/>
      <c r="J210" s="239"/>
      <c r="K210" s="244">
        <f>SUM(K207:K209)</f>
        <v>129.53716666666668</v>
      </c>
      <c r="L210" s="245">
        <f>SUM(L207:L209)</f>
        <v>5.8773669086509384E-2</v>
      </c>
    </row>
    <row r="211" spans="1:12" x14ac:dyDescent="0.2">
      <c r="A211" s="236"/>
      <c r="B211" s="237"/>
      <c r="C211" s="237"/>
      <c r="D211" s="237"/>
      <c r="E211" s="237"/>
      <c r="F211" s="237"/>
      <c r="G211" s="237"/>
      <c r="H211" s="237"/>
      <c r="I211" s="237"/>
      <c r="J211" s="237"/>
      <c r="K211" s="237"/>
      <c r="L211" s="238"/>
    </row>
    <row r="212" spans="1:12" x14ac:dyDescent="0.2">
      <c r="A212" s="236" t="s">
        <v>517</v>
      </c>
      <c r="B212" s="237" t="s">
        <v>516</v>
      </c>
      <c r="C212" s="237"/>
      <c r="D212" s="237"/>
      <c r="E212" s="237"/>
      <c r="F212" s="237"/>
      <c r="G212" s="237"/>
      <c r="H212" s="237"/>
      <c r="I212" s="237"/>
      <c r="J212" s="237"/>
      <c r="K212" s="237"/>
      <c r="L212" s="238"/>
    </row>
    <row r="213" spans="1:12" ht="46.5" x14ac:dyDescent="0.65">
      <c r="A213" s="236"/>
      <c r="B213" s="239" t="s">
        <v>482</v>
      </c>
      <c r="C213" s="239">
        <v>2</v>
      </c>
      <c r="D213" s="239">
        <v>4</v>
      </c>
      <c r="E213" s="239">
        <v>0.5</v>
      </c>
      <c r="F213" s="240"/>
      <c r="G213" s="239">
        <v>9.25</v>
      </c>
      <c r="H213" s="239">
        <f>(12*E213*2)/12</f>
        <v>1</v>
      </c>
      <c r="I213" s="239">
        <f>G213+H213</f>
        <v>10.25</v>
      </c>
      <c r="J213" s="239">
        <f>(D213*2)/24</f>
        <v>0.33333333333333331</v>
      </c>
      <c r="K213" s="239">
        <f>C213*I213*J213</f>
        <v>6.833333333333333</v>
      </c>
      <c r="L213" s="241">
        <f>K213/2204</f>
        <v>3.100423472474289E-3</v>
      </c>
    </row>
    <row r="214" spans="1:12" ht="46.5" x14ac:dyDescent="0.65">
      <c r="A214" s="236"/>
      <c r="B214" s="239" t="s">
        <v>484</v>
      </c>
      <c r="C214" s="239">
        <v>2</v>
      </c>
      <c r="D214" s="239">
        <v>4</v>
      </c>
      <c r="E214" s="239">
        <v>0.5</v>
      </c>
      <c r="F214" s="240"/>
      <c r="G214" s="239">
        <v>9.25</v>
      </c>
      <c r="H214" s="239">
        <f>(12*E214*2)/12</f>
        <v>1</v>
      </c>
      <c r="I214" s="239">
        <f>G214+H214</f>
        <v>10.25</v>
      </c>
      <c r="J214" s="239">
        <f>(D214*2)/24</f>
        <v>0.33333333333333331</v>
      </c>
      <c r="K214" s="239">
        <f>C214*I214*J214</f>
        <v>6.833333333333333</v>
      </c>
      <c r="L214" s="241">
        <f>K214/2204</f>
        <v>3.100423472474289E-3</v>
      </c>
    </row>
    <row r="215" spans="1:12" ht="92.25" x14ac:dyDescent="1.3">
      <c r="A215" s="236"/>
      <c r="B215" s="239" t="s">
        <v>486</v>
      </c>
      <c r="C215" s="239">
        <v>16</v>
      </c>
      <c r="D215" s="239">
        <v>3</v>
      </c>
      <c r="E215" s="239">
        <f>D215/8</f>
        <v>0.375</v>
      </c>
      <c r="F215" s="242"/>
      <c r="G215" s="239">
        <v>5.8330000000000002</v>
      </c>
      <c r="H215" s="239">
        <f>(12*E215*2)/12</f>
        <v>0.75</v>
      </c>
      <c r="I215" s="239">
        <f>G215+H215</f>
        <v>6.5830000000000002</v>
      </c>
      <c r="J215" s="239">
        <f>(D215*2)/24</f>
        <v>0.25</v>
      </c>
      <c r="K215" s="239">
        <f>C215*I215*J215</f>
        <v>26.332000000000001</v>
      </c>
      <c r="L215" s="241">
        <f>K215/2204</f>
        <v>1.1947368421052632E-2</v>
      </c>
    </row>
    <row r="216" spans="1:12" x14ac:dyDescent="0.2">
      <c r="A216" s="236"/>
      <c r="B216" s="243" t="s">
        <v>126</v>
      </c>
      <c r="C216" s="239"/>
      <c r="D216" s="239"/>
      <c r="E216" s="239"/>
      <c r="F216" s="239"/>
      <c r="G216" s="239"/>
      <c r="H216" s="239"/>
      <c r="I216" s="239"/>
      <c r="J216" s="239"/>
      <c r="K216" s="244">
        <f>SUM(K213:K215)</f>
        <v>39.998666666666665</v>
      </c>
      <c r="L216" s="245">
        <f>SUM(L213:L215)</f>
        <v>1.8148215366001211E-2</v>
      </c>
    </row>
    <row r="217" spans="1:12" x14ac:dyDescent="0.2">
      <c r="A217" s="236"/>
      <c r="B217" s="237"/>
      <c r="C217" s="237"/>
      <c r="D217" s="237"/>
      <c r="E217" s="237"/>
      <c r="F217" s="237"/>
      <c r="G217" s="237"/>
      <c r="H217" s="237"/>
      <c r="I217" s="237"/>
      <c r="J217" s="237"/>
      <c r="K217" s="237"/>
      <c r="L217" s="238"/>
    </row>
    <row r="218" spans="1:12" x14ac:dyDescent="0.2">
      <c r="A218" s="236" t="s">
        <v>515</v>
      </c>
      <c r="B218" s="237" t="s">
        <v>514</v>
      </c>
      <c r="C218" s="237"/>
      <c r="D218" s="237"/>
      <c r="E218" s="237"/>
      <c r="F218" s="237"/>
      <c r="G218" s="237"/>
      <c r="H218" s="237"/>
      <c r="I218" s="237"/>
      <c r="J218" s="237"/>
      <c r="K218" s="237"/>
      <c r="L218" s="238"/>
    </row>
    <row r="219" spans="1:12" ht="46.5" x14ac:dyDescent="0.65">
      <c r="A219" s="236"/>
      <c r="B219" s="239" t="s">
        <v>513</v>
      </c>
      <c r="C219" s="239"/>
      <c r="D219" s="239"/>
      <c r="E219" s="239"/>
      <c r="F219" s="240"/>
      <c r="G219" s="239"/>
      <c r="H219" s="239"/>
      <c r="I219" s="239"/>
      <c r="J219" s="239"/>
      <c r="K219" s="239"/>
      <c r="L219" s="241"/>
    </row>
    <row r="220" spans="1:12" ht="46.5" x14ac:dyDescent="0.65">
      <c r="A220" s="236"/>
      <c r="B220" s="239" t="s">
        <v>482</v>
      </c>
      <c r="C220" s="239">
        <v>2</v>
      </c>
      <c r="D220" s="239">
        <v>5</v>
      </c>
      <c r="E220" s="239">
        <v>0.5</v>
      </c>
      <c r="F220" s="240"/>
      <c r="G220" s="239">
        <v>17.667000000000002</v>
      </c>
      <c r="H220" s="239">
        <f>(12*E220*2)/12</f>
        <v>1</v>
      </c>
      <c r="I220" s="239">
        <f>G220+H220</f>
        <v>18.667000000000002</v>
      </c>
      <c r="J220" s="239">
        <f>(D220*2)/24</f>
        <v>0.41666666666666669</v>
      </c>
      <c r="K220" s="239">
        <f>C220*I220*J220</f>
        <v>15.555833333333336</v>
      </c>
      <c r="L220" s="241">
        <f>K220/2204</f>
        <v>7.0580006049606788E-3</v>
      </c>
    </row>
    <row r="221" spans="1:12" ht="23.25" x14ac:dyDescent="0.2">
      <c r="A221" s="236"/>
      <c r="B221" s="239" t="s">
        <v>483</v>
      </c>
      <c r="C221" s="239">
        <v>2</v>
      </c>
      <c r="D221" s="239">
        <v>4</v>
      </c>
      <c r="E221" s="239">
        <v>0.5</v>
      </c>
      <c r="F221" s="246"/>
      <c r="G221" s="239">
        <v>11.77</v>
      </c>
      <c r="H221" s="239"/>
      <c r="I221" s="239">
        <f>G221+H221</f>
        <v>11.77</v>
      </c>
      <c r="J221" s="239">
        <f>(D221*2)/24</f>
        <v>0.33333333333333331</v>
      </c>
      <c r="K221" s="239">
        <f>C221*I221*J221</f>
        <v>7.8466666666666658</v>
      </c>
      <c r="L221" s="241">
        <f>K221/2204</f>
        <v>3.5601935874168176E-3</v>
      </c>
    </row>
    <row r="222" spans="1:12" ht="46.5" x14ac:dyDescent="0.65">
      <c r="A222" s="236"/>
      <c r="B222" s="239" t="s">
        <v>484</v>
      </c>
      <c r="C222" s="239">
        <v>2</v>
      </c>
      <c r="D222" s="239">
        <v>5</v>
      </c>
      <c r="E222" s="239">
        <v>0.5</v>
      </c>
      <c r="F222" s="240"/>
      <c r="G222" s="239">
        <v>17.667000000000002</v>
      </c>
      <c r="H222" s="239">
        <f>(12*E222*2)/12</f>
        <v>1</v>
      </c>
      <c r="I222" s="239">
        <f>G222+H222</f>
        <v>18.667000000000002</v>
      </c>
      <c r="J222" s="239">
        <f>(D222*2)/24</f>
        <v>0.41666666666666669</v>
      </c>
      <c r="K222" s="239">
        <f>C222*I222*J222</f>
        <v>15.555833333333336</v>
      </c>
      <c r="L222" s="241">
        <f>K222/2204</f>
        <v>7.0580006049606788E-3</v>
      </c>
    </row>
    <row r="223" spans="1:12" ht="46.5" x14ac:dyDescent="0.2">
      <c r="A223" s="236"/>
      <c r="B223" s="239" t="s">
        <v>511</v>
      </c>
      <c r="C223" s="239">
        <v>2</v>
      </c>
      <c r="D223" s="239">
        <v>4</v>
      </c>
      <c r="E223" s="239">
        <v>0.5</v>
      </c>
      <c r="F223" s="247"/>
      <c r="G223" s="239">
        <v>8.8330000000000002</v>
      </c>
      <c r="H223" s="239">
        <f>(12*E222*2)/12</f>
        <v>1</v>
      </c>
      <c r="I223" s="239">
        <f>G223+H223</f>
        <v>9.8330000000000002</v>
      </c>
      <c r="J223" s="239">
        <f>(D223*2)/24</f>
        <v>0.33333333333333331</v>
      </c>
      <c r="K223" s="239">
        <f>C223*I223*J223</f>
        <v>6.5553333333333335</v>
      </c>
      <c r="L223" s="241">
        <f>K223/2204</f>
        <v>2.974289171203872E-3</v>
      </c>
    </row>
    <row r="224" spans="1:12" ht="92.25" x14ac:dyDescent="1.3">
      <c r="A224" s="236"/>
      <c r="B224" s="239" t="s">
        <v>486</v>
      </c>
      <c r="C224" s="239">
        <v>31</v>
      </c>
      <c r="D224" s="239">
        <v>3</v>
      </c>
      <c r="E224" s="239">
        <f>D224/8</f>
        <v>0.375</v>
      </c>
      <c r="F224" s="242"/>
      <c r="G224" s="239">
        <v>5.8330000000000002</v>
      </c>
      <c r="H224" s="239">
        <f>(12*E224*2)/12</f>
        <v>0.75</v>
      </c>
      <c r="I224" s="239">
        <f>G224+H224</f>
        <v>6.5830000000000002</v>
      </c>
      <c r="J224" s="239">
        <f>(D224*2)/24</f>
        <v>0.25</v>
      </c>
      <c r="K224" s="239">
        <f>C224*I224*J224</f>
        <v>51.018250000000002</v>
      </c>
      <c r="L224" s="241">
        <f>K224/2204</f>
        <v>2.3148026315789473E-2</v>
      </c>
    </row>
    <row r="225" spans="1:12" x14ac:dyDescent="0.2">
      <c r="A225" s="236"/>
      <c r="B225" s="243" t="s">
        <v>126</v>
      </c>
      <c r="C225" s="239"/>
      <c r="D225" s="239"/>
      <c r="E225" s="239"/>
      <c r="F225" s="239"/>
      <c r="G225" s="239"/>
      <c r="H225" s="239"/>
      <c r="I225" s="239"/>
      <c r="J225" s="239"/>
      <c r="K225" s="244">
        <f>SUM(K220:K224)</f>
        <v>96.531916666666689</v>
      </c>
      <c r="L225" s="245">
        <f>SUM(L220:L224)</f>
        <v>4.3798510284331515E-2</v>
      </c>
    </row>
    <row r="226" spans="1:12" x14ac:dyDescent="0.2">
      <c r="A226" s="236"/>
      <c r="B226" s="237"/>
      <c r="C226" s="237"/>
      <c r="D226" s="237"/>
      <c r="E226" s="237"/>
      <c r="F226" s="237"/>
      <c r="G226" s="237"/>
      <c r="H226" s="237"/>
      <c r="I226" s="237"/>
      <c r="J226" s="237"/>
      <c r="K226" s="237"/>
      <c r="L226" s="238"/>
    </row>
    <row r="227" spans="1:12" ht="46.5" x14ac:dyDescent="0.65">
      <c r="A227" s="236"/>
      <c r="B227" s="239" t="s">
        <v>512</v>
      </c>
      <c r="C227" s="239"/>
      <c r="D227" s="239"/>
      <c r="E227" s="239"/>
      <c r="F227" s="240"/>
      <c r="G227" s="239"/>
      <c r="H227" s="239"/>
      <c r="I227" s="239"/>
      <c r="J227" s="239"/>
      <c r="K227" s="239"/>
      <c r="L227" s="241"/>
    </row>
    <row r="228" spans="1:12" ht="46.5" x14ac:dyDescent="0.65">
      <c r="A228" s="236"/>
      <c r="B228" s="239" t="s">
        <v>482</v>
      </c>
      <c r="C228" s="239">
        <v>2</v>
      </c>
      <c r="D228" s="239">
        <v>5</v>
      </c>
      <c r="E228" s="239">
        <v>0.5</v>
      </c>
      <c r="F228" s="240"/>
      <c r="G228" s="239">
        <v>15.083299999999999</v>
      </c>
      <c r="H228" s="239">
        <f>(12*E228*2)/12</f>
        <v>1</v>
      </c>
      <c r="I228" s="239">
        <f>G228+H228</f>
        <v>16.083300000000001</v>
      </c>
      <c r="J228" s="239">
        <f>(D228*2)/24</f>
        <v>0.41666666666666669</v>
      </c>
      <c r="K228" s="239">
        <f>C228*I228*J228</f>
        <v>13.402750000000001</v>
      </c>
      <c r="L228" s="241">
        <f>K228/2204</f>
        <v>6.0811025408348462E-3</v>
      </c>
    </row>
    <row r="229" spans="1:12" ht="23.25" x14ac:dyDescent="0.2">
      <c r="A229" s="236"/>
      <c r="B229" s="239" t="s">
        <v>483</v>
      </c>
      <c r="C229" s="239">
        <v>2</v>
      </c>
      <c r="D229" s="239">
        <v>4</v>
      </c>
      <c r="E229" s="239">
        <v>0.5</v>
      </c>
      <c r="F229" s="246"/>
      <c r="G229" s="239">
        <v>10</v>
      </c>
      <c r="H229" s="239"/>
      <c r="I229" s="239">
        <f>G229+H229</f>
        <v>10</v>
      </c>
      <c r="J229" s="239">
        <f>(D229*2)/24</f>
        <v>0.33333333333333331</v>
      </c>
      <c r="K229" s="239">
        <f>C229*I229*J229</f>
        <v>6.6666666666666661</v>
      </c>
      <c r="L229" s="241">
        <f>K229/2204</f>
        <v>3.0248033877797939E-3</v>
      </c>
    </row>
    <row r="230" spans="1:12" ht="46.5" x14ac:dyDescent="0.65">
      <c r="A230" s="236"/>
      <c r="B230" s="239" t="s">
        <v>484</v>
      </c>
      <c r="C230" s="239">
        <v>2</v>
      </c>
      <c r="D230" s="239">
        <v>5</v>
      </c>
      <c r="E230" s="239">
        <v>0.5</v>
      </c>
      <c r="F230" s="240"/>
      <c r="G230" s="239">
        <v>15.083299999999999</v>
      </c>
      <c r="H230" s="239">
        <f>(12*E230*2)/12</f>
        <v>1</v>
      </c>
      <c r="I230" s="239">
        <f>G230+H230</f>
        <v>16.083300000000001</v>
      </c>
      <c r="J230" s="239">
        <f>(D230*2)/24</f>
        <v>0.41666666666666669</v>
      </c>
      <c r="K230" s="239">
        <f>C230*I230*J230</f>
        <v>13.402750000000001</v>
      </c>
      <c r="L230" s="241">
        <f>K230/2204</f>
        <v>6.0811025408348462E-3</v>
      </c>
    </row>
    <row r="231" spans="1:12" ht="46.5" x14ac:dyDescent="0.2">
      <c r="A231" s="236"/>
      <c r="B231" s="239" t="s">
        <v>511</v>
      </c>
      <c r="C231" s="239">
        <v>2</v>
      </c>
      <c r="D231" s="239">
        <v>4</v>
      </c>
      <c r="E231" s="239">
        <v>0.5</v>
      </c>
      <c r="F231" s="247"/>
      <c r="G231" s="239">
        <v>7.5</v>
      </c>
      <c r="H231" s="239">
        <f>(12*E230*2)/12</f>
        <v>1</v>
      </c>
      <c r="I231" s="239">
        <f>G231+H231</f>
        <v>8.5</v>
      </c>
      <c r="J231" s="239">
        <f>(D231*2)/24</f>
        <v>0.33333333333333331</v>
      </c>
      <c r="K231" s="239">
        <f>C231*I231*J231</f>
        <v>5.6666666666666661</v>
      </c>
      <c r="L231" s="241">
        <f>K231/2204</f>
        <v>2.571082879612825E-3</v>
      </c>
    </row>
    <row r="232" spans="1:12" ht="92.25" x14ac:dyDescent="1.3">
      <c r="A232" s="236"/>
      <c r="B232" s="239" t="s">
        <v>486</v>
      </c>
      <c r="C232" s="239">
        <v>28</v>
      </c>
      <c r="D232" s="239">
        <v>3</v>
      </c>
      <c r="E232" s="239">
        <f>D232/8</f>
        <v>0.375</v>
      </c>
      <c r="F232" s="242"/>
      <c r="G232" s="239">
        <v>5.8330000000000002</v>
      </c>
      <c r="H232" s="239">
        <f>(12*E232*2)/12</f>
        <v>0.75</v>
      </c>
      <c r="I232" s="239">
        <f>G232+H232</f>
        <v>6.5830000000000002</v>
      </c>
      <c r="J232" s="239">
        <f>(D232*2)/24</f>
        <v>0.25</v>
      </c>
      <c r="K232" s="239">
        <f>C232*I232*J232</f>
        <v>46.081000000000003</v>
      </c>
      <c r="L232" s="241">
        <f>K232/2204</f>
        <v>2.0907894736842108E-2</v>
      </c>
    </row>
    <row r="233" spans="1:12" x14ac:dyDescent="0.2">
      <c r="A233" s="236"/>
      <c r="B233" s="243" t="s">
        <v>126</v>
      </c>
      <c r="C233" s="239"/>
      <c r="D233" s="239"/>
      <c r="E233" s="239"/>
      <c r="F233" s="239"/>
      <c r="G233" s="239"/>
      <c r="H233" s="239"/>
      <c r="I233" s="239"/>
      <c r="J233" s="239"/>
      <c r="K233" s="244">
        <f>SUM(K228:K232)</f>
        <v>85.219833333333327</v>
      </c>
      <c r="L233" s="245">
        <f>SUM(L228:L232)</f>
        <v>3.8665986085904422E-2</v>
      </c>
    </row>
    <row r="234" spans="1:12" x14ac:dyDescent="0.2">
      <c r="A234" s="236"/>
      <c r="B234" s="237"/>
      <c r="C234" s="237"/>
      <c r="D234" s="237"/>
      <c r="E234" s="237"/>
      <c r="F234" s="237"/>
      <c r="G234" s="237"/>
      <c r="H234" s="237"/>
      <c r="I234" s="237"/>
      <c r="J234" s="237"/>
      <c r="K234" s="237"/>
      <c r="L234" s="238"/>
    </row>
    <row r="235" spans="1:12" x14ac:dyDescent="0.2">
      <c r="A235" s="236" t="s">
        <v>510</v>
      </c>
      <c r="B235" s="237" t="s">
        <v>509</v>
      </c>
      <c r="C235" s="237"/>
      <c r="D235" s="237"/>
      <c r="E235" s="237"/>
      <c r="F235" s="237"/>
      <c r="G235" s="237"/>
      <c r="H235" s="237"/>
      <c r="I235" s="237"/>
      <c r="J235" s="237"/>
      <c r="K235" s="237"/>
      <c r="L235" s="238"/>
    </row>
    <row r="236" spans="1:12" ht="46.5" x14ac:dyDescent="0.65">
      <c r="A236" s="236"/>
      <c r="B236" s="239" t="s">
        <v>482</v>
      </c>
      <c r="C236" s="239">
        <v>2</v>
      </c>
      <c r="D236" s="239">
        <v>4</v>
      </c>
      <c r="E236" s="239">
        <v>0.5</v>
      </c>
      <c r="F236" s="240"/>
      <c r="G236" s="239">
        <v>9.25</v>
      </c>
      <c r="H236" s="239">
        <f>(12*E236*2)/12</f>
        <v>1</v>
      </c>
      <c r="I236" s="239">
        <f>G236+H236</f>
        <v>10.25</v>
      </c>
      <c r="J236" s="239">
        <f>(D236*2)/24</f>
        <v>0.33333333333333331</v>
      </c>
      <c r="K236" s="239">
        <f>C236*I236*J236</f>
        <v>6.833333333333333</v>
      </c>
      <c r="L236" s="241">
        <f>K236/2204</f>
        <v>3.100423472474289E-3</v>
      </c>
    </row>
    <row r="237" spans="1:12" ht="46.5" x14ac:dyDescent="0.65">
      <c r="A237" s="236"/>
      <c r="B237" s="239" t="s">
        <v>484</v>
      </c>
      <c r="C237" s="239">
        <v>2</v>
      </c>
      <c r="D237" s="239">
        <v>4</v>
      </c>
      <c r="E237" s="239">
        <v>0.5</v>
      </c>
      <c r="F237" s="240"/>
      <c r="G237" s="239">
        <v>9.25</v>
      </c>
      <c r="H237" s="239">
        <f>(12*E237*2)/12</f>
        <v>1</v>
      </c>
      <c r="I237" s="239">
        <f>G237+H237</f>
        <v>10.25</v>
      </c>
      <c r="J237" s="239">
        <f>(D237*2)/24</f>
        <v>0.33333333333333331</v>
      </c>
      <c r="K237" s="239">
        <f>C237*I237*J237</f>
        <v>6.833333333333333</v>
      </c>
      <c r="L237" s="241">
        <f>K237/2204</f>
        <v>3.100423472474289E-3</v>
      </c>
    </row>
    <row r="238" spans="1:12" ht="92.25" x14ac:dyDescent="1.3">
      <c r="A238" s="236"/>
      <c r="B238" s="239" t="s">
        <v>486</v>
      </c>
      <c r="C238" s="239">
        <v>16</v>
      </c>
      <c r="D238" s="239">
        <v>3</v>
      </c>
      <c r="E238" s="239">
        <f>D238/8</f>
        <v>0.375</v>
      </c>
      <c r="F238" s="242"/>
      <c r="G238" s="239">
        <v>5.1666999999999996</v>
      </c>
      <c r="H238" s="239">
        <f>(12*E238*2)/12</f>
        <v>0.75</v>
      </c>
      <c r="I238" s="239">
        <f>G238+H238</f>
        <v>5.9166999999999996</v>
      </c>
      <c r="J238" s="239">
        <f>(D238*2)/24</f>
        <v>0.25</v>
      </c>
      <c r="K238" s="239">
        <f>C238*I238*J238</f>
        <v>23.666799999999999</v>
      </c>
      <c r="L238" s="241">
        <f>K238/2204</f>
        <v>1.0738112522686024E-2</v>
      </c>
    </row>
    <row r="239" spans="1:12" x14ac:dyDescent="0.2">
      <c r="A239" s="236"/>
      <c r="B239" s="243" t="s">
        <v>126</v>
      </c>
      <c r="C239" s="239"/>
      <c r="D239" s="239"/>
      <c r="E239" s="239"/>
      <c r="F239" s="239"/>
      <c r="G239" s="239"/>
      <c r="H239" s="239"/>
      <c r="I239" s="239"/>
      <c r="J239" s="239"/>
      <c r="K239" s="244">
        <f>SUM(K236:K238)</f>
        <v>37.333466666666666</v>
      </c>
      <c r="L239" s="245">
        <f>SUM(L236:L238)</f>
        <v>1.6938959467634601E-2</v>
      </c>
    </row>
    <row r="240" spans="1:12" x14ac:dyDescent="0.2">
      <c r="A240" s="236"/>
      <c r="B240" s="237"/>
      <c r="C240" s="237"/>
      <c r="D240" s="237"/>
      <c r="E240" s="237"/>
      <c r="F240" s="237"/>
      <c r="G240" s="237"/>
      <c r="H240" s="237"/>
      <c r="I240" s="237"/>
      <c r="J240" s="237"/>
      <c r="K240" s="237"/>
      <c r="L240" s="238"/>
    </row>
    <row r="241" spans="1:12" x14ac:dyDescent="0.2">
      <c r="A241" s="236" t="s">
        <v>508</v>
      </c>
      <c r="B241" s="237" t="s">
        <v>507</v>
      </c>
      <c r="C241" s="237"/>
      <c r="D241" s="237"/>
      <c r="E241" s="237"/>
      <c r="F241" s="237"/>
      <c r="G241" s="237"/>
      <c r="H241" s="237"/>
      <c r="I241" s="237"/>
      <c r="J241" s="237"/>
      <c r="K241" s="237"/>
      <c r="L241" s="238"/>
    </row>
    <row r="242" spans="1:12" ht="46.5" x14ac:dyDescent="0.65">
      <c r="A242" s="236"/>
      <c r="B242" s="239" t="s">
        <v>482</v>
      </c>
      <c r="C242" s="239">
        <v>2</v>
      </c>
      <c r="D242" s="239">
        <v>4</v>
      </c>
      <c r="E242" s="239">
        <v>0.5</v>
      </c>
      <c r="F242" s="240"/>
      <c r="G242" s="239">
        <v>7</v>
      </c>
      <c r="H242" s="239">
        <f>(12*E242*2)/12</f>
        <v>1</v>
      </c>
      <c r="I242" s="239">
        <f>G242+H242</f>
        <v>8</v>
      </c>
      <c r="J242" s="239">
        <f>(D242*2)/24</f>
        <v>0.33333333333333331</v>
      </c>
      <c r="K242" s="239">
        <f>C242*I242*J242</f>
        <v>5.333333333333333</v>
      </c>
      <c r="L242" s="241">
        <f>K242/2204</f>
        <v>2.4198427102238352E-3</v>
      </c>
    </row>
    <row r="243" spans="1:12" ht="46.5" x14ac:dyDescent="0.65">
      <c r="A243" s="236"/>
      <c r="B243" s="239" t="s">
        <v>484</v>
      </c>
      <c r="C243" s="239">
        <v>2</v>
      </c>
      <c r="D243" s="239">
        <v>4</v>
      </c>
      <c r="E243" s="239">
        <v>0.5</v>
      </c>
      <c r="F243" s="240"/>
      <c r="G243" s="239">
        <v>7</v>
      </c>
      <c r="H243" s="239">
        <f>(12*E243*2)/12</f>
        <v>1</v>
      </c>
      <c r="I243" s="239">
        <f>G243+H243</f>
        <v>8</v>
      </c>
      <c r="J243" s="239">
        <f>(D243*2)/24</f>
        <v>0.33333333333333331</v>
      </c>
      <c r="K243" s="239">
        <f>C243*I243*J243</f>
        <v>5.333333333333333</v>
      </c>
      <c r="L243" s="241">
        <f>K243/2204</f>
        <v>2.4198427102238352E-3</v>
      </c>
    </row>
    <row r="244" spans="1:12" ht="92.25" x14ac:dyDescent="1.3">
      <c r="A244" s="236"/>
      <c r="B244" s="239" t="s">
        <v>486</v>
      </c>
      <c r="C244" s="239">
        <v>16</v>
      </c>
      <c r="D244" s="239">
        <v>3</v>
      </c>
      <c r="E244" s="239">
        <f>D244/8</f>
        <v>0.375</v>
      </c>
      <c r="F244" s="242"/>
      <c r="G244" s="239">
        <v>5.5</v>
      </c>
      <c r="H244" s="239">
        <f>(12*E244*2)/12</f>
        <v>0.75</v>
      </c>
      <c r="I244" s="239">
        <f>G244+H244</f>
        <v>6.25</v>
      </c>
      <c r="J244" s="239">
        <f>(D244*2)/24</f>
        <v>0.25</v>
      </c>
      <c r="K244" s="239">
        <f>C244*I244*J244</f>
        <v>25</v>
      </c>
      <c r="L244" s="241">
        <f>K244/2204</f>
        <v>1.1343012704174229E-2</v>
      </c>
    </row>
    <row r="245" spans="1:12" x14ac:dyDescent="0.2">
      <c r="A245" s="236"/>
      <c r="B245" s="243" t="s">
        <v>126</v>
      </c>
      <c r="C245" s="239"/>
      <c r="D245" s="239"/>
      <c r="E245" s="239"/>
      <c r="F245" s="239"/>
      <c r="G245" s="239"/>
      <c r="H245" s="239"/>
      <c r="I245" s="239"/>
      <c r="J245" s="239"/>
      <c r="K245" s="244">
        <f>SUM(K242:K244)</f>
        <v>35.666666666666664</v>
      </c>
      <c r="L245" s="245">
        <f>SUM(L242:L244)</f>
        <v>1.6182698124621898E-2</v>
      </c>
    </row>
    <row r="246" spans="1:12" x14ac:dyDescent="0.2">
      <c r="A246" s="236"/>
      <c r="B246" s="237"/>
      <c r="C246" s="237"/>
      <c r="D246" s="237"/>
      <c r="E246" s="237"/>
      <c r="F246" s="237"/>
      <c r="G246" s="237"/>
      <c r="H246" s="237"/>
      <c r="I246" s="237"/>
      <c r="J246" s="237"/>
      <c r="K246" s="237"/>
      <c r="L246" s="238"/>
    </row>
    <row r="247" spans="1:12" x14ac:dyDescent="0.2">
      <c r="A247" s="236" t="s">
        <v>506</v>
      </c>
      <c r="B247" s="237" t="s">
        <v>505</v>
      </c>
      <c r="C247" s="237"/>
      <c r="D247" s="237"/>
      <c r="E247" s="237"/>
      <c r="F247" s="237"/>
      <c r="G247" s="237"/>
      <c r="H247" s="237"/>
      <c r="I247" s="237"/>
      <c r="J247" s="237"/>
      <c r="K247" s="237"/>
      <c r="L247" s="238"/>
    </row>
    <row r="248" spans="1:12" ht="46.5" x14ac:dyDescent="0.65">
      <c r="A248" s="236"/>
      <c r="B248" s="239" t="s">
        <v>482</v>
      </c>
      <c r="C248" s="239">
        <v>2</v>
      </c>
      <c r="D248" s="239">
        <v>4</v>
      </c>
      <c r="E248" s="239">
        <v>0.5</v>
      </c>
      <c r="F248" s="240"/>
      <c r="G248" s="239">
        <v>8.75</v>
      </c>
      <c r="H248" s="239">
        <f>(12*E248*2)/12</f>
        <v>1</v>
      </c>
      <c r="I248" s="239">
        <f>G248+H248</f>
        <v>9.75</v>
      </c>
      <c r="J248" s="239">
        <f>(D248*2)/24</f>
        <v>0.33333333333333331</v>
      </c>
      <c r="K248" s="239">
        <f>C248*I248*J248</f>
        <v>6.5</v>
      </c>
      <c r="L248" s="241">
        <f>K248/2204</f>
        <v>2.9491833030852997E-3</v>
      </c>
    </row>
    <row r="249" spans="1:12" ht="46.5" x14ac:dyDescent="0.65">
      <c r="A249" s="236"/>
      <c r="B249" s="239" t="s">
        <v>484</v>
      </c>
      <c r="C249" s="239">
        <v>2</v>
      </c>
      <c r="D249" s="239">
        <v>4</v>
      </c>
      <c r="E249" s="239">
        <v>0.5</v>
      </c>
      <c r="F249" s="240"/>
      <c r="G249" s="239">
        <v>8.75</v>
      </c>
      <c r="H249" s="239">
        <f>(12*E249*2)/12</f>
        <v>1</v>
      </c>
      <c r="I249" s="239">
        <f>G249+H249</f>
        <v>9.75</v>
      </c>
      <c r="J249" s="239">
        <f>(D249*2)/24</f>
        <v>0.33333333333333331</v>
      </c>
      <c r="K249" s="239">
        <f>C249*I249*J249</f>
        <v>6.5</v>
      </c>
      <c r="L249" s="241">
        <f>K249/2204</f>
        <v>2.9491833030852997E-3</v>
      </c>
    </row>
    <row r="250" spans="1:12" ht="92.25" x14ac:dyDescent="1.3">
      <c r="A250" s="236"/>
      <c r="B250" s="239" t="s">
        <v>486</v>
      </c>
      <c r="C250" s="239">
        <v>16</v>
      </c>
      <c r="D250" s="239">
        <v>3</v>
      </c>
      <c r="E250" s="239">
        <f>D250/8</f>
        <v>0.375</v>
      </c>
      <c r="F250" s="242"/>
      <c r="G250" s="239">
        <v>5.8330000000000002</v>
      </c>
      <c r="H250" s="239">
        <f>(12*E250*2)/12</f>
        <v>0.75</v>
      </c>
      <c r="I250" s="239">
        <f>G250+H250</f>
        <v>6.5830000000000002</v>
      </c>
      <c r="J250" s="239">
        <f>(D250*2)/24</f>
        <v>0.25</v>
      </c>
      <c r="K250" s="239">
        <f>C250*I250*J250</f>
        <v>26.332000000000001</v>
      </c>
      <c r="L250" s="241">
        <f>K250/2204</f>
        <v>1.1947368421052632E-2</v>
      </c>
    </row>
    <row r="251" spans="1:12" x14ac:dyDescent="0.2">
      <c r="A251" s="236"/>
      <c r="B251" s="243" t="s">
        <v>126</v>
      </c>
      <c r="C251" s="239"/>
      <c r="D251" s="239"/>
      <c r="E251" s="239"/>
      <c r="F251" s="239"/>
      <c r="G251" s="239"/>
      <c r="H251" s="239"/>
      <c r="I251" s="239"/>
      <c r="J251" s="239"/>
      <c r="K251" s="244">
        <f>SUM(K248:K250)</f>
        <v>39.332000000000001</v>
      </c>
      <c r="L251" s="245">
        <f>SUM(L248:L250)</f>
        <v>1.7845735027223232E-2</v>
      </c>
    </row>
    <row r="252" spans="1:12" x14ac:dyDescent="0.2">
      <c r="A252" s="236"/>
      <c r="B252" s="237"/>
      <c r="C252" s="237"/>
      <c r="D252" s="237"/>
      <c r="E252" s="237"/>
      <c r="F252" s="237"/>
      <c r="G252" s="237"/>
      <c r="H252" s="237"/>
      <c r="I252" s="237"/>
      <c r="J252" s="237"/>
      <c r="K252" s="237"/>
      <c r="L252" s="238"/>
    </row>
    <row r="253" spans="1:12" x14ac:dyDescent="0.2">
      <c r="A253" s="236" t="s">
        <v>504</v>
      </c>
      <c r="B253" s="237" t="s">
        <v>503</v>
      </c>
      <c r="C253" s="237"/>
      <c r="D253" s="237"/>
      <c r="E253" s="237"/>
      <c r="F253" s="237"/>
      <c r="G253" s="237"/>
      <c r="H253" s="237"/>
      <c r="I253" s="237"/>
      <c r="J253" s="237"/>
      <c r="K253" s="237"/>
      <c r="L253" s="238"/>
    </row>
    <row r="254" spans="1:12" ht="46.5" x14ac:dyDescent="0.65">
      <c r="A254" s="236"/>
      <c r="B254" s="239" t="s">
        <v>482</v>
      </c>
      <c r="C254" s="239">
        <v>4</v>
      </c>
      <c r="D254" s="239">
        <v>4</v>
      </c>
      <c r="E254" s="239">
        <v>0.5</v>
      </c>
      <c r="F254" s="240"/>
      <c r="G254" s="239">
        <v>5.25</v>
      </c>
      <c r="H254" s="239">
        <f>(12*E254*2)/12</f>
        <v>1</v>
      </c>
      <c r="I254" s="239">
        <f>G254+H254</f>
        <v>6.25</v>
      </c>
      <c r="J254" s="239">
        <f>(D254*2)/24</f>
        <v>0.33333333333333331</v>
      </c>
      <c r="K254" s="239">
        <f>C254*I254*J254</f>
        <v>8.3333333333333321</v>
      </c>
      <c r="L254" s="241">
        <f>K254/2204</f>
        <v>3.7810042347247424E-3</v>
      </c>
    </row>
    <row r="255" spans="1:12" ht="46.5" x14ac:dyDescent="0.65">
      <c r="A255" s="236"/>
      <c r="B255" s="239" t="s">
        <v>484</v>
      </c>
      <c r="C255" s="239">
        <v>4</v>
      </c>
      <c r="D255" s="239">
        <v>4</v>
      </c>
      <c r="E255" s="239">
        <v>0.5</v>
      </c>
      <c r="F255" s="240"/>
      <c r="G255" s="239">
        <v>5.25</v>
      </c>
      <c r="H255" s="239">
        <f>(12*E255*2)/12</f>
        <v>1</v>
      </c>
      <c r="I255" s="239">
        <f>G255+H255</f>
        <v>6.25</v>
      </c>
      <c r="J255" s="239">
        <f>(D255*2)/24</f>
        <v>0.33333333333333331</v>
      </c>
      <c r="K255" s="239">
        <f>C255*I255*J255</f>
        <v>8.3333333333333321</v>
      </c>
      <c r="L255" s="241">
        <f>K255/2204</f>
        <v>3.7810042347247424E-3</v>
      </c>
    </row>
    <row r="256" spans="1:12" ht="92.25" x14ac:dyDescent="1.3">
      <c r="A256" s="236"/>
      <c r="B256" s="239" t="s">
        <v>486</v>
      </c>
      <c r="C256" s="239">
        <v>7</v>
      </c>
      <c r="D256" s="239">
        <v>3</v>
      </c>
      <c r="E256" s="239">
        <f>D256/8</f>
        <v>0.375</v>
      </c>
      <c r="F256" s="242"/>
      <c r="G256" s="239">
        <v>3.8330000000000002</v>
      </c>
      <c r="H256" s="239">
        <f>(12*E256*2)/12</f>
        <v>0.75</v>
      </c>
      <c r="I256" s="239">
        <f>G256+H256</f>
        <v>4.5830000000000002</v>
      </c>
      <c r="J256" s="239">
        <f>(D256*2)/24</f>
        <v>0.25</v>
      </c>
      <c r="K256" s="239">
        <f>C256*I256*J256</f>
        <v>8.0202500000000008</v>
      </c>
      <c r="L256" s="241">
        <f>K256/2204</f>
        <v>3.6389519056261345E-3</v>
      </c>
    </row>
    <row r="257" spans="1:12" x14ac:dyDescent="0.2">
      <c r="A257" s="236"/>
      <c r="B257" s="243" t="s">
        <v>126</v>
      </c>
      <c r="C257" s="239"/>
      <c r="D257" s="239"/>
      <c r="E257" s="239"/>
      <c r="F257" s="239"/>
      <c r="G257" s="239"/>
      <c r="H257" s="239"/>
      <c r="I257" s="239"/>
      <c r="J257" s="239"/>
      <c r="K257" s="244">
        <f>SUM(K254:K256)</f>
        <v>24.686916666666665</v>
      </c>
      <c r="L257" s="245">
        <f>SUM(L254:L256)</f>
        <v>1.1200960375075619E-2</v>
      </c>
    </row>
    <row r="258" spans="1:12" x14ac:dyDescent="0.2">
      <c r="A258" s="236"/>
      <c r="B258" s="237"/>
      <c r="C258" s="237"/>
      <c r="D258" s="237"/>
      <c r="E258" s="237"/>
      <c r="F258" s="237"/>
      <c r="G258" s="237"/>
      <c r="H258" s="237"/>
      <c r="I258" s="237"/>
      <c r="J258" s="237"/>
      <c r="K258" s="237"/>
      <c r="L258" s="238"/>
    </row>
    <row r="259" spans="1:12" x14ac:dyDescent="0.2">
      <c r="A259" s="236"/>
      <c r="B259" s="237"/>
      <c r="C259" s="237"/>
      <c r="D259" s="237"/>
      <c r="E259" s="237"/>
      <c r="F259" s="237"/>
      <c r="G259" s="237"/>
      <c r="H259" s="237"/>
      <c r="I259" s="237"/>
      <c r="J259" s="237"/>
      <c r="K259" s="237"/>
      <c r="L259" s="249">
        <f>SUM(L5:L257)</f>
        <v>1.8864457652752569</v>
      </c>
    </row>
    <row r="260" spans="1:12" ht="15.75" thickBot="1" x14ac:dyDescent="0.25">
      <c r="A260" s="250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2"/>
    </row>
  </sheetData>
  <mergeCells count="2">
    <mergeCell ref="A1:L1"/>
    <mergeCell ref="B3:L3"/>
  </mergeCells>
  <pageMargins left="0.75" right="0.75" top="1" bottom="1" header="0.5" footer="0.5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9"/>
  <sheetViews>
    <sheetView topLeftCell="F254" workbookViewId="0">
      <selection activeCell="L259" sqref="L259"/>
    </sheetView>
  </sheetViews>
  <sheetFormatPr defaultColWidth="9.14453125" defaultRowHeight="15" x14ac:dyDescent="0.2"/>
  <cols>
    <col min="1" max="1" width="9.14453125" style="207"/>
    <col min="2" max="2" width="21.7890625" style="207" customWidth="1"/>
    <col min="3" max="3" width="10.22265625" style="207" customWidth="1"/>
    <col min="4" max="4" width="13.31640625" style="207" customWidth="1"/>
    <col min="5" max="5" width="14.390625" style="207" customWidth="1"/>
    <col min="6" max="6" width="27.84375" style="207" customWidth="1"/>
    <col min="7" max="7" width="9.14453125" style="207"/>
    <col min="8" max="8" width="15.19921875" style="207" customWidth="1"/>
    <col min="9" max="9" width="17.484375" style="207" customWidth="1"/>
    <col min="10" max="10" width="7.93359375" style="207" customWidth="1"/>
    <col min="11" max="11" width="12.5078125" style="207" customWidth="1"/>
    <col min="12" max="12" width="16.140625" style="207" bestFit="1" customWidth="1"/>
    <col min="13" max="16384" width="9.14453125" style="207"/>
  </cols>
  <sheetData>
    <row r="1" spans="1:13" ht="15.75" thickBot="1" x14ac:dyDescent="0.25">
      <c r="A1" s="272" t="s">
        <v>127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08"/>
    </row>
    <row r="2" spans="1:13" x14ac:dyDescent="0.2">
      <c r="A2" s="209" t="s">
        <v>1</v>
      </c>
      <c r="B2" s="210" t="s">
        <v>2</v>
      </c>
      <c r="C2" s="210" t="s">
        <v>3</v>
      </c>
      <c r="D2" s="210" t="s">
        <v>128</v>
      </c>
      <c r="E2" s="210" t="s">
        <v>129</v>
      </c>
      <c r="F2" s="211" t="s">
        <v>130</v>
      </c>
      <c r="G2" s="210" t="s">
        <v>131</v>
      </c>
      <c r="H2" s="210" t="s">
        <v>132</v>
      </c>
      <c r="I2" s="210" t="s">
        <v>133</v>
      </c>
      <c r="J2" s="210" t="s">
        <v>134</v>
      </c>
      <c r="K2" s="210" t="s">
        <v>135</v>
      </c>
      <c r="L2" s="212" t="s">
        <v>136</v>
      </c>
      <c r="M2" s="208"/>
    </row>
    <row r="3" spans="1:13" ht="18.75" x14ac:dyDescent="0.2">
      <c r="A3" s="213">
        <v>1</v>
      </c>
      <c r="B3" s="273" t="s">
        <v>569</v>
      </c>
      <c r="C3" s="273"/>
      <c r="D3" s="273"/>
      <c r="E3" s="273"/>
      <c r="F3" s="273"/>
      <c r="G3" s="273"/>
      <c r="H3" s="273"/>
      <c r="I3" s="273"/>
      <c r="J3" s="273"/>
      <c r="K3" s="273"/>
      <c r="L3" s="274"/>
    </row>
    <row r="4" spans="1:13" x14ac:dyDescent="0.2">
      <c r="A4" s="214">
        <v>1.1000000000000001</v>
      </c>
      <c r="B4" s="215" t="s">
        <v>975</v>
      </c>
      <c r="C4" s="215"/>
      <c r="D4" s="215"/>
      <c r="E4" s="215"/>
      <c r="F4" s="215"/>
      <c r="G4" s="215"/>
      <c r="H4" s="215"/>
      <c r="I4" s="215"/>
      <c r="J4" s="215"/>
      <c r="K4" s="215"/>
      <c r="L4" s="216"/>
    </row>
    <row r="5" spans="1:13" ht="46.5" x14ac:dyDescent="0.65">
      <c r="A5" s="214"/>
      <c r="B5" s="217" t="s">
        <v>482</v>
      </c>
      <c r="C5" s="217">
        <v>2</v>
      </c>
      <c r="D5" s="217">
        <v>4</v>
      </c>
      <c r="E5" s="217">
        <v>0.5</v>
      </c>
      <c r="F5" s="218"/>
      <c r="G5" s="217">
        <v>7.5</v>
      </c>
      <c r="H5" s="217">
        <f>(12*E5*2)/12</f>
        <v>1</v>
      </c>
      <c r="I5" s="217">
        <f>G5+H5</f>
        <v>8.5</v>
      </c>
      <c r="J5" s="217">
        <f>(D5*2)/24</f>
        <v>0.33333333333333331</v>
      </c>
      <c r="K5" s="217">
        <f>C5*I5*J5</f>
        <v>5.6666666666666661</v>
      </c>
      <c r="L5" s="219">
        <f>K5/2204</f>
        <v>2.571082879612825E-3</v>
      </c>
    </row>
    <row r="6" spans="1:13" ht="46.5" x14ac:dyDescent="0.65">
      <c r="A6" s="214"/>
      <c r="B6" s="217" t="s">
        <v>484</v>
      </c>
      <c r="C6" s="217">
        <v>2</v>
      </c>
      <c r="D6" s="217">
        <v>4</v>
      </c>
      <c r="E6" s="217">
        <v>0.5</v>
      </c>
      <c r="F6" s="218"/>
      <c r="G6" s="217">
        <v>7.5</v>
      </c>
      <c r="H6" s="217">
        <f>(12*E6*2)/12</f>
        <v>1</v>
      </c>
      <c r="I6" s="217">
        <f>G6+H6</f>
        <v>8.5</v>
      </c>
      <c r="J6" s="217">
        <f>(D6*2)/24</f>
        <v>0.33333333333333331</v>
      </c>
      <c r="K6" s="217">
        <f>C6*I6*J6</f>
        <v>5.6666666666666661</v>
      </c>
      <c r="L6" s="219">
        <f>K6/2204</f>
        <v>2.571082879612825E-3</v>
      </c>
    </row>
    <row r="7" spans="1:13" ht="92.25" x14ac:dyDescent="1.3">
      <c r="A7" s="214"/>
      <c r="B7" s="217" t="s">
        <v>486</v>
      </c>
      <c r="C7" s="217">
        <v>13</v>
      </c>
      <c r="D7" s="217">
        <v>3</v>
      </c>
      <c r="E7" s="217">
        <f>D7/8</f>
        <v>0.375</v>
      </c>
      <c r="F7" s="220"/>
      <c r="G7" s="217">
        <v>5.8333000000000004</v>
      </c>
      <c r="H7" s="217">
        <f>(12*E7*2)/12</f>
        <v>0.75</v>
      </c>
      <c r="I7" s="217">
        <f>G7+H7</f>
        <v>6.5833000000000004</v>
      </c>
      <c r="J7" s="217">
        <f>(D7*2)/24</f>
        <v>0.25</v>
      </c>
      <c r="K7" s="217">
        <f>C7*I7*J7</f>
        <v>21.395725000000002</v>
      </c>
      <c r="L7" s="219">
        <f>K7/2204</f>
        <v>9.7076792196007268E-3</v>
      </c>
    </row>
    <row r="8" spans="1:13" x14ac:dyDescent="0.2">
      <c r="A8" s="214"/>
      <c r="B8" s="221" t="s">
        <v>126</v>
      </c>
      <c r="C8" s="217"/>
      <c r="D8" s="217"/>
      <c r="E8" s="217"/>
      <c r="F8" s="217"/>
      <c r="G8" s="217"/>
      <c r="H8" s="217"/>
      <c r="I8" s="217"/>
      <c r="J8" s="217"/>
      <c r="K8" s="222">
        <f>SUM(K5:K7)</f>
        <v>32.729058333333334</v>
      </c>
      <c r="L8" s="223">
        <f>SUM(L5:L7)</f>
        <v>1.4849844978826377E-2</v>
      </c>
    </row>
    <row r="9" spans="1:13" x14ac:dyDescent="0.2">
      <c r="A9" s="214"/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6"/>
    </row>
    <row r="10" spans="1:13" x14ac:dyDescent="0.2">
      <c r="A10" s="214">
        <v>1.2</v>
      </c>
      <c r="B10" s="215" t="s">
        <v>974</v>
      </c>
      <c r="C10" s="215"/>
      <c r="D10" s="215"/>
      <c r="E10" s="215"/>
      <c r="F10" s="215"/>
      <c r="G10" s="215"/>
      <c r="H10" s="215"/>
      <c r="I10" s="215"/>
      <c r="J10" s="215"/>
      <c r="K10" s="215"/>
      <c r="L10" s="216"/>
    </row>
    <row r="11" spans="1:13" ht="46.5" x14ac:dyDescent="0.65">
      <c r="A11" s="214"/>
      <c r="B11" s="217" t="s">
        <v>482</v>
      </c>
      <c r="C11" s="217">
        <v>2</v>
      </c>
      <c r="D11" s="217">
        <v>4</v>
      </c>
      <c r="E11" s="217">
        <v>0.5</v>
      </c>
      <c r="F11" s="218"/>
      <c r="G11" s="217">
        <v>6</v>
      </c>
      <c r="H11" s="217">
        <f>(12*E11*2)/12</f>
        <v>1</v>
      </c>
      <c r="I11" s="217">
        <f>G11+H11</f>
        <v>7</v>
      </c>
      <c r="J11" s="217">
        <f>(D11*2)/24</f>
        <v>0.33333333333333331</v>
      </c>
      <c r="K11" s="217">
        <f>C11*I11*J11</f>
        <v>4.6666666666666661</v>
      </c>
      <c r="L11" s="219">
        <f>K11/2204</f>
        <v>2.1173623714458556E-3</v>
      </c>
    </row>
    <row r="12" spans="1:13" ht="46.5" x14ac:dyDescent="0.65">
      <c r="A12" s="214"/>
      <c r="B12" s="217" t="s">
        <v>484</v>
      </c>
      <c r="C12" s="217">
        <v>2</v>
      </c>
      <c r="D12" s="217">
        <v>4</v>
      </c>
      <c r="E12" s="217">
        <v>0.5</v>
      </c>
      <c r="F12" s="218"/>
      <c r="G12" s="217">
        <v>6</v>
      </c>
      <c r="H12" s="217">
        <f>(12*E12*2)/12</f>
        <v>1</v>
      </c>
      <c r="I12" s="217">
        <f>G12+H12</f>
        <v>7</v>
      </c>
      <c r="J12" s="217">
        <f>(D12*2)/24</f>
        <v>0.33333333333333331</v>
      </c>
      <c r="K12" s="217">
        <f>C12*I12*J12</f>
        <v>4.6666666666666661</v>
      </c>
      <c r="L12" s="219">
        <f>K12/2204</f>
        <v>2.1173623714458556E-3</v>
      </c>
    </row>
    <row r="13" spans="1:13" ht="92.25" x14ac:dyDescent="1.3">
      <c r="A13" s="214"/>
      <c r="B13" s="217" t="s">
        <v>486</v>
      </c>
      <c r="C13" s="217">
        <v>10</v>
      </c>
      <c r="D13" s="217">
        <v>3</v>
      </c>
      <c r="E13" s="217">
        <f>D13/8</f>
        <v>0.375</v>
      </c>
      <c r="F13" s="220"/>
      <c r="G13" s="217">
        <v>5.8333000000000004</v>
      </c>
      <c r="H13" s="217">
        <f>(12*E13*2)/12</f>
        <v>0.75</v>
      </c>
      <c r="I13" s="217">
        <f>G13+H13</f>
        <v>6.5833000000000004</v>
      </c>
      <c r="J13" s="217">
        <f>(D13*2)/24</f>
        <v>0.25</v>
      </c>
      <c r="K13" s="217">
        <f>C13*I13*J13</f>
        <v>16.45825</v>
      </c>
      <c r="L13" s="219">
        <f>K13/2204</f>
        <v>7.4674455535390198E-3</v>
      </c>
    </row>
    <row r="14" spans="1:13" x14ac:dyDescent="0.2">
      <c r="A14" s="214"/>
      <c r="B14" s="221" t="s">
        <v>126</v>
      </c>
      <c r="C14" s="217"/>
      <c r="D14" s="217"/>
      <c r="E14" s="217"/>
      <c r="F14" s="217"/>
      <c r="G14" s="217"/>
      <c r="H14" s="217"/>
      <c r="I14" s="217"/>
      <c r="J14" s="217"/>
      <c r="K14" s="222">
        <f>SUM(K11:K13)</f>
        <v>25.791583333333332</v>
      </c>
      <c r="L14" s="223">
        <f>SUM(L11:L13)</f>
        <v>1.1702170296430732E-2</v>
      </c>
    </row>
    <row r="15" spans="1:13" x14ac:dyDescent="0.2">
      <c r="A15" s="214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6"/>
    </row>
    <row r="16" spans="1:13" x14ac:dyDescent="0.2">
      <c r="A16" s="214">
        <v>1.3</v>
      </c>
      <c r="B16" s="215" t="s">
        <v>973</v>
      </c>
      <c r="C16" s="215"/>
      <c r="D16" s="215"/>
      <c r="E16" s="215"/>
      <c r="F16" s="215"/>
      <c r="G16" s="215"/>
      <c r="H16" s="215"/>
      <c r="I16" s="215"/>
      <c r="J16" s="215"/>
      <c r="K16" s="215"/>
      <c r="L16" s="216"/>
    </row>
    <row r="17" spans="1:12" ht="46.5" x14ac:dyDescent="0.65">
      <c r="A17" s="214"/>
      <c r="B17" s="217" t="s">
        <v>482</v>
      </c>
      <c r="C17" s="217">
        <v>2</v>
      </c>
      <c r="D17" s="217">
        <v>4</v>
      </c>
      <c r="E17" s="217">
        <v>0.5</v>
      </c>
      <c r="F17" s="218"/>
      <c r="G17" s="217">
        <v>16</v>
      </c>
      <c r="H17" s="217">
        <f>(12*E17*2)/12</f>
        <v>1</v>
      </c>
      <c r="I17" s="217">
        <f>G17+H17</f>
        <v>17</v>
      </c>
      <c r="J17" s="217">
        <f>(D17*2)/24</f>
        <v>0.33333333333333331</v>
      </c>
      <c r="K17" s="217">
        <f>C17*I17*J17</f>
        <v>11.333333333333332</v>
      </c>
      <c r="L17" s="219">
        <f>K17/2204</f>
        <v>5.14216575922565E-3</v>
      </c>
    </row>
    <row r="18" spans="1:12" ht="46.5" x14ac:dyDescent="0.65">
      <c r="A18" s="214"/>
      <c r="B18" s="217" t="s">
        <v>484</v>
      </c>
      <c r="C18" s="217">
        <v>2</v>
      </c>
      <c r="D18" s="217">
        <v>4</v>
      </c>
      <c r="E18" s="217">
        <v>0.5</v>
      </c>
      <c r="F18" s="218"/>
      <c r="G18" s="217">
        <v>16</v>
      </c>
      <c r="H18" s="217">
        <f>(12*E18*2)/12</f>
        <v>1</v>
      </c>
      <c r="I18" s="217">
        <f>G18+H18</f>
        <v>17</v>
      </c>
      <c r="J18" s="217">
        <f>(D18*2)/24</f>
        <v>0.33333333333333331</v>
      </c>
      <c r="K18" s="217">
        <f>C18*I18*J18</f>
        <v>11.333333333333332</v>
      </c>
      <c r="L18" s="219">
        <f>K18/2204</f>
        <v>5.14216575922565E-3</v>
      </c>
    </row>
    <row r="19" spans="1:12" ht="92.25" x14ac:dyDescent="1.3">
      <c r="A19" s="214"/>
      <c r="B19" s="217" t="s">
        <v>486</v>
      </c>
      <c r="C19" s="217">
        <v>28</v>
      </c>
      <c r="D19" s="217">
        <v>3</v>
      </c>
      <c r="E19" s="217">
        <f>D19/8</f>
        <v>0.375</v>
      </c>
      <c r="F19" s="220"/>
      <c r="G19" s="217">
        <v>5.8333000000000004</v>
      </c>
      <c r="H19" s="217">
        <f>(12*E19*2)/12</f>
        <v>0.75</v>
      </c>
      <c r="I19" s="217">
        <f>G19+H19</f>
        <v>6.5833000000000004</v>
      </c>
      <c r="J19" s="217">
        <f>(D19*2)/24</f>
        <v>0.25</v>
      </c>
      <c r="K19" s="217">
        <f>C19*I19*J19</f>
        <v>46.083100000000002</v>
      </c>
      <c r="L19" s="219">
        <f>K19/2204</f>
        <v>2.0908847549909258E-2</v>
      </c>
    </row>
    <row r="20" spans="1:12" x14ac:dyDescent="0.2">
      <c r="A20" s="214"/>
      <c r="B20" s="221" t="s">
        <v>126</v>
      </c>
      <c r="C20" s="217"/>
      <c r="D20" s="217"/>
      <c r="E20" s="217"/>
      <c r="F20" s="217"/>
      <c r="G20" s="217"/>
      <c r="H20" s="217"/>
      <c r="I20" s="217"/>
      <c r="J20" s="217"/>
      <c r="K20" s="222">
        <f>SUM(K17:K19)</f>
        <v>68.749766666666659</v>
      </c>
      <c r="L20" s="223">
        <f>SUM(L17:L19)</f>
        <v>3.1193179068360558E-2</v>
      </c>
    </row>
    <row r="21" spans="1:12" x14ac:dyDescent="0.2">
      <c r="A21" s="214"/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6"/>
    </row>
    <row r="22" spans="1:12" x14ac:dyDescent="0.2">
      <c r="A22" s="214">
        <v>1.4</v>
      </c>
      <c r="B22" s="215" t="s">
        <v>972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6"/>
    </row>
    <row r="23" spans="1:12" ht="46.5" x14ac:dyDescent="0.65">
      <c r="A23" s="214"/>
      <c r="B23" s="217" t="s">
        <v>482</v>
      </c>
      <c r="C23" s="217">
        <v>2</v>
      </c>
      <c r="D23" s="217">
        <v>4</v>
      </c>
      <c r="E23" s="217">
        <v>0.5</v>
      </c>
      <c r="F23" s="218"/>
      <c r="G23" s="217">
        <v>5</v>
      </c>
      <c r="H23" s="217">
        <f>(12*E23*2)/12</f>
        <v>1</v>
      </c>
      <c r="I23" s="217">
        <f>G23+H23</f>
        <v>6</v>
      </c>
      <c r="J23" s="217">
        <f>(D23*2)/24</f>
        <v>0.33333333333333331</v>
      </c>
      <c r="K23" s="217">
        <f>C23*I23*J23</f>
        <v>4</v>
      </c>
      <c r="L23" s="219">
        <f>K23/2204</f>
        <v>1.8148820326678765E-3</v>
      </c>
    </row>
    <row r="24" spans="1:12" ht="46.5" x14ac:dyDescent="0.65">
      <c r="A24" s="214"/>
      <c r="B24" s="217" t="s">
        <v>484</v>
      </c>
      <c r="C24" s="217">
        <v>2</v>
      </c>
      <c r="D24" s="217">
        <v>4</v>
      </c>
      <c r="E24" s="217">
        <v>0.5</v>
      </c>
      <c r="F24" s="218"/>
      <c r="G24" s="217">
        <v>5</v>
      </c>
      <c r="H24" s="217">
        <f>(12*E24*2)/12</f>
        <v>1</v>
      </c>
      <c r="I24" s="217">
        <f>G24+H24</f>
        <v>6</v>
      </c>
      <c r="J24" s="217">
        <f>(D24*2)/24</f>
        <v>0.33333333333333331</v>
      </c>
      <c r="K24" s="217">
        <f>C24*I24*J24</f>
        <v>4</v>
      </c>
      <c r="L24" s="219">
        <f>K24/2204</f>
        <v>1.8148820326678765E-3</v>
      </c>
    </row>
    <row r="25" spans="1:12" ht="92.25" x14ac:dyDescent="1.3">
      <c r="A25" s="214"/>
      <c r="B25" s="217" t="s">
        <v>486</v>
      </c>
      <c r="C25" s="217">
        <v>10</v>
      </c>
      <c r="D25" s="217">
        <v>3</v>
      </c>
      <c r="E25" s="217">
        <f>D25/8</f>
        <v>0.375</v>
      </c>
      <c r="F25" s="220"/>
      <c r="G25" s="217">
        <v>5.8333000000000004</v>
      </c>
      <c r="H25" s="217">
        <f>(12*E25*2)/12</f>
        <v>0.75</v>
      </c>
      <c r="I25" s="217">
        <f>G25+H25</f>
        <v>6.5833000000000004</v>
      </c>
      <c r="J25" s="217">
        <f>(D25*2)/24</f>
        <v>0.25</v>
      </c>
      <c r="K25" s="217">
        <f>C25*I25*J25</f>
        <v>16.45825</v>
      </c>
      <c r="L25" s="219">
        <f>K25/2204</f>
        <v>7.4674455535390198E-3</v>
      </c>
    </row>
    <row r="26" spans="1:12" x14ac:dyDescent="0.2">
      <c r="A26" s="214"/>
      <c r="B26" s="221" t="s">
        <v>126</v>
      </c>
      <c r="C26" s="217"/>
      <c r="D26" s="217"/>
      <c r="E26" s="217"/>
      <c r="F26" s="217"/>
      <c r="G26" s="217"/>
      <c r="H26" s="217"/>
      <c r="I26" s="217"/>
      <c r="J26" s="217"/>
      <c r="K26" s="222">
        <f>SUM(K23:K25)</f>
        <v>24.45825</v>
      </c>
      <c r="L26" s="223">
        <f>SUM(L23:L25)</f>
        <v>1.1097209618874773E-2</v>
      </c>
    </row>
    <row r="27" spans="1:12" x14ac:dyDescent="0.2">
      <c r="A27" s="214"/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6"/>
    </row>
    <row r="28" spans="1:12" x14ac:dyDescent="0.2">
      <c r="A28" s="214">
        <v>1.5</v>
      </c>
      <c r="B28" s="215" t="s">
        <v>971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</row>
    <row r="29" spans="1:12" ht="46.5" x14ac:dyDescent="0.65">
      <c r="A29" s="214"/>
      <c r="B29" s="217" t="s">
        <v>482</v>
      </c>
      <c r="C29" s="217">
        <v>2</v>
      </c>
      <c r="D29" s="217">
        <v>4</v>
      </c>
      <c r="E29" s="217">
        <v>0.5</v>
      </c>
      <c r="F29" s="218"/>
      <c r="G29" s="217">
        <v>14.25</v>
      </c>
      <c r="H29" s="217">
        <f>(12*E29*2)/12</f>
        <v>1</v>
      </c>
      <c r="I29" s="217">
        <f>G29+H29</f>
        <v>15.25</v>
      </c>
      <c r="J29" s="217">
        <f>(D29*2)/24</f>
        <v>0.33333333333333331</v>
      </c>
      <c r="K29" s="217">
        <f>C29*I29*J29</f>
        <v>10.166666666666666</v>
      </c>
      <c r="L29" s="219">
        <f>K29/2204</f>
        <v>4.6128251663641864E-3</v>
      </c>
    </row>
    <row r="30" spans="1:12" ht="46.5" x14ac:dyDescent="0.65">
      <c r="A30" s="214"/>
      <c r="B30" s="217" t="s">
        <v>484</v>
      </c>
      <c r="C30" s="217">
        <v>2</v>
      </c>
      <c r="D30" s="217">
        <v>4</v>
      </c>
      <c r="E30" s="217">
        <v>0.5</v>
      </c>
      <c r="F30" s="218"/>
      <c r="G30" s="217">
        <v>14.25</v>
      </c>
      <c r="H30" s="217">
        <f>(12*E30*2)/12</f>
        <v>1</v>
      </c>
      <c r="I30" s="217">
        <f>G30+H30</f>
        <v>15.25</v>
      </c>
      <c r="J30" s="217">
        <f>(D30*2)/24</f>
        <v>0.33333333333333331</v>
      </c>
      <c r="K30" s="217">
        <f>C30*I30*J30</f>
        <v>10.166666666666666</v>
      </c>
      <c r="L30" s="219">
        <f>K30/2204</f>
        <v>4.6128251663641864E-3</v>
      </c>
    </row>
    <row r="31" spans="1:12" ht="92.25" x14ac:dyDescent="1.3">
      <c r="A31" s="214"/>
      <c r="B31" s="217" t="s">
        <v>486</v>
      </c>
      <c r="C31" s="217">
        <v>28</v>
      </c>
      <c r="D31" s="217">
        <v>3</v>
      </c>
      <c r="E31" s="217">
        <f>D31/8</f>
        <v>0.375</v>
      </c>
      <c r="F31" s="220"/>
      <c r="G31" s="217">
        <v>5.8333000000000004</v>
      </c>
      <c r="H31" s="217">
        <f>(12*E31*2)/12</f>
        <v>0.75</v>
      </c>
      <c r="I31" s="217">
        <f>G31+H31</f>
        <v>6.5833000000000004</v>
      </c>
      <c r="J31" s="217">
        <f>(D31*2)/24</f>
        <v>0.25</v>
      </c>
      <c r="K31" s="217">
        <f>C31*I31*J31</f>
        <v>46.083100000000002</v>
      </c>
      <c r="L31" s="219">
        <f>K31/2204</f>
        <v>2.0908847549909258E-2</v>
      </c>
    </row>
    <row r="32" spans="1:12" x14ac:dyDescent="0.2">
      <c r="A32" s="214"/>
      <c r="B32" s="221" t="s">
        <v>126</v>
      </c>
      <c r="C32" s="217"/>
      <c r="D32" s="217"/>
      <c r="E32" s="217"/>
      <c r="F32" s="217"/>
      <c r="G32" s="217"/>
      <c r="H32" s="217"/>
      <c r="I32" s="217"/>
      <c r="J32" s="217"/>
      <c r="K32" s="222">
        <f>SUM(K29:K31)</f>
        <v>66.41643333333333</v>
      </c>
      <c r="L32" s="223">
        <f>SUM(L29:L31)</f>
        <v>3.0134497882637633E-2</v>
      </c>
    </row>
    <row r="33" spans="1:12" x14ac:dyDescent="0.2">
      <c r="A33" s="214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6"/>
    </row>
    <row r="34" spans="1:12" x14ac:dyDescent="0.2">
      <c r="A34" s="214">
        <v>1.6</v>
      </c>
      <c r="B34" s="215" t="s">
        <v>970</v>
      </c>
      <c r="C34" s="215"/>
      <c r="D34" s="215"/>
      <c r="E34" s="215"/>
      <c r="F34" s="215"/>
      <c r="G34" s="215"/>
      <c r="H34" s="215"/>
      <c r="I34" s="215"/>
      <c r="J34" s="215"/>
      <c r="K34" s="215"/>
      <c r="L34" s="216"/>
    </row>
    <row r="35" spans="1:12" ht="46.5" x14ac:dyDescent="0.65">
      <c r="A35" s="214"/>
      <c r="B35" s="217" t="s">
        <v>482</v>
      </c>
      <c r="C35" s="217">
        <v>2</v>
      </c>
      <c r="D35" s="217">
        <v>4</v>
      </c>
      <c r="E35" s="217">
        <v>0.5</v>
      </c>
      <c r="F35" s="218"/>
      <c r="G35" s="217">
        <v>7.25</v>
      </c>
      <c r="H35" s="217">
        <f>(12*E35*2)/12</f>
        <v>1</v>
      </c>
      <c r="I35" s="217">
        <f>G35+H35</f>
        <v>8.25</v>
      </c>
      <c r="J35" s="217">
        <f>(D35*2)/24</f>
        <v>0.33333333333333331</v>
      </c>
      <c r="K35" s="217">
        <f>C35*I35*J35</f>
        <v>5.5</v>
      </c>
      <c r="L35" s="219">
        <f>K35/2204</f>
        <v>2.4954627949183303E-3</v>
      </c>
    </row>
    <row r="36" spans="1:12" ht="46.5" x14ac:dyDescent="0.65">
      <c r="A36" s="214"/>
      <c r="B36" s="217" t="s">
        <v>484</v>
      </c>
      <c r="C36" s="217">
        <v>2</v>
      </c>
      <c r="D36" s="217">
        <v>4</v>
      </c>
      <c r="E36" s="217">
        <v>0.5</v>
      </c>
      <c r="F36" s="218"/>
      <c r="G36" s="217">
        <v>7.25</v>
      </c>
      <c r="H36" s="217">
        <f>(12*E36*2)/12</f>
        <v>1</v>
      </c>
      <c r="I36" s="217">
        <f>G36+H36</f>
        <v>8.25</v>
      </c>
      <c r="J36" s="217">
        <f>(D36*2)/24</f>
        <v>0.33333333333333331</v>
      </c>
      <c r="K36" s="217">
        <f>C36*I36*J36</f>
        <v>5.5</v>
      </c>
      <c r="L36" s="219">
        <f>K36/2204</f>
        <v>2.4954627949183303E-3</v>
      </c>
    </row>
    <row r="37" spans="1:12" ht="23.25" x14ac:dyDescent="0.2">
      <c r="A37" s="214"/>
      <c r="B37" s="217" t="s">
        <v>483</v>
      </c>
      <c r="C37" s="217">
        <v>2</v>
      </c>
      <c r="D37" s="217">
        <v>4</v>
      </c>
      <c r="E37" s="217">
        <v>0.5</v>
      </c>
      <c r="F37" s="224"/>
      <c r="G37" s="217">
        <v>5.33</v>
      </c>
      <c r="H37" s="217"/>
      <c r="I37" s="217">
        <f>G37+H37</f>
        <v>5.33</v>
      </c>
      <c r="J37" s="217">
        <f>(D37*2)/24</f>
        <v>0.33333333333333331</v>
      </c>
      <c r="K37" s="217">
        <f>C37*I37*J37</f>
        <v>3.5533333333333332</v>
      </c>
      <c r="L37" s="219">
        <f>K37/2204</f>
        <v>1.6122202056866304E-3</v>
      </c>
    </row>
    <row r="38" spans="1:12" ht="92.25" x14ac:dyDescent="1.3">
      <c r="A38" s="214"/>
      <c r="B38" s="217" t="s">
        <v>486</v>
      </c>
      <c r="C38" s="217">
        <v>16</v>
      </c>
      <c r="D38" s="217">
        <v>3</v>
      </c>
      <c r="E38" s="217">
        <f>D38/8</f>
        <v>0.375</v>
      </c>
      <c r="F38" s="220"/>
      <c r="G38" s="217">
        <v>3.5</v>
      </c>
      <c r="H38" s="217">
        <f>(12*E38*2)/12</f>
        <v>0.75</v>
      </c>
      <c r="I38" s="217">
        <f>G38+H38</f>
        <v>4.25</v>
      </c>
      <c r="J38" s="217">
        <f>(D38*2)/24</f>
        <v>0.25</v>
      </c>
      <c r="K38" s="217">
        <f>C38*I38*J38</f>
        <v>17</v>
      </c>
      <c r="L38" s="219">
        <f>K38/2204</f>
        <v>7.7132486388384758E-3</v>
      </c>
    </row>
    <row r="39" spans="1:12" x14ac:dyDescent="0.2">
      <c r="A39" s="214"/>
      <c r="B39" s="221" t="s">
        <v>126</v>
      </c>
      <c r="C39" s="217"/>
      <c r="D39" s="217"/>
      <c r="E39" s="217"/>
      <c r="F39" s="217"/>
      <c r="G39" s="217"/>
      <c r="H39" s="217"/>
      <c r="I39" s="217"/>
      <c r="J39" s="217"/>
      <c r="K39" s="222">
        <f>SUM(K35:K38)</f>
        <v>31.553333333333335</v>
      </c>
      <c r="L39" s="223">
        <f>SUM(L35:L38)</f>
        <v>1.4316394434361767E-2</v>
      </c>
    </row>
    <row r="40" spans="1:12" x14ac:dyDescent="0.2">
      <c r="A40" s="214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6"/>
    </row>
    <row r="41" spans="1:12" x14ac:dyDescent="0.2">
      <c r="A41" s="214">
        <v>1.7</v>
      </c>
      <c r="B41" s="215" t="s">
        <v>969</v>
      </c>
      <c r="C41" s="215"/>
      <c r="D41" s="215"/>
      <c r="E41" s="215"/>
      <c r="F41" s="215"/>
      <c r="G41" s="215"/>
      <c r="H41" s="215"/>
      <c r="I41" s="215"/>
      <c r="J41" s="215"/>
      <c r="K41" s="215"/>
      <c r="L41" s="216"/>
    </row>
    <row r="42" spans="1:12" ht="46.5" x14ac:dyDescent="0.65">
      <c r="A42" s="214"/>
      <c r="B42" s="217" t="s">
        <v>482</v>
      </c>
      <c r="C42" s="217">
        <v>2</v>
      </c>
      <c r="D42" s="217">
        <v>4</v>
      </c>
      <c r="E42" s="217">
        <v>0.5</v>
      </c>
      <c r="F42" s="218"/>
      <c r="G42" s="217">
        <v>22.25</v>
      </c>
      <c r="H42" s="217">
        <f>(12*E42*2)/12</f>
        <v>1</v>
      </c>
      <c r="I42" s="217">
        <f>G42+H42</f>
        <v>23.25</v>
      </c>
      <c r="J42" s="217">
        <f>(D42*2)/24</f>
        <v>0.33333333333333331</v>
      </c>
      <c r="K42" s="217">
        <f>C42*I42*J42</f>
        <v>15.5</v>
      </c>
      <c r="L42" s="219">
        <f>K42/2204</f>
        <v>7.032667876588022E-3</v>
      </c>
    </row>
    <row r="43" spans="1:12" ht="46.5" x14ac:dyDescent="0.65">
      <c r="A43" s="214"/>
      <c r="B43" s="217" t="s">
        <v>484</v>
      </c>
      <c r="C43" s="217">
        <v>2</v>
      </c>
      <c r="D43" s="217">
        <v>4</v>
      </c>
      <c r="E43" s="217">
        <v>0.5</v>
      </c>
      <c r="F43" s="218"/>
      <c r="G43" s="217">
        <v>22.25</v>
      </c>
      <c r="H43" s="217">
        <f>(12*E43*2)/12</f>
        <v>1</v>
      </c>
      <c r="I43" s="217">
        <f>G43+H43</f>
        <v>23.25</v>
      </c>
      <c r="J43" s="217">
        <f>(D43*2)/24</f>
        <v>0.33333333333333331</v>
      </c>
      <c r="K43" s="217">
        <f>C43*I43*J43</f>
        <v>15.5</v>
      </c>
      <c r="L43" s="219">
        <f>K43/2204</f>
        <v>7.032667876588022E-3</v>
      </c>
    </row>
    <row r="44" spans="1:12" ht="46.5" x14ac:dyDescent="0.2">
      <c r="A44" s="214"/>
      <c r="B44" s="217" t="s">
        <v>561</v>
      </c>
      <c r="C44" s="217">
        <v>2</v>
      </c>
      <c r="D44" s="217">
        <v>4</v>
      </c>
      <c r="E44" s="217">
        <v>0.5</v>
      </c>
      <c r="F44" s="225"/>
      <c r="G44" s="217">
        <v>3.75</v>
      </c>
      <c r="H44" s="217">
        <f>(12*E44*2)/12</f>
        <v>1</v>
      </c>
      <c r="I44" s="217">
        <f>G44+H44</f>
        <v>4.75</v>
      </c>
      <c r="J44" s="217">
        <f>(D44*2)/24</f>
        <v>0.33333333333333331</v>
      </c>
      <c r="K44" s="217">
        <f>C44*I44*J44</f>
        <v>3.1666666666666665</v>
      </c>
      <c r="L44" s="219">
        <f>K44/2204</f>
        <v>1.4367816091954023E-3</v>
      </c>
    </row>
    <row r="45" spans="1:12" ht="92.25" x14ac:dyDescent="1.3">
      <c r="A45" s="214"/>
      <c r="B45" s="217" t="s">
        <v>486</v>
      </c>
      <c r="C45" s="217">
        <v>43</v>
      </c>
      <c r="D45" s="217">
        <v>3</v>
      </c>
      <c r="E45" s="217">
        <f>D45/8</f>
        <v>0.375</v>
      </c>
      <c r="F45" s="220"/>
      <c r="G45" s="217">
        <v>5.8333000000000004</v>
      </c>
      <c r="H45" s="217">
        <f>(12*E45*2)/12</f>
        <v>0.75</v>
      </c>
      <c r="I45" s="217">
        <f>G45+H45</f>
        <v>6.5833000000000004</v>
      </c>
      <c r="J45" s="217">
        <f>(D45*2)/24</f>
        <v>0.25</v>
      </c>
      <c r="K45" s="217">
        <f>C45*I45*J45</f>
        <v>70.770475000000005</v>
      </c>
      <c r="L45" s="219">
        <f>K45/2204</f>
        <v>3.2110015880217786E-2</v>
      </c>
    </row>
    <row r="46" spans="1:12" x14ac:dyDescent="0.2">
      <c r="A46" s="214"/>
      <c r="B46" s="221" t="s">
        <v>126</v>
      </c>
      <c r="C46" s="217"/>
      <c r="D46" s="217"/>
      <c r="E46" s="217"/>
      <c r="F46" s="217"/>
      <c r="G46" s="217"/>
      <c r="H46" s="217"/>
      <c r="I46" s="217"/>
      <c r="J46" s="217"/>
      <c r="K46" s="222">
        <f>SUM(K42:K45)</f>
        <v>104.93714166666666</v>
      </c>
      <c r="L46" s="223">
        <f>SUM(L42:L45)</f>
        <v>4.7612133242589234E-2</v>
      </c>
    </row>
    <row r="47" spans="1:12" x14ac:dyDescent="0.2">
      <c r="A47" s="214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6"/>
    </row>
    <row r="48" spans="1:12" x14ac:dyDescent="0.2">
      <c r="A48" s="214">
        <v>1.8</v>
      </c>
      <c r="B48" s="215" t="s">
        <v>968</v>
      </c>
      <c r="C48" s="215"/>
      <c r="D48" s="215"/>
      <c r="E48" s="215"/>
      <c r="F48" s="215"/>
      <c r="G48" s="215"/>
      <c r="H48" s="215"/>
      <c r="I48" s="215"/>
      <c r="J48" s="215"/>
      <c r="K48" s="215"/>
      <c r="L48" s="216"/>
    </row>
    <row r="49" spans="1:12" ht="46.5" x14ac:dyDescent="0.65">
      <c r="A49" s="214"/>
      <c r="B49" s="217" t="s">
        <v>482</v>
      </c>
      <c r="C49" s="217">
        <v>2</v>
      </c>
      <c r="D49" s="217">
        <v>4</v>
      </c>
      <c r="E49" s="217">
        <v>0.5</v>
      </c>
      <c r="F49" s="218"/>
      <c r="G49" s="217">
        <v>7.25</v>
      </c>
      <c r="H49" s="217">
        <f>(12*E49*2)/12</f>
        <v>1</v>
      </c>
      <c r="I49" s="217">
        <f>G49+H49</f>
        <v>8.25</v>
      </c>
      <c r="J49" s="217">
        <f>(D49*2)/24</f>
        <v>0.33333333333333331</v>
      </c>
      <c r="K49" s="217">
        <f>C49*I49*J49</f>
        <v>5.5</v>
      </c>
      <c r="L49" s="219">
        <f>K49/2204</f>
        <v>2.4954627949183303E-3</v>
      </c>
    </row>
    <row r="50" spans="1:12" ht="23.25" x14ac:dyDescent="0.2">
      <c r="A50" s="214"/>
      <c r="B50" s="217" t="s">
        <v>483</v>
      </c>
      <c r="C50" s="217">
        <v>2</v>
      </c>
      <c r="D50" s="217">
        <v>4</v>
      </c>
      <c r="E50" s="217">
        <v>0.5</v>
      </c>
      <c r="F50" s="224"/>
      <c r="G50" s="217">
        <v>4.8330000000000002</v>
      </c>
      <c r="H50" s="217"/>
      <c r="I50" s="217">
        <f>G50+H50</f>
        <v>4.8330000000000002</v>
      </c>
      <c r="J50" s="217">
        <f>(D50*2)/24</f>
        <v>0.33333333333333331</v>
      </c>
      <c r="K50" s="217">
        <f>C50*I50*J50</f>
        <v>3.222</v>
      </c>
      <c r="L50" s="219">
        <f>K50/2204</f>
        <v>1.4618874773139746E-3</v>
      </c>
    </row>
    <row r="51" spans="1:12" ht="46.5" x14ac:dyDescent="0.65">
      <c r="A51" s="214"/>
      <c r="B51" s="217" t="s">
        <v>484</v>
      </c>
      <c r="C51" s="217">
        <v>2</v>
      </c>
      <c r="D51" s="217">
        <v>4</v>
      </c>
      <c r="E51" s="217">
        <v>0.5</v>
      </c>
      <c r="F51" s="218"/>
      <c r="G51" s="217">
        <v>7.25</v>
      </c>
      <c r="H51" s="217">
        <f>(12*E51*2)/12</f>
        <v>1</v>
      </c>
      <c r="I51" s="217">
        <f>G51+H51</f>
        <v>8.25</v>
      </c>
      <c r="J51" s="217">
        <f>(D51*2)/24</f>
        <v>0.33333333333333331</v>
      </c>
      <c r="K51" s="217">
        <f>C51*I51*J51</f>
        <v>5.5</v>
      </c>
      <c r="L51" s="219">
        <f>K51/2204</f>
        <v>2.4954627949183303E-3</v>
      </c>
    </row>
    <row r="52" spans="1:12" ht="92.25" x14ac:dyDescent="1.3">
      <c r="A52" s="214"/>
      <c r="B52" s="217" t="s">
        <v>486</v>
      </c>
      <c r="C52" s="217">
        <v>13</v>
      </c>
      <c r="D52" s="217">
        <v>3</v>
      </c>
      <c r="E52" s="217">
        <f>D52/8</f>
        <v>0.375</v>
      </c>
      <c r="F52" s="220"/>
      <c r="G52" s="217">
        <v>5.8333000000000004</v>
      </c>
      <c r="H52" s="217">
        <f>(12*E52*2)/12</f>
        <v>0.75</v>
      </c>
      <c r="I52" s="217">
        <f>G52+H52</f>
        <v>6.5833000000000004</v>
      </c>
      <c r="J52" s="217">
        <f>(D52*2)/24</f>
        <v>0.25</v>
      </c>
      <c r="K52" s="217">
        <f>C52*I52*J52</f>
        <v>21.395725000000002</v>
      </c>
      <c r="L52" s="219">
        <f>K52/2204</f>
        <v>9.7076792196007268E-3</v>
      </c>
    </row>
    <row r="53" spans="1:12" x14ac:dyDescent="0.2">
      <c r="A53" s="214"/>
      <c r="B53" s="221" t="s">
        <v>126</v>
      </c>
      <c r="C53" s="217"/>
      <c r="D53" s="217"/>
      <c r="E53" s="217"/>
      <c r="F53" s="217"/>
      <c r="G53" s="217"/>
      <c r="H53" s="217"/>
      <c r="I53" s="217"/>
      <c r="J53" s="217"/>
      <c r="K53" s="222">
        <f>SUM(K49:K52)</f>
        <v>35.617725</v>
      </c>
      <c r="L53" s="223">
        <f>SUM(L49:L52)</f>
        <v>1.6160492286751361E-2</v>
      </c>
    </row>
    <row r="54" spans="1:12" x14ac:dyDescent="0.2">
      <c r="A54" s="214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6"/>
    </row>
    <row r="55" spans="1:12" x14ac:dyDescent="0.2">
      <c r="A55" s="214">
        <v>1.9</v>
      </c>
      <c r="B55" s="215" t="s">
        <v>967</v>
      </c>
      <c r="C55" s="215"/>
      <c r="D55" s="215"/>
      <c r="E55" s="215"/>
      <c r="F55" s="215"/>
      <c r="G55" s="215"/>
      <c r="H55" s="215"/>
      <c r="I55" s="215"/>
      <c r="J55" s="215"/>
      <c r="K55" s="215"/>
      <c r="L55" s="216"/>
    </row>
    <row r="56" spans="1:12" ht="46.5" x14ac:dyDescent="0.65">
      <c r="A56" s="214"/>
      <c r="B56" s="217" t="s">
        <v>482</v>
      </c>
      <c r="C56" s="217">
        <v>2</v>
      </c>
      <c r="D56" s="217">
        <v>4</v>
      </c>
      <c r="E56" s="217">
        <v>0.5</v>
      </c>
      <c r="F56" s="218"/>
      <c r="G56" s="217">
        <v>16.75</v>
      </c>
      <c r="H56" s="217">
        <f>(12*E56*2)/12</f>
        <v>1</v>
      </c>
      <c r="I56" s="217">
        <f>G56+H56</f>
        <v>17.75</v>
      </c>
      <c r="J56" s="217">
        <f>(D56*2)/24</f>
        <v>0.33333333333333331</v>
      </c>
      <c r="K56" s="217">
        <f>C56*I56*J56</f>
        <v>11.833333333333332</v>
      </c>
      <c r="L56" s="219">
        <f>K56/2204</f>
        <v>5.369026013309134E-3</v>
      </c>
    </row>
    <row r="57" spans="1:12" ht="46.5" x14ac:dyDescent="0.65">
      <c r="A57" s="214"/>
      <c r="B57" s="217" t="s">
        <v>484</v>
      </c>
      <c r="C57" s="217">
        <v>2</v>
      </c>
      <c r="D57" s="217">
        <v>4</v>
      </c>
      <c r="E57" s="217">
        <v>0.5</v>
      </c>
      <c r="F57" s="218"/>
      <c r="G57" s="217">
        <v>16.75</v>
      </c>
      <c r="H57" s="217">
        <f>(12*E57*2)/12</f>
        <v>1</v>
      </c>
      <c r="I57" s="217">
        <f>G57+H57</f>
        <v>17.75</v>
      </c>
      <c r="J57" s="217">
        <f>(D57*2)/24</f>
        <v>0.33333333333333331</v>
      </c>
      <c r="K57" s="217">
        <f>C57*I57*J57</f>
        <v>11.833333333333332</v>
      </c>
      <c r="L57" s="219">
        <f>K57/2204</f>
        <v>5.369026013309134E-3</v>
      </c>
    </row>
    <row r="58" spans="1:12" ht="92.25" x14ac:dyDescent="1.3">
      <c r="A58" s="214"/>
      <c r="B58" s="217" t="s">
        <v>486</v>
      </c>
      <c r="C58" s="217">
        <v>31</v>
      </c>
      <c r="D58" s="217">
        <v>3</v>
      </c>
      <c r="E58" s="217">
        <f>D58/8</f>
        <v>0.375</v>
      </c>
      <c r="F58" s="220"/>
      <c r="G58" s="217">
        <v>5.8333000000000004</v>
      </c>
      <c r="H58" s="217">
        <f>(12*E58*2)/12</f>
        <v>0.75</v>
      </c>
      <c r="I58" s="217">
        <f>G58+H58</f>
        <v>6.5833000000000004</v>
      </c>
      <c r="J58" s="217">
        <f>(D58*2)/24</f>
        <v>0.25</v>
      </c>
      <c r="K58" s="217">
        <f>C58*I58*J58</f>
        <v>51.020575000000001</v>
      </c>
      <c r="L58" s="219">
        <f>K58/2204</f>
        <v>2.3149081215970962E-2</v>
      </c>
    </row>
    <row r="59" spans="1:12" x14ac:dyDescent="0.2">
      <c r="A59" s="214"/>
      <c r="B59" s="221" t="s">
        <v>126</v>
      </c>
      <c r="C59" s="217"/>
      <c r="D59" s="217"/>
      <c r="E59" s="217"/>
      <c r="F59" s="217"/>
      <c r="G59" s="217"/>
      <c r="H59" s="217"/>
      <c r="I59" s="217"/>
      <c r="J59" s="217"/>
      <c r="K59" s="222">
        <f>SUM(K56:K58)</f>
        <v>74.687241666666665</v>
      </c>
      <c r="L59" s="223">
        <f>SUM(L56:L58)</f>
        <v>3.3887133242589226E-2</v>
      </c>
    </row>
    <row r="60" spans="1:12" x14ac:dyDescent="0.2">
      <c r="A60" s="214"/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6"/>
    </row>
    <row r="61" spans="1:12" x14ac:dyDescent="0.2">
      <c r="A61" s="214" t="s">
        <v>475</v>
      </c>
      <c r="B61" s="215" t="s">
        <v>966</v>
      </c>
      <c r="C61" s="215"/>
      <c r="D61" s="215"/>
      <c r="E61" s="215"/>
      <c r="F61" s="215"/>
      <c r="G61" s="215"/>
      <c r="H61" s="215"/>
      <c r="I61" s="215"/>
      <c r="J61" s="215"/>
      <c r="K61" s="215"/>
      <c r="L61" s="216"/>
    </row>
    <row r="62" spans="1:12" ht="46.5" x14ac:dyDescent="0.65">
      <c r="A62" s="214"/>
      <c r="B62" s="217" t="s">
        <v>482</v>
      </c>
      <c r="C62" s="217">
        <v>2</v>
      </c>
      <c r="D62" s="217">
        <v>4</v>
      </c>
      <c r="E62" s="217">
        <v>0.5</v>
      </c>
      <c r="F62" s="218"/>
      <c r="G62" s="217">
        <v>14.25</v>
      </c>
      <c r="H62" s="217">
        <f>(12*E62*2)/12</f>
        <v>1</v>
      </c>
      <c r="I62" s="217">
        <f>G62+H62</f>
        <v>15.25</v>
      </c>
      <c r="J62" s="217">
        <f>(D62*2)/24</f>
        <v>0.33333333333333331</v>
      </c>
      <c r="K62" s="217">
        <f>C62*I62*J62</f>
        <v>10.166666666666666</v>
      </c>
      <c r="L62" s="219">
        <f>K62/2204</f>
        <v>4.6128251663641864E-3</v>
      </c>
    </row>
    <row r="63" spans="1:12" ht="23.25" x14ac:dyDescent="0.2">
      <c r="A63" s="214"/>
      <c r="B63" s="217" t="s">
        <v>483</v>
      </c>
      <c r="C63" s="217">
        <v>2</v>
      </c>
      <c r="D63" s="217">
        <v>4</v>
      </c>
      <c r="E63" s="217">
        <v>0.5</v>
      </c>
      <c r="F63" s="224"/>
      <c r="G63" s="217">
        <v>9</v>
      </c>
      <c r="H63" s="217"/>
      <c r="I63" s="217">
        <f>G63+H63</f>
        <v>9</v>
      </c>
      <c r="J63" s="217">
        <f>(D63*2)/24</f>
        <v>0.33333333333333331</v>
      </c>
      <c r="K63" s="217">
        <f>C63*I63*J63</f>
        <v>6</v>
      </c>
      <c r="L63" s="219">
        <f>K63/2204</f>
        <v>2.7223230490018148E-3</v>
      </c>
    </row>
    <row r="64" spans="1:12" ht="46.5" x14ac:dyDescent="0.65">
      <c r="A64" s="214"/>
      <c r="B64" s="217" t="s">
        <v>484</v>
      </c>
      <c r="C64" s="217">
        <v>2</v>
      </c>
      <c r="D64" s="217">
        <v>4</v>
      </c>
      <c r="E64" s="217">
        <v>0.5</v>
      </c>
      <c r="F64" s="218"/>
      <c r="G64" s="217">
        <v>14.25</v>
      </c>
      <c r="H64" s="217">
        <f>(12*E64*2)/12</f>
        <v>1</v>
      </c>
      <c r="I64" s="217">
        <f>G64+H64</f>
        <v>15.25</v>
      </c>
      <c r="J64" s="217">
        <f>(D64*2)/24</f>
        <v>0.33333333333333331</v>
      </c>
      <c r="K64" s="217">
        <f>C64*I64*J64</f>
        <v>10.166666666666666</v>
      </c>
      <c r="L64" s="219">
        <f>K64/2204</f>
        <v>4.6128251663641864E-3</v>
      </c>
    </row>
    <row r="65" spans="1:12" ht="92.25" x14ac:dyDescent="1.3">
      <c r="A65" s="214"/>
      <c r="B65" s="217" t="s">
        <v>486</v>
      </c>
      <c r="C65" s="217">
        <v>28</v>
      </c>
      <c r="D65" s="217">
        <v>3</v>
      </c>
      <c r="E65" s="217">
        <f>D65/8</f>
        <v>0.375</v>
      </c>
      <c r="F65" s="220"/>
      <c r="G65" s="217">
        <v>5.8333000000000004</v>
      </c>
      <c r="H65" s="217">
        <f>(12*E65*2)/12</f>
        <v>0.75</v>
      </c>
      <c r="I65" s="217">
        <f>G65+H65</f>
        <v>6.5833000000000004</v>
      </c>
      <c r="J65" s="217">
        <f>(D65*2)/24</f>
        <v>0.25</v>
      </c>
      <c r="K65" s="217">
        <f>C65*I65*J65</f>
        <v>46.083100000000002</v>
      </c>
      <c r="L65" s="219">
        <f>K65/2204</f>
        <v>2.0908847549909258E-2</v>
      </c>
    </row>
    <row r="66" spans="1:12" x14ac:dyDescent="0.2">
      <c r="A66" s="214"/>
      <c r="B66" s="221" t="s">
        <v>126</v>
      </c>
      <c r="C66" s="217"/>
      <c r="D66" s="217"/>
      <c r="E66" s="217"/>
      <c r="F66" s="217"/>
      <c r="G66" s="217"/>
      <c r="H66" s="217"/>
      <c r="I66" s="217"/>
      <c r="J66" s="217"/>
      <c r="K66" s="222">
        <f>SUM(K62:K65)</f>
        <v>72.41643333333333</v>
      </c>
      <c r="L66" s="223">
        <f>SUM(L62:L65)</f>
        <v>3.2856820931639441E-2</v>
      </c>
    </row>
    <row r="67" spans="1:12" x14ac:dyDescent="0.2">
      <c r="A67" s="214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6"/>
    </row>
    <row r="68" spans="1:12" x14ac:dyDescent="0.2">
      <c r="A68" s="214" t="s">
        <v>474</v>
      </c>
      <c r="B68" s="215" t="s">
        <v>965</v>
      </c>
      <c r="C68" s="215"/>
      <c r="D68" s="215"/>
      <c r="E68" s="215"/>
      <c r="F68" s="215"/>
      <c r="G68" s="215"/>
      <c r="H68" s="215"/>
      <c r="I68" s="215"/>
      <c r="J68" s="215"/>
      <c r="K68" s="215"/>
      <c r="L68" s="216"/>
    </row>
    <row r="69" spans="1:12" ht="46.5" x14ac:dyDescent="0.65">
      <c r="A69" s="214"/>
      <c r="B69" s="217" t="s">
        <v>482</v>
      </c>
      <c r="C69" s="217">
        <v>2</v>
      </c>
      <c r="D69" s="217">
        <v>4</v>
      </c>
      <c r="E69" s="217">
        <v>0.5</v>
      </c>
      <c r="F69" s="218"/>
      <c r="G69" s="217">
        <v>16.75</v>
      </c>
      <c r="H69" s="217">
        <f>(12*E69*2)/12</f>
        <v>1</v>
      </c>
      <c r="I69" s="217">
        <f>G69+H69</f>
        <v>17.75</v>
      </c>
      <c r="J69" s="217">
        <f>(D69*2)/24</f>
        <v>0.33333333333333331</v>
      </c>
      <c r="K69" s="217">
        <f>C69*I69*J69</f>
        <v>11.833333333333332</v>
      </c>
      <c r="L69" s="219">
        <f>K69/2204</f>
        <v>5.369026013309134E-3</v>
      </c>
    </row>
    <row r="70" spans="1:12" ht="46.5" x14ac:dyDescent="0.65">
      <c r="A70" s="214"/>
      <c r="B70" s="217" t="s">
        <v>484</v>
      </c>
      <c r="C70" s="217">
        <v>2</v>
      </c>
      <c r="D70" s="217">
        <v>4</v>
      </c>
      <c r="E70" s="217">
        <v>0.5</v>
      </c>
      <c r="F70" s="218"/>
      <c r="G70" s="217">
        <v>16.75</v>
      </c>
      <c r="H70" s="217">
        <f>(12*E70*2)/12</f>
        <v>1</v>
      </c>
      <c r="I70" s="217">
        <f>G70+H70</f>
        <v>17.75</v>
      </c>
      <c r="J70" s="217">
        <f>(D70*2)/24</f>
        <v>0.33333333333333331</v>
      </c>
      <c r="K70" s="217">
        <f>C70*I70*J70</f>
        <v>11.833333333333332</v>
      </c>
      <c r="L70" s="219">
        <f>K70/2204</f>
        <v>5.369026013309134E-3</v>
      </c>
    </row>
    <row r="71" spans="1:12" ht="92.25" x14ac:dyDescent="1.3">
      <c r="A71" s="214"/>
      <c r="B71" s="217" t="s">
        <v>486</v>
      </c>
      <c r="C71" s="217">
        <v>31</v>
      </c>
      <c r="D71" s="217">
        <v>3</v>
      </c>
      <c r="E71" s="217">
        <f>D71/8</f>
        <v>0.375</v>
      </c>
      <c r="F71" s="220"/>
      <c r="G71" s="217">
        <v>5.8333000000000004</v>
      </c>
      <c r="H71" s="217">
        <f>(12*E71*2)/12</f>
        <v>0.75</v>
      </c>
      <c r="I71" s="217">
        <f>G71+H71</f>
        <v>6.5833000000000004</v>
      </c>
      <c r="J71" s="217">
        <f>(D71*2)/24</f>
        <v>0.25</v>
      </c>
      <c r="K71" s="217">
        <f>C71*I71*J71</f>
        <v>51.020575000000001</v>
      </c>
      <c r="L71" s="219">
        <f>K71/2204</f>
        <v>2.3149081215970962E-2</v>
      </c>
    </row>
    <row r="72" spans="1:12" x14ac:dyDescent="0.2">
      <c r="A72" s="214"/>
      <c r="B72" s="221" t="s">
        <v>126</v>
      </c>
      <c r="C72" s="217"/>
      <c r="D72" s="217"/>
      <c r="E72" s="217"/>
      <c r="F72" s="217"/>
      <c r="G72" s="217"/>
      <c r="H72" s="217"/>
      <c r="I72" s="217"/>
      <c r="J72" s="217"/>
      <c r="K72" s="222">
        <f>SUM(K69:K71)</f>
        <v>74.687241666666665</v>
      </c>
      <c r="L72" s="223">
        <f>SUM(L69:L71)</f>
        <v>3.3887133242589226E-2</v>
      </c>
    </row>
    <row r="73" spans="1:12" x14ac:dyDescent="0.2">
      <c r="A73" s="214"/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6"/>
    </row>
    <row r="74" spans="1:12" x14ac:dyDescent="0.2">
      <c r="A74" s="214" t="s">
        <v>466</v>
      </c>
      <c r="B74" s="215" t="s">
        <v>964</v>
      </c>
      <c r="C74" s="215"/>
      <c r="D74" s="215"/>
      <c r="E74" s="215"/>
      <c r="F74" s="215"/>
      <c r="G74" s="215"/>
      <c r="H74" s="215"/>
      <c r="I74" s="215"/>
      <c r="J74" s="215"/>
      <c r="K74" s="215"/>
      <c r="L74" s="216"/>
    </row>
    <row r="75" spans="1:12" ht="46.5" x14ac:dyDescent="0.65">
      <c r="A75" s="214"/>
      <c r="B75" s="217" t="s">
        <v>482</v>
      </c>
      <c r="C75" s="217">
        <v>2</v>
      </c>
      <c r="D75" s="217">
        <v>4</v>
      </c>
      <c r="E75" s="217">
        <v>0.5</v>
      </c>
      <c r="F75" s="218"/>
      <c r="G75" s="217">
        <v>14.25</v>
      </c>
      <c r="H75" s="217">
        <f>(12*E75*2)/12</f>
        <v>1</v>
      </c>
      <c r="I75" s="217">
        <f>G75+H75</f>
        <v>15.25</v>
      </c>
      <c r="J75" s="217">
        <f>(D75*2)/24</f>
        <v>0.33333333333333331</v>
      </c>
      <c r="K75" s="217">
        <f>C75*I75*J75</f>
        <v>10.166666666666666</v>
      </c>
      <c r="L75" s="219">
        <f>K75/2204</f>
        <v>4.6128251663641864E-3</v>
      </c>
    </row>
    <row r="76" spans="1:12" ht="46.5" x14ac:dyDescent="0.65">
      <c r="A76" s="214"/>
      <c r="B76" s="217" t="s">
        <v>484</v>
      </c>
      <c r="C76" s="217">
        <v>2</v>
      </c>
      <c r="D76" s="217">
        <v>4</v>
      </c>
      <c r="E76" s="217">
        <v>0.5</v>
      </c>
      <c r="F76" s="218"/>
      <c r="G76" s="217">
        <v>14.25</v>
      </c>
      <c r="H76" s="217">
        <f>(12*E76*2)/12</f>
        <v>1</v>
      </c>
      <c r="I76" s="217">
        <f>G76+H76</f>
        <v>15.25</v>
      </c>
      <c r="J76" s="217">
        <f>(D76*2)/24</f>
        <v>0.33333333333333331</v>
      </c>
      <c r="K76" s="217">
        <f>C76*I76*J76</f>
        <v>10.166666666666666</v>
      </c>
      <c r="L76" s="219">
        <f>K76/2204</f>
        <v>4.6128251663641864E-3</v>
      </c>
    </row>
    <row r="77" spans="1:12" ht="92.25" x14ac:dyDescent="1.3">
      <c r="A77" s="214"/>
      <c r="B77" s="217" t="s">
        <v>486</v>
      </c>
      <c r="C77" s="217">
        <v>28</v>
      </c>
      <c r="D77" s="217">
        <v>3</v>
      </c>
      <c r="E77" s="217">
        <f>D77/8</f>
        <v>0.375</v>
      </c>
      <c r="F77" s="220"/>
      <c r="G77" s="217">
        <v>5.8333000000000004</v>
      </c>
      <c r="H77" s="217">
        <f>(12*E77*2)/12</f>
        <v>0.75</v>
      </c>
      <c r="I77" s="217">
        <f>G77+H77</f>
        <v>6.5833000000000004</v>
      </c>
      <c r="J77" s="217">
        <f>(D77*2)/24</f>
        <v>0.25</v>
      </c>
      <c r="K77" s="217">
        <f>C77*I77*J77</f>
        <v>46.083100000000002</v>
      </c>
      <c r="L77" s="219">
        <f>K77/2204</f>
        <v>2.0908847549909258E-2</v>
      </c>
    </row>
    <row r="78" spans="1:12" x14ac:dyDescent="0.2">
      <c r="A78" s="214"/>
      <c r="B78" s="221" t="s">
        <v>126</v>
      </c>
      <c r="C78" s="217"/>
      <c r="D78" s="217"/>
      <c r="E78" s="217"/>
      <c r="F78" s="217"/>
      <c r="G78" s="217"/>
      <c r="H78" s="217"/>
      <c r="I78" s="217"/>
      <c r="J78" s="217"/>
      <c r="K78" s="222">
        <f>SUM(K75:K77)</f>
        <v>66.41643333333333</v>
      </c>
      <c r="L78" s="223">
        <f>SUM(L75:L77)</f>
        <v>3.0134497882637633E-2</v>
      </c>
    </row>
    <row r="79" spans="1:12" x14ac:dyDescent="0.2">
      <c r="A79" s="214"/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6"/>
    </row>
    <row r="80" spans="1:12" x14ac:dyDescent="0.2">
      <c r="A80" s="214" t="s">
        <v>473</v>
      </c>
      <c r="B80" s="215" t="s">
        <v>963</v>
      </c>
      <c r="C80" s="215"/>
      <c r="D80" s="215"/>
      <c r="E80" s="215"/>
      <c r="F80" s="215"/>
      <c r="G80" s="215"/>
      <c r="H80" s="215"/>
      <c r="I80" s="215"/>
      <c r="J80" s="215"/>
      <c r="K80" s="215"/>
      <c r="L80" s="216"/>
    </row>
    <row r="81" spans="1:12" ht="46.5" x14ac:dyDescent="0.65">
      <c r="A81" s="214"/>
      <c r="B81" s="217" t="s">
        <v>482</v>
      </c>
      <c r="C81" s="217">
        <v>2</v>
      </c>
      <c r="D81" s="217">
        <v>4</v>
      </c>
      <c r="E81" s="217">
        <v>0.5</v>
      </c>
      <c r="F81" s="218"/>
      <c r="G81" s="217">
        <v>9.0832999999999995</v>
      </c>
      <c r="H81" s="217">
        <f>(12*E81*2)/12</f>
        <v>1</v>
      </c>
      <c r="I81" s="217">
        <f>G81+H81</f>
        <v>10.083299999999999</v>
      </c>
      <c r="J81" s="217">
        <f>(D81*2)/24</f>
        <v>0.33333333333333331</v>
      </c>
      <c r="K81" s="217">
        <f>C81*I81*J81</f>
        <v>6.7221999999999991</v>
      </c>
      <c r="L81" s="219">
        <f>K81/2204</f>
        <v>3.0499999999999998E-3</v>
      </c>
    </row>
    <row r="82" spans="1:12" ht="46.5" x14ac:dyDescent="0.65">
      <c r="A82" s="214"/>
      <c r="B82" s="217" t="s">
        <v>484</v>
      </c>
      <c r="C82" s="217">
        <v>2</v>
      </c>
      <c r="D82" s="217">
        <v>4</v>
      </c>
      <c r="E82" s="217">
        <v>0.5</v>
      </c>
      <c r="F82" s="218"/>
      <c r="G82" s="217">
        <v>9.0832999999999995</v>
      </c>
      <c r="H82" s="217">
        <f>(12*E82*2)/12</f>
        <v>1</v>
      </c>
      <c r="I82" s="217">
        <f>G82+H82</f>
        <v>10.083299999999999</v>
      </c>
      <c r="J82" s="217">
        <f>(D82*2)/24</f>
        <v>0.33333333333333331</v>
      </c>
      <c r="K82" s="217">
        <f>C82*I82*J82</f>
        <v>6.7221999999999991</v>
      </c>
      <c r="L82" s="219">
        <f>K82/2204</f>
        <v>3.0499999999999998E-3</v>
      </c>
    </row>
    <row r="83" spans="1:12" ht="92.25" x14ac:dyDescent="1.3">
      <c r="A83" s="214"/>
      <c r="B83" s="217" t="s">
        <v>486</v>
      </c>
      <c r="C83" s="217">
        <v>19</v>
      </c>
      <c r="D83" s="217">
        <v>3</v>
      </c>
      <c r="E83" s="217">
        <f>D83/8</f>
        <v>0.375</v>
      </c>
      <c r="F83" s="220"/>
      <c r="G83" s="217">
        <v>5.8333000000000004</v>
      </c>
      <c r="H83" s="217">
        <f>(12*E83*2)/12</f>
        <v>0.75</v>
      </c>
      <c r="I83" s="217">
        <f>G83+H83</f>
        <v>6.5833000000000004</v>
      </c>
      <c r="J83" s="217">
        <f>(D83*2)/24</f>
        <v>0.25</v>
      </c>
      <c r="K83" s="217">
        <f>C83*I83*J83</f>
        <v>31.270675000000001</v>
      </c>
      <c r="L83" s="219">
        <f>K83/2204</f>
        <v>1.4188146551724139E-2</v>
      </c>
    </row>
    <row r="84" spans="1:12" x14ac:dyDescent="0.2">
      <c r="A84" s="214"/>
      <c r="B84" s="221" t="s">
        <v>126</v>
      </c>
      <c r="C84" s="217"/>
      <c r="D84" s="217"/>
      <c r="E84" s="217"/>
      <c r="F84" s="217"/>
      <c r="G84" s="217"/>
      <c r="H84" s="217"/>
      <c r="I84" s="217"/>
      <c r="J84" s="217"/>
      <c r="K84" s="222">
        <f>SUM(K81:K83)</f>
        <v>44.715074999999999</v>
      </c>
      <c r="L84" s="223">
        <f>SUM(L81:L83)</f>
        <v>2.0288146551724139E-2</v>
      </c>
    </row>
    <row r="85" spans="1:12" x14ac:dyDescent="0.2">
      <c r="A85" s="214"/>
      <c r="B85" s="215"/>
      <c r="C85" s="215"/>
      <c r="D85" s="215"/>
      <c r="E85" s="215"/>
      <c r="F85" s="215"/>
      <c r="G85" s="215"/>
      <c r="H85" s="215"/>
      <c r="I85" s="215"/>
      <c r="J85" s="215"/>
      <c r="K85" s="215"/>
      <c r="L85" s="216"/>
    </row>
    <row r="86" spans="1:12" x14ac:dyDescent="0.2">
      <c r="A86" s="214" t="s">
        <v>472</v>
      </c>
      <c r="B86" s="215" t="s">
        <v>962</v>
      </c>
      <c r="C86" s="215"/>
      <c r="D86" s="215"/>
      <c r="E86" s="215"/>
      <c r="F86" s="215"/>
      <c r="G86" s="215"/>
      <c r="H86" s="215"/>
      <c r="I86" s="215"/>
      <c r="J86" s="215"/>
      <c r="K86" s="215"/>
      <c r="L86" s="216"/>
    </row>
    <row r="87" spans="1:12" ht="46.5" x14ac:dyDescent="0.65">
      <c r="A87" s="214"/>
      <c r="B87" s="217" t="s">
        <v>482</v>
      </c>
      <c r="C87" s="217">
        <v>2</v>
      </c>
      <c r="D87" s="217">
        <v>4</v>
      </c>
      <c r="E87" s="217">
        <v>0.5</v>
      </c>
      <c r="F87" s="218"/>
      <c r="G87" s="217">
        <v>10.6167</v>
      </c>
      <c r="H87" s="217">
        <f>(12*E87*2)/12</f>
        <v>1</v>
      </c>
      <c r="I87" s="217">
        <f>G87+H87</f>
        <v>11.6167</v>
      </c>
      <c r="J87" s="217">
        <f>(D87*2)/24</f>
        <v>0.33333333333333331</v>
      </c>
      <c r="K87" s="217">
        <f>C87*I87*J87</f>
        <v>7.7444666666666659</v>
      </c>
      <c r="L87" s="219">
        <f>K87/2204</f>
        <v>3.5138233514821534E-3</v>
      </c>
    </row>
    <row r="88" spans="1:12" ht="46.5" x14ac:dyDescent="0.65">
      <c r="A88" s="214"/>
      <c r="B88" s="217" t="s">
        <v>484</v>
      </c>
      <c r="C88" s="217">
        <v>2</v>
      </c>
      <c r="D88" s="217">
        <v>4</v>
      </c>
      <c r="E88" s="217">
        <v>0.5</v>
      </c>
      <c r="F88" s="218"/>
      <c r="G88" s="217">
        <v>10.6167</v>
      </c>
      <c r="H88" s="217">
        <f>(12*E88*2)/12</f>
        <v>1</v>
      </c>
      <c r="I88" s="217">
        <f>G88+H88</f>
        <v>11.6167</v>
      </c>
      <c r="J88" s="217">
        <f>(D88*2)/24</f>
        <v>0.33333333333333331</v>
      </c>
      <c r="K88" s="217">
        <f>C88*I88*J88</f>
        <v>7.7444666666666659</v>
      </c>
      <c r="L88" s="219">
        <f>K88/2204</f>
        <v>3.5138233514821534E-3</v>
      </c>
    </row>
    <row r="89" spans="1:12" ht="92.25" x14ac:dyDescent="1.3">
      <c r="A89" s="214"/>
      <c r="B89" s="217" t="s">
        <v>486</v>
      </c>
      <c r="C89" s="217">
        <v>19</v>
      </c>
      <c r="D89" s="217">
        <v>3</v>
      </c>
      <c r="E89" s="217">
        <f>D89/8</f>
        <v>0.375</v>
      </c>
      <c r="F89" s="220"/>
      <c r="G89" s="217">
        <v>5.8333000000000004</v>
      </c>
      <c r="H89" s="217">
        <f>(12*E89*2)/12</f>
        <v>0.75</v>
      </c>
      <c r="I89" s="217">
        <f>G89+H89</f>
        <v>6.5833000000000004</v>
      </c>
      <c r="J89" s="217">
        <f>(D89*2)/24</f>
        <v>0.25</v>
      </c>
      <c r="K89" s="217">
        <f>C89*I89*J89</f>
        <v>31.270675000000001</v>
      </c>
      <c r="L89" s="219">
        <f>K89/2204</f>
        <v>1.4188146551724139E-2</v>
      </c>
    </row>
    <row r="90" spans="1:12" x14ac:dyDescent="0.2">
      <c r="A90" s="214"/>
      <c r="B90" s="221" t="s">
        <v>126</v>
      </c>
      <c r="C90" s="217"/>
      <c r="D90" s="217"/>
      <c r="E90" s="217"/>
      <c r="F90" s="217"/>
      <c r="G90" s="217"/>
      <c r="H90" s="217"/>
      <c r="I90" s="217"/>
      <c r="J90" s="217"/>
      <c r="K90" s="222">
        <f>SUM(K87:K89)</f>
        <v>46.759608333333333</v>
      </c>
      <c r="L90" s="223">
        <f>SUM(L87:L89)</f>
        <v>2.1215793254688448E-2</v>
      </c>
    </row>
    <row r="91" spans="1:12" x14ac:dyDescent="0.2">
      <c r="A91" s="214"/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6"/>
    </row>
    <row r="92" spans="1:12" x14ac:dyDescent="0.2">
      <c r="A92" s="214" t="s">
        <v>553</v>
      </c>
      <c r="B92" s="215" t="s">
        <v>961</v>
      </c>
      <c r="C92" s="215"/>
      <c r="D92" s="215"/>
      <c r="E92" s="215"/>
      <c r="F92" s="215"/>
      <c r="G92" s="215"/>
      <c r="H92" s="215"/>
      <c r="I92" s="215"/>
      <c r="J92" s="215"/>
      <c r="K92" s="215"/>
      <c r="L92" s="216"/>
    </row>
    <row r="93" spans="1:12" ht="46.5" x14ac:dyDescent="0.65">
      <c r="A93" s="214"/>
      <c r="B93" s="217" t="s">
        <v>551</v>
      </c>
      <c r="C93" s="217"/>
      <c r="D93" s="217"/>
      <c r="E93" s="217"/>
      <c r="F93" s="218"/>
      <c r="G93" s="217"/>
      <c r="H93" s="217"/>
      <c r="I93" s="217"/>
      <c r="J93" s="217"/>
      <c r="K93" s="217"/>
      <c r="L93" s="219"/>
    </row>
    <row r="94" spans="1:12" ht="46.5" x14ac:dyDescent="0.65">
      <c r="A94" s="214"/>
      <c r="B94" s="217" t="s">
        <v>482</v>
      </c>
      <c r="C94" s="217">
        <v>2</v>
      </c>
      <c r="D94" s="217">
        <v>4</v>
      </c>
      <c r="E94" s="217">
        <v>0.5</v>
      </c>
      <c r="F94" s="218"/>
      <c r="G94" s="217">
        <v>4.75</v>
      </c>
      <c r="H94" s="217">
        <f>(12*E94*2)/12</f>
        <v>1</v>
      </c>
      <c r="I94" s="217">
        <f>G94+H94</f>
        <v>5.75</v>
      </c>
      <c r="J94" s="217">
        <f>(D94*2)/24</f>
        <v>0.33333333333333331</v>
      </c>
      <c r="K94" s="217">
        <f>C94*I94*J94</f>
        <v>3.833333333333333</v>
      </c>
      <c r="L94" s="219">
        <f>K94/2204</f>
        <v>1.7392619479733816E-3</v>
      </c>
    </row>
    <row r="95" spans="1:12" ht="23.25" x14ac:dyDescent="0.2">
      <c r="A95" s="214"/>
      <c r="B95" s="217" t="s">
        <v>483</v>
      </c>
      <c r="C95" s="217">
        <v>2</v>
      </c>
      <c r="D95" s="217">
        <v>4</v>
      </c>
      <c r="E95" s="217">
        <v>0.5</v>
      </c>
      <c r="F95" s="224"/>
      <c r="G95" s="217">
        <v>3.1667000000000001</v>
      </c>
      <c r="H95" s="217"/>
      <c r="I95" s="217">
        <f>G95+H95</f>
        <v>3.1667000000000001</v>
      </c>
      <c r="J95" s="217">
        <f>(D95*2)/24</f>
        <v>0.33333333333333331</v>
      </c>
      <c r="K95" s="217">
        <f>C95*I95*J95</f>
        <v>2.1111333333333331</v>
      </c>
      <c r="L95" s="219">
        <f>K95/2204</f>
        <v>9.578644888082274E-4</v>
      </c>
    </row>
    <row r="96" spans="1:12" ht="46.5" x14ac:dyDescent="0.65">
      <c r="A96" s="214"/>
      <c r="B96" s="217" t="s">
        <v>484</v>
      </c>
      <c r="C96" s="217">
        <v>2</v>
      </c>
      <c r="D96" s="217">
        <v>4</v>
      </c>
      <c r="E96" s="217">
        <v>0.5</v>
      </c>
      <c r="F96" s="218"/>
      <c r="G96" s="217">
        <v>4.75</v>
      </c>
      <c r="H96" s="217">
        <f>(12*E96*2)/12</f>
        <v>1</v>
      </c>
      <c r="I96" s="217">
        <f>G96+H96</f>
        <v>5.75</v>
      </c>
      <c r="J96" s="217">
        <f>(D96*2)/24</f>
        <v>0.33333333333333331</v>
      </c>
      <c r="K96" s="217">
        <f>C96*I96*J96</f>
        <v>3.833333333333333</v>
      </c>
      <c r="L96" s="219">
        <f>K96/2204</f>
        <v>1.7392619479733816E-3</v>
      </c>
    </row>
    <row r="97" spans="1:12" ht="46.5" x14ac:dyDescent="0.2">
      <c r="A97" s="214"/>
      <c r="B97" s="217" t="s">
        <v>511</v>
      </c>
      <c r="C97" s="217">
        <v>2</v>
      </c>
      <c r="D97" s="217">
        <v>4</v>
      </c>
      <c r="E97" s="217">
        <v>0.5</v>
      </c>
      <c r="F97" s="225"/>
      <c r="G97" s="217">
        <v>5</v>
      </c>
      <c r="H97" s="217">
        <f>(12*E96*2)/12</f>
        <v>1</v>
      </c>
      <c r="I97" s="217">
        <f>G97+H97</f>
        <v>6</v>
      </c>
      <c r="J97" s="217">
        <f>(D97*2)/24</f>
        <v>0.33333333333333331</v>
      </c>
      <c r="K97" s="217">
        <f>C97*I97*J97</f>
        <v>4</v>
      </c>
      <c r="L97" s="219">
        <f>K97/2204</f>
        <v>1.8148820326678765E-3</v>
      </c>
    </row>
    <row r="98" spans="1:12" ht="92.25" x14ac:dyDescent="1.3">
      <c r="A98" s="214"/>
      <c r="B98" s="217" t="s">
        <v>486</v>
      </c>
      <c r="C98" s="217">
        <v>10</v>
      </c>
      <c r="D98" s="217">
        <v>3</v>
      </c>
      <c r="E98" s="217">
        <f>D98/8</f>
        <v>0.375</v>
      </c>
      <c r="F98" s="220"/>
      <c r="G98" s="217">
        <v>4.3330000000000002</v>
      </c>
      <c r="H98" s="217">
        <f>(12*E98*2)/12</f>
        <v>0.75</v>
      </c>
      <c r="I98" s="217">
        <f>G98+H98</f>
        <v>5.0830000000000002</v>
      </c>
      <c r="J98" s="217">
        <f>(D98*2)/24</f>
        <v>0.25</v>
      </c>
      <c r="K98" s="217">
        <f>C98*I98*J98</f>
        <v>12.7075</v>
      </c>
      <c r="L98" s="219">
        <f>K98/2204</f>
        <v>5.7656533575317602E-3</v>
      </c>
    </row>
    <row r="99" spans="1:12" x14ac:dyDescent="0.2">
      <c r="A99" s="214"/>
      <c r="B99" s="221" t="s">
        <v>126</v>
      </c>
      <c r="C99" s="217"/>
      <c r="D99" s="217"/>
      <c r="E99" s="217"/>
      <c r="F99" s="217"/>
      <c r="G99" s="217"/>
      <c r="H99" s="217"/>
      <c r="I99" s="217"/>
      <c r="J99" s="217"/>
      <c r="K99" s="222">
        <f>SUM(K94:K98)</f>
        <v>26.485299999999999</v>
      </c>
      <c r="L99" s="223">
        <f>SUM(L94:L98)</f>
        <v>1.2016923774954627E-2</v>
      </c>
    </row>
    <row r="100" spans="1:12" x14ac:dyDescent="0.2">
      <c r="A100" s="214"/>
      <c r="B100" s="226" t="s">
        <v>551</v>
      </c>
      <c r="C100" s="215"/>
      <c r="D100" s="215"/>
      <c r="E100" s="215"/>
      <c r="F100" s="215"/>
      <c r="G100" s="215"/>
      <c r="H100" s="215"/>
      <c r="I100" s="215"/>
      <c r="J100" s="215"/>
      <c r="K100" s="215"/>
      <c r="L100" s="216"/>
    </row>
    <row r="101" spans="1:12" ht="46.5" x14ac:dyDescent="0.65">
      <c r="A101" s="214"/>
      <c r="B101" s="217" t="s">
        <v>482</v>
      </c>
      <c r="C101" s="217">
        <v>2</v>
      </c>
      <c r="D101" s="217">
        <v>4</v>
      </c>
      <c r="E101" s="217">
        <v>0.5</v>
      </c>
      <c r="F101" s="218"/>
      <c r="G101" s="217">
        <v>16.25</v>
      </c>
      <c r="H101" s="217">
        <f>(12*E101*2)/12</f>
        <v>1</v>
      </c>
      <c r="I101" s="217">
        <f>G101+H101</f>
        <v>17.25</v>
      </c>
      <c r="J101" s="217">
        <f>(D101*2)/24</f>
        <v>0.33333333333333331</v>
      </c>
      <c r="K101" s="217">
        <f>C101*I101*J101</f>
        <v>11.5</v>
      </c>
      <c r="L101" s="219">
        <f>K101/2204</f>
        <v>5.2177858439201455E-3</v>
      </c>
    </row>
    <row r="102" spans="1:12" ht="23.25" x14ac:dyDescent="0.2">
      <c r="A102" s="214"/>
      <c r="B102" s="217" t="s">
        <v>483</v>
      </c>
      <c r="C102" s="217">
        <v>2</v>
      </c>
      <c r="D102" s="217">
        <v>4</v>
      </c>
      <c r="E102" s="217">
        <v>0.5</v>
      </c>
      <c r="F102" s="224"/>
      <c r="G102" s="217">
        <v>10.667</v>
      </c>
      <c r="H102" s="217"/>
      <c r="I102" s="217">
        <f>G102+H102</f>
        <v>10.667</v>
      </c>
      <c r="J102" s="217">
        <f>(D102*2)/24</f>
        <v>0.33333333333333331</v>
      </c>
      <c r="K102" s="217">
        <f>C102*I102*J102</f>
        <v>7.1113333333333326</v>
      </c>
      <c r="L102" s="219">
        <f>K102/2204</f>
        <v>3.2265577737447064E-3</v>
      </c>
    </row>
    <row r="103" spans="1:12" ht="46.5" x14ac:dyDescent="0.65">
      <c r="A103" s="214"/>
      <c r="B103" s="217" t="s">
        <v>484</v>
      </c>
      <c r="C103" s="217">
        <v>2</v>
      </c>
      <c r="D103" s="217">
        <v>4</v>
      </c>
      <c r="E103" s="217">
        <v>0.5</v>
      </c>
      <c r="F103" s="218"/>
      <c r="G103" s="217">
        <v>16.25</v>
      </c>
      <c r="H103" s="217">
        <f>(12*E103*2)/12</f>
        <v>1</v>
      </c>
      <c r="I103" s="217">
        <f>G103+H103</f>
        <v>17.25</v>
      </c>
      <c r="J103" s="217">
        <f>(D103*2)/24</f>
        <v>0.33333333333333331</v>
      </c>
      <c r="K103" s="217">
        <f>C103*I103*J103</f>
        <v>11.5</v>
      </c>
      <c r="L103" s="219">
        <f>K103/2204</f>
        <v>5.2177858439201455E-3</v>
      </c>
    </row>
    <row r="104" spans="1:12" ht="46.5" x14ac:dyDescent="0.2">
      <c r="A104" s="214"/>
      <c r="B104" s="217" t="s">
        <v>511</v>
      </c>
      <c r="C104" s="217">
        <v>2</v>
      </c>
      <c r="D104" s="217">
        <v>4</v>
      </c>
      <c r="E104" s="217">
        <v>0.5</v>
      </c>
      <c r="F104" s="225"/>
      <c r="G104" s="217">
        <v>4</v>
      </c>
      <c r="H104" s="217">
        <f>(12*E103*2)/12</f>
        <v>1</v>
      </c>
      <c r="I104" s="217">
        <f>G104+H104</f>
        <v>5</v>
      </c>
      <c r="J104" s="217">
        <f>(D104*2)/24</f>
        <v>0.33333333333333331</v>
      </c>
      <c r="K104" s="217">
        <f>C104*I104*J104</f>
        <v>3.333333333333333</v>
      </c>
      <c r="L104" s="219">
        <f>K104/2204</f>
        <v>1.512401693889897E-3</v>
      </c>
    </row>
    <row r="105" spans="1:12" ht="92.25" x14ac:dyDescent="1.3">
      <c r="A105" s="214"/>
      <c r="B105" s="217" t="s">
        <v>486</v>
      </c>
      <c r="C105" s="217">
        <v>10</v>
      </c>
      <c r="D105" s="217">
        <v>3</v>
      </c>
      <c r="E105" s="217">
        <f>D105/8</f>
        <v>0.375</v>
      </c>
      <c r="F105" s="220"/>
      <c r="G105" s="217">
        <v>4.3330000000000002</v>
      </c>
      <c r="H105" s="217">
        <f>(12*E105*2)/12</f>
        <v>0.75</v>
      </c>
      <c r="I105" s="217">
        <f>G105+H105</f>
        <v>5.0830000000000002</v>
      </c>
      <c r="J105" s="217">
        <f>(D105*2)/24</f>
        <v>0.25</v>
      </c>
      <c r="K105" s="217">
        <f>C105*I105*J105</f>
        <v>12.7075</v>
      </c>
      <c r="L105" s="219">
        <f>K105/2204</f>
        <v>5.7656533575317602E-3</v>
      </c>
    </row>
    <row r="106" spans="1:12" x14ac:dyDescent="0.2">
      <c r="A106" s="214"/>
      <c r="B106" s="221" t="s">
        <v>126</v>
      </c>
      <c r="C106" s="217"/>
      <c r="D106" s="217"/>
      <c r="E106" s="217"/>
      <c r="F106" s="217"/>
      <c r="G106" s="217"/>
      <c r="H106" s="217"/>
      <c r="I106" s="217"/>
      <c r="J106" s="217"/>
      <c r="K106" s="222">
        <f>SUM(K101:K105)</f>
        <v>46.152166666666673</v>
      </c>
      <c r="L106" s="223">
        <f>SUM(L101:L105)</f>
        <v>2.0940184513006655E-2</v>
      </c>
    </row>
    <row r="107" spans="1:12" x14ac:dyDescent="0.2">
      <c r="A107" s="214"/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6"/>
    </row>
    <row r="108" spans="1:12" x14ac:dyDescent="0.2">
      <c r="A108" s="214" t="s">
        <v>550</v>
      </c>
      <c r="B108" s="215" t="s">
        <v>960</v>
      </c>
      <c r="C108" s="215"/>
      <c r="D108" s="215"/>
      <c r="E108" s="215"/>
      <c r="F108" s="215"/>
      <c r="G108" s="215"/>
      <c r="H108" s="215"/>
      <c r="I108" s="215"/>
      <c r="J108" s="215"/>
      <c r="K108" s="215"/>
      <c r="L108" s="216"/>
    </row>
    <row r="109" spans="1:12" ht="46.5" x14ac:dyDescent="0.65">
      <c r="A109" s="214"/>
      <c r="B109" s="217" t="s">
        <v>548</v>
      </c>
      <c r="C109" s="217"/>
      <c r="D109" s="217"/>
      <c r="E109" s="217"/>
      <c r="F109" s="218"/>
      <c r="G109" s="217"/>
      <c r="H109" s="217"/>
      <c r="I109" s="217"/>
      <c r="J109" s="217"/>
      <c r="K109" s="217"/>
      <c r="L109" s="219"/>
    </row>
    <row r="110" spans="1:12" ht="46.5" x14ac:dyDescent="0.65">
      <c r="A110" s="214"/>
      <c r="B110" s="217" t="s">
        <v>482</v>
      </c>
      <c r="C110" s="217">
        <v>2</v>
      </c>
      <c r="D110" s="217">
        <v>5</v>
      </c>
      <c r="E110" s="217">
        <v>0.5</v>
      </c>
      <c r="F110" s="218"/>
      <c r="G110" s="217">
        <f>7.583+15</f>
        <v>22.582999999999998</v>
      </c>
      <c r="H110" s="217">
        <f>(12*E110*2)/12</f>
        <v>1</v>
      </c>
      <c r="I110" s="217">
        <f>G110+H110</f>
        <v>23.582999999999998</v>
      </c>
      <c r="J110" s="217">
        <f>(D110*2)/24</f>
        <v>0.41666666666666669</v>
      </c>
      <c r="K110" s="217">
        <f>C110*I110*J110</f>
        <v>19.6525</v>
      </c>
      <c r="L110" s="219">
        <f>K110/2204</f>
        <v>8.9167422867513606E-3</v>
      </c>
    </row>
    <row r="111" spans="1:12" ht="23.25" x14ac:dyDescent="0.2">
      <c r="A111" s="214"/>
      <c r="B111" s="217" t="s">
        <v>483</v>
      </c>
      <c r="C111" s="217">
        <v>2</v>
      </c>
      <c r="D111" s="217">
        <v>4</v>
      </c>
      <c r="E111" s="217">
        <v>0.5</v>
      </c>
      <c r="F111" s="224"/>
      <c r="G111" s="217">
        <f>5.05*2</f>
        <v>10.1</v>
      </c>
      <c r="H111" s="217"/>
      <c r="I111" s="217">
        <f>G111+H111</f>
        <v>10.1</v>
      </c>
      <c r="J111" s="217">
        <f>(D111*2)/24</f>
        <v>0.33333333333333331</v>
      </c>
      <c r="K111" s="217">
        <f>C111*I111*J111</f>
        <v>6.7333333333333325</v>
      </c>
      <c r="L111" s="219">
        <f>K111/2204</f>
        <v>3.0550514216575917E-3</v>
      </c>
    </row>
    <row r="112" spans="1:12" ht="46.5" x14ac:dyDescent="0.65">
      <c r="A112" s="214"/>
      <c r="B112" s="217" t="s">
        <v>484</v>
      </c>
      <c r="C112" s="217">
        <v>2</v>
      </c>
      <c r="D112" s="217">
        <v>5</v>
      </c>
      <c r="E112" s="217">
        <v>0.5</v>
      </c>
      <c r="F112" s="218"/>
      <c r="G112" s="217">
        <f>15+7.583</f>
        <v>22.582999999999998</v>
      </c>
      <c r="H112" s="217">
        <f>(12*E112*2)/12</f>
        <v>1</v>
      </c>
      <c r="I112" s="217">
        <f>G112+H112</f>
        <v>23.582999999999998</v>
      </c>
      <c r="J112" s="217">
        <f>(D112*2)/24</f>
        <v>0.41666666666666669</v>
      </c>
      <c r="K112" s="217">
        <f>C112*I112*J112</f>
        <v>19.6525</v>
      </c>
      <c r="L112" s="219">
        <f>K112/2204</f>
        <v>8.9167422867513606E-3</v>
      </c>
    </row>
    <row r="113" spans="1:12" ht="46.5" x14ac:dyDescent="0.2">
      <c r="A113" s="214"/>
      <c r="B113" s="217" t="s">
        <v>511</v>
      </c>
      <c r="C113" s="217">
        <v>2</v>
      </c>
      <c r="D113" s="217">
        <v>4</v>
      </c>
      <c r="E113" s="217">
        <v>0.5</v>
      </c>
      <c r="F113" s="225"/>
      <c r="G113" s="217">
        <f>3.79*2</f>
        <v>7.58</v>
      </c>
      <c r="H113" s="217">
        <f>(12*E112*2)/12</f>
        <v>1</v>
      </c>
      <c r="I113" s="217">
        <f>G113+H113</f>
        <v>8.58</v>
      </c>
      <c r="J113" s="217">
        <f>(D113*2)/24</f>
        <v>0.33333333333333331</v>
      </c>
      <c r="K113" s="217">
        <f>C113*I113*J113</f>
        <v>5.72</v>
      </c>
      <c r="L113" s="219">
        <f>K113/2204</f>
        <v>2.5952813067150636E-3</v>
      </c>
    </row>
    <row r="114" spans="1:12" ht="92.25" x14ac:dyDescent="1.3">
      <c r="A114" s="214"/>
      <c r="B114" s="217" t="s">
        <v>486</v>
      </c>
      <c r="C114" s="217">
        <v>40</v>
      </c>
      <c r="D114" s="217">
        <v>3</v>
      </c>
      <c r="E114" s="217">
        <f>D114/8</f>
        <v>0.375</v>
      </c>
      <c r="F114" s="220"/>
      <c r="G114" s="217">
        <v>4.8330000000000002</v>
      </c>
      <c r="H114" s="217">
        <f>(12*E114*2)/12</f>
        <v>0.75</v>
      </c>
      <c r="I114" s="217">
        <f>G114+H114</f>
        <v>5.5830000000000002</v>
      </c>
      <c r="J114" s="217">
        <f>(D114*2)/24</f>
        <v>0.25</v>
      </c>
      <c r="K114" s="217">
        <f>C114*I114*J114</f>
        <v>55.83</v>
      </c>
      <c r="L114" s="219">
        <f>K114/2204</f>
        <v>2.5331215970961888E-2</v>
      </c>
    </row>
    <row r="115" spans="1:12" x14ac:dyDescent="0.2">
      <c r="A115" s="214"/>
      <c r="B115" s="221" t="s">
        <v>126</v>
      </c>
      <c r="C115" s="217"/>
      <c r="D115" s="217"/>
      <c r="E115" s="217"/>
      <c r="F115" s="217"/>
      <c r="G115" s="217"/>
      <c r="H115" s="217"/>
      <c r="I115" s="217"/>
      <c r="J115" s="217"/>
      <c r="K115" s="222">
        <f>SUM(K110:K114)</f>
        <v>107.58833333333332</v>
      </c>
      <c r="L115" s="223">
        <f>SUM(L110:L114)</f>
        <v>4.8815033272837267E-2</v>
      </c>
    </row>
    <row r="116" spans="1:12" x14ac:dyDescent="0.2">
      <c r="A116" s="214"/>
      <c r="B116" s="215"/>
      <c r="C116" s="215"/>
      <c r="D116" s="215"/>
      <c r="E116" s="215"/>
      <c r="F116" s="215"/>
      <c r="G116" s="215"/>
      <c r="H116" s="215"/>
      <c r="I116" s="215"/>
      <c r="J116" s="215"/>
      <c r="K116" s="215"/>
      <c r="L116" s="216"/>
    </row>
    <row r="117" spans="1:12" x14ac:dyDescent="0.2">
      <c r="A117" s="214" t="s">
        <v>547</v>
      </c>
      <c r="B117" s="215" t="s">
        <v>959</v>
      </c>
      <c r="C117" s="215" t="s">
        <v>545</v>
      </c>
      <c r="D117" s="215"/>
      <c r="E117" s="215"/>
      <c r="F117" s="215"/>
      <c r="G117" s="215"/>
      <c r="H117" s="215"/>
      <c r="I117" s="215"/>
      <c r="J117" s="215"/>
      <c r="K117" s="215"/>
      <c r="L117" s="216"/>
    </row>
    <row r="118" spans="1:12" ht="46.5" x14ac:dyDescent="0.65">
      <c r="A118" s="214"/>
      <c r="B118" s="217" t="s">
        <v>482</v>
      </c>
      <c r="C118" s="217">
        <v>2</v>
      </c>
      <c r="D118" s="217">
        <v>4</v>
      </c>
      <c r="E118" s="217">
        <v>0.5</v>
      </c>
      <c r="F118" s="218"/>
      <c r="G118" s="217">
        <v>11.5</v>
      </c>
      <c r="H118" s="217">
        <f>(12*E118*2)/12</f>
        <v>1</v>
      </c>
      <c r="I118" s="217">
        <f>G118+H118</f>
        <v>12.5</v>
      </c>
      <c r="J118" s="217">
        <f>(D118*2)/24</f>
        <v>0.33333333333333331</v>
      </c>
      <c r="K118" s="217">
        <f>C118*I118*J118</f>
        <v>8.3333333333333321</v>
      </c>
      <c r="L118" s="219">
        <f>K118/2204</f>
        <v>3.7810042347247424E-3</v>
      </c>
    </row>
    <row r="119" spans="1:12" ht="46.5" x14ac:dyDescent="0.65">
      <c r="A119" s="214"/>
      <c r="B119" s="217" t="s">
        <v>484</v>
      </c>
      <c r="C119" s="217">
        <v>2</v>
      </c>
      <c r="D119" s="217">
        <v>4</v>
      </c>
      <c r="E119" s="217">
        <v>0.5</v>
      </c>
      <c r="F119" s="218"/>
      <c r="G119" s="217">
        <v>11.5</v>
      </c>
      <c r="H119" s="217">
        <f>(12*E119*2)/12</f>
        <v>1</v>
      </c>
      <c r="I119" s="217">
        <f>G119+H119</f>
        <v>12.5</v>
      </c>
      <c r="J119" s="217">
        <f>(D119*2)/24</f>
        <v>0.33333333333333331</v>
      </c>
      <c r="K119" s="217">
        <f>C119*I119*J119</f>
        <v>8.3333333333333321</v>
      </c>
      <c r="L119" s="219">
        <f>K119/2204</f>
        <v>3.7810042347247424E-3</v>
      </c>
    </row>
    <row r="120" spans="1:12" ht="92.25" x14ac:dyDescent="1.3">
      <c r="A120" s="214"/>
      <c r="B120" s="217" t="s">
        <v>486</v>
      </c>
      <c r="C120" s="217">
        <v>22</v>
      </c>
      <c r="D120" s="217">
        <v>3</v>
      </c>
      <c r="E120" s="217">
        <f>D120/8</f>
        <v>0.375</v>
      </c>
      <c r="F120" s="220"/>
      <c r="G120" s="217">
        <v>5.8333000000000004</v>
      </c>
      <c r="H120" s="217">
        <f>(12*E120*2)/12</f>
        <v>0.75</v>
      </c>
      <c r="I120" s="217">
        <f>G120+H120</f>
        <v>6.5833000000000004</v>
      </c>
      <c r="J120" s="217">
        <f>(D120*2)/24</f>
        <v>0.25</v>
      </c>
      <c r="K120" s="217">
        <f>C120*I120*J120</f>
        <v>36.208150000000003</v>
      </c>
      <c r="L120" s="219">
        <f>K120/2204</f>
        <v>1.6428380217785844E-2</v>
      </c>
    </row>
    <row r="121" spans="1:12" x14ac:dyDescent="0.2">
      <c r="A121" s="214"/>
      <c r="B121" s="221" t="s">
        <v>126</v>
      </c>
      <c r="C121" s="217"/>
      <c r="D121" s="217"/>
      <c r="E121" s="217"/>
      <c r="F121" s="217"/>
      <c r="G121" s="217"/>
      <c r="H121" s="217"/>
      <c r="I121" s="217"/>
      <c r="J121" s="217"/>
      <c r="K121" s="222">
        <f>SUM(K118:K120)</f>
        <v>52.874816666666668</v>
      </c>
      <c r="L121" s="223">
        <f>SUM(L118:L120)</f>
        <v>2.3990388687235329E-2</v>
      </c>
    </row>
    <row r="122" spans="1:12" x14ac:dyDescent="0.2">
      <c r="A122" s="214"/>
      <c r="B122" s="215" t="s">
        <v>544</v>
      </c>
      <c r="C122" s="215"/>
      <c r="D122" s="215"/>
      <c r="E122" s="215"/>
      <c r="F122" s="215"/>
      <c r="G122" s="215"/>
      <c r="H122" s="215"/>
      <c r="I122" s="215"/>
      <c r="J122" s="215"/>
      <c r="K122" s="215"/>
      <c r="L122" s="216"/>
    </row>
    <row r="123" spans="1:12" ht="46.5" x14ac:dyDescent="0.65">
      <c r="A123" s="214"/>
      <c r="B123" s="217" t="s">
        <v>482</v>
      </c>
      <c r="C123" s="217">
        <v>2</v>
      </c>
      <c r="D123" s="217">
        <v>4</v>
      </c>
      <c r="E123" s="217">
        <v>0.5</v>
      </c>
      <c r="F123" s="218"/>
      <c r="G123" s="217">
        <v>13.25</v>
      </c>
      <c r="H123" s="217">
        <f>(12*E123*2)/12</f>
        <v>1</v>
      </c>
      <c r="I123" s="217">
        <f>G123+H123</f>
        <v>14.25</v>
      </c>
      <c r="J123" s="217">
        <f>(D123*2)/24</f>
        <v>0.33333333333333331</v>
      </c>
      <c r="K123" s="217">
        <f>C123*I123*J123</f>
        <v>9.5</v>
      </c>
      <c r="L123" s="219">
        <f>K123/2204</f>
        <v>4.3103448275862068E-3</v>
      </c>
    </row>
    <row r="124" spans="1:12" ht="46.5" x14ac:dyDescent="0.65">
      <c r="A124" s="214"/>
      <c r="B124" s="217" t="s">
        <v>484</v>
      </c>
      <c r="C124" s="217">
        <v>2</v>
      </c>
      <c r="D124" s="217">
        <v>4</v>
      </c>
      <c r="E124" s="217">
        <v>0.5</v>
      </c>
      <c r="F124" s="218"/>
      <c r="G124" s="217">
        <v>13.25</v>
      </c>
      <c r="H124" s="217">
        <f>(12*E124*2)/12</f>
        <v>1</v>
      </c>
      <c r="I124" s="217">
        <f>G124+H124</f>
        <v>14.25</v>
      </c>
      <c r="J124" s="217">
        <f>(D124*2)/24</f>
        <v>0.33333333333333331</v>
      </c>
      <c r="K124" s="217">
        <f>C124*I124*J124</f>
        <v>9.5</v>
      </c>
      <c r="L124" s="219">
        <f>K124/2204</f>
        <v>4.3103448275862068E-3</v>
      </c>
    </row>
    <row r="125" spans="1:12" ht="92.25" x14ac:dyDescent="1.3">
      <c r="A125" s="214"/>
      <c r="B125" s="217" t="s">
        <v>486</v>
      </c>
      <c r="C125" s="217">
        <v>25</v>
      </c>
      <c r="D125" s="217">
        <v>3</v>
      </c>
      <c r="E125" s="217">
        <f>D125/8</f>
        <v>0.375</v>
      </c>
      <c r="F125" s="220"/>
      <c r="G125" s="217">
        <v>5.8333000000000004</v>
      </c>
      <c r="H125" s="217">
        <f>(12*E125*2)/12</f>
        <v>0.75</v>
      </c>
      <c r="I125" s="217">
        <f>G125+H125</f>
        <v>6.5833000000000004</v>
      </c>
      <c r="J125" s="217">
        <f>(D125*2)/24</f>
        <v>0.25</v>
      </c>
      <c r="K125" s="217">
        <f>C125*I125*J125</f>
        <v>41.145625000000003</v>
      </c>
      <c r="L125" s="219">
        <f>K125/2204</f>
        <v>1.8668613883847551E-2</v>
      </c>
    </row>
    <row r="126" spans="1:12" x14ac:dyDescent="0.2">
      <c r="A126" s="214"/>
      <c r="B126" s="221" t="s">
        <v>126</v>
      </c>
      <c r="C126" s="217"/>
      <c r="D126" s="217"/>
      <c r="E126" s="217"/>
      <c r="F126" s="217"/>
      <c r="G126" s="217"/>
      <c r="H126" s="217"/>
      <c r="I126" s="217"/>
      <c r="J126" s="217"/>
      <c r="K126" s="222">
        <f>SUM(K123:K125)</f>
        <v>60.145625000000003</v>
      </c>
      <c r="L126" s="223">
        <f>SUM(L123:L125)</f>
        <v>2.7289303539019965E-2</v>
      </c>
    </row>
    <row r="127" spans="1:12" x14ac:dyDescent="0.2">
      <c r="A127" s="214"/>
      <c r="B127" s="215"/>
      <c r="C127" s="215"/>
      <c r="D127" s="215"/>
      <c r="E127" s="215"/>
      <c r="F127" s="215"/>
      <c r="G127" s="215"/>
      <c r="H127" s="215"/>
      <c r="I127" s="215"/>
      <c r="J127" s="215"/>
      <c r="K127" s="215"/>
      <c r="L127" s="216"/>
    </row>
    <row r="128" spans="1:12" x14ac:dyDescent="0.2">
      <c r="A128" s="214"/>
      <c r="B128" s="215"/>
      <c r="C128" s="215"/>
      <c r="D128" s="215"/>
      <c r="E128" s="215"/>
      <c r="F128" s="215"/>
      <c r="G128" s="215"/>
      <c r="H128" s="215"/>
      <c r="I128" s="215"/>
      <c r="J128" s="215"/>
      <c r="K128" s="215"/>
      <c r="L128" s="216"/>
    </row>
    <row r="129" spans="1:12" x14ac:dyDescent="0.2">
      <c r="A129" s="214"/>
      <c r="B129" s="215"/>
      <c r="C129" s="215"/>
      <c r="D129" s="215"/>
      <c r="E129" s="215"/>
      <c r="F129" s="215"/>
      <c r="G129" s="215"/>
      <c r="H129" s="215"/>
      <c r="I129" s="215"/>
      <c r="J129" s="215"/>
      <c r="K129" s="215"/>
      <c r="L129" s="216"/>
    </row>
    <row r="130" spans="1:12" x14ac:dyDescent="0.2">
      <c r="A130" s="214" t="s">
        <v>543</v>
      </c>
      <c r="B130" s="215" t="s">
        <v>958</v>
      </c>
      <c r="C130" s="215" t="s">
        <v>541</v>
      </c>
      <c r="D130" s="215"/>
      <c r="E130" s="215"/>
      <c r="F130" s="215"/>
      <c r="G130" s="215"/>
      <c r="H130" s="215"/>
      <c r="I130" s="215"/>
      <c r="J130" s="215"/>
      <c r="K130" s="215"/>
      <c r="L130" s="216"/>
    </row>
    <row r="131" spans="1:12" ht="46.5" x14ac:dyDescent="0.65">
      <c r="A131" s="214"/>
      <c r="B131" s="217" t="s">
        <v>482</v>
      </c>
      <c r="C131" s="217">
        <v>2</v>
      </c>
      <c r="D131" s="217">
        <v>4</v>
      </c>
      <c r="E131" s="217">
        <v>0.5</v>
      </c>
      <c r="F131" s="218"/>
      <c r="G131" s="217">
        <v>5.25</v>
      </c>
      <c r="H131" s="217">
        <f>(12*E131*2)/12</f>
        <v>1</v>
      </c>
      <c r="I131" s="217">
        <f>G131+H131</f>
        <v>6.25</v>
      </c>
      <c r="J131" s="217">
        <f>(D131*2)/24</f>
        <v>0.33333333333333331</v>
      </c>
      <c r="K131" s="217">
        <f>C131*I131*J131</f>
        <v>4.1666666666666661</v>
      </c>
      <c r="L131" s="219">
        <f>K131/2204</f>
        <v>1.8905021173623712E-3</v>
      </c>
    </row>
    <row r="132" spans="1:12" ht="46.5" x14ac:dyDescent="0.65">
      <c r="A132" s="214"/>
      <c r="B132" s="217" t="s">
        <v>484</v>
      </c>
      <c r="C132" s="217">
        <v>2</v>
      </c>
      <c r="D132" s="217">
        <v>4</v>
      </c>
      <c r="E132" s="217">
        <v>0.5</v>
      </c>
      <c r="F132" s="218"/>
      <c r="G132" s="217">
        <v>5.25</v>
      </c>
      <c r="H132" s="217">
        <f>(12*E132*2)/12</f>
        <v>1</v>
      </c>
      <c r="I132" s="217">
        <f>G132+H132</f>
        <v>6.25</v>
      </c>
      <c r="J132" s="217">
        <f>(D132*2)/24</f>
        <v>0.33333333333333331</v>
      </c>
      <c r="K132" s="217">
        <f>C132*I132*J132</f>
        <v>4.1666666666666661</v>
      </c>
      <c r="L132" s="219">
        <f>K132/2204</f>
        <v>1.8905021173623712E-3</v>
      </c>
    </row>
    <row r="133" spans="1:12" ht="92.25" x14ac:dyDescent="1.3">
      <c r="A133" s="214"/>
      <c r="B133" s="217" t="s">
        <v>486</v>
      </c>
      <c r="C133" s="217">
        <v>10</v>
      </c>
      <c r="D133" s="217">
        <v>3</v>
      </c>
      <c r="E133" s="217">
        <f>D133/8</f>
        <v>0.375</v>
      </c>
      <c r="F133" s="220"/>
      <c r="G133" s="217">
        <v>5.8333000000000004</v>
      </c>
      <c r="H133" s="217">
        <f>(12*E133*2)/12</f>
        <v>0.75</v>
      </c>
      <c r="I133" s="217">
        <f>G133+H133</f>
        <v>6.5833000000000004</v>
      </c>
      <c r="J133" s="217">
        <f>(D133*2)/24</f>
        <v>0.25</v>
      </c>
      <c r="K133" s="217">
        <f>C133*I133*J133</f>
        <v>16.45825</v>
      </c>
      <c r="L133" s="219">
        <f>K133/2204</f>
        <v>7.4674455535390198E-3</v>
      </c>
    </row>
    <row r="134" spans="1:12" x14ac:dyDescent="0.2">
      <c r="A134" s="214"/>
      <c r="B134" s="221" t="s">
        <v>126</v>
      </c>
      <c r="C134" s="217"/>
      <c r="D134" s="217"/>
      <c r="E134" s="217"/>
      <c r="F134" s="217"/>
      <c r="G134" s="217"/>
      <c r="H134" s="217"/>
      <c r="I134" s="217"/>
      <c r="J134" s="217"/>
      <c r="K134" s="222">
        <f>SUM(K131:K133)</f>
        <v>24.791583333333332</v>
      </c>
      <c r="L134" s="223">
        <f>SUM(L131:L133)</f>
        <v>1.1248449788263762E-2</v>
      </c>
    </row>
    <row r="135" spans="1:12" x14ac:dyDescent="0.2">
      <c r="A135" s="214"/>
      <c r="B135" s="215" t="s">
        <v>540</v>
      </c>
      <c r="C135" s="215"/>
      <c r="D135" s="215"/>
      <c r="E135" s="215"/>
      <c r="F135" s="215"/>
      <c r="G135" s="215"/>
      <c r="H135" s="215"/>
      <c r="I135" s="215"/>
      <c r="J135" s="215"/>
      <c r="K135" s="215"/>
      <c r="L135" s="216"/>
    </row>
    <row r="136" spans="1:12" x14ac:dyDescent="0.2">
      <c r="A136" s="214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6"/>
    </row>
    <row r="137" spans="1:12" ht="46.5" x14ac:dyDescent="0.65">
      <c r="A137" s="214"/>
      <c r="B137" s="217" t="s">
        <v>482</v>
      </c>
      <c r="C137" s="217">
        <v>2</v>
      </c>
      <c r="D137" s="217">
        <v>4</v>
      </c>
      <c r="E137" s="217">
        <v>0.5</v>
      </c>
      <c r="F137" s="218"/>
      <c r="G137" s="217">
        <v>6.75</v>
      </c>
      <c r="H137" s="217">
        <f>(12*E137*2)/12</f>
        <v>1</v>
      </c>
      <c r="I137" s="217">
        <f>G137+H137</f>
        <v>7.75</v>
      </c>
      <c r="J137" s="217">
        <f>(D137*2)/24</f>
        <v>0.33333333333333331</v>
      </c>
      <c r="K137" s="217">
        <f>C137*I137*J137</f>
        <v>5.1666666666666661</v>
      </c>
      <c r="L137" s="219">
        <f>K137/2204</f>
        <v>2.3442226255293405E-3</v>
      </c>
    </row>
    <row r="138" spans="1:12" ht="46.5" x14ac:dyDescent="0.65">
      <c r="A138" s="214"/>
      <c r="B138" s="217" t="s">
        <v>484</v>
      </c>
      <c r="C138" s="217">
        <v>2</v>
      </c>
      <c r="D138" s="217">
        <v>4</v>
      </c>
      <c r="E138" s="217">
        <v>0.5</v>
      </c>
      <c r="F138" s="218"/>
      <c r="G138" s="217">
        <v>6.75</v>
      </c>
      <c r="H138" s="217">
        <f>(12*E138*2)/12</f>
        <v>1</v>
      </c>
      <c r="I138" s="217">
        <f>G138+H138</f>
        <v>7.75</v>
      </c>
      <c r="J138" s="217">
        <f>(D138*2)/24</f>
        <v>0.33333333333333331</v>
      </c>
      <c r="K138" s="217">
        <f>C138*I138*J138</f>
        <v>5.1666666666666661</v>
      </c>
      <c r="L138" s="219">
        <f>K138/2204</f>
        <v>2.3442226255293405E-3</v>
      </c>
    </row>
    <row r="139" spans="1:12" ht="92.25" x14ac:dyDescent="1.3">
      <c r="A139" s="214"/>
      <c r="B139" s="217" t="s">
        <v>486</v>
      </c>
      <c r="C139" s="217">
        <v>13</v>
      </c>
      <c r="D139" s="217">
        <v>3</v>
      </c>
      <c r="E139" s="217">
        <f>D139/8</f>
        <v>0.375</v>
      </c>
      <c r="F139" s="220"/>
      <c r="G139" s="217">
        <v>5.8333000000000004</v>
      </c>
      <c r="H139" s="217">
        <f>(12*E139*2)/12</f>
        <v>0.75</v>
      </c>
      <c r="I139" s="217">
        <f>G139+H139</f>
        <v>6.5833000000000004</v>
      </c>
      <c r="J139" s="217">
        <f>(D139*2)/24</f>
        <v>0.25</v>
      </c>
      <c r="K139" s="217">
        <f>C139*I139*J139</f>
        <v>21.395725000000002</v>
      </c>
      <c r="L139" s="219">
        <f>K139/2204</f>
        <v>9.7076792196007268E-3</v>
      </c>
    </row>
    <row r="140" spans="1:12" x14ac:dyDescent="0.2">
      <c r="A140" s="214"/>
      <c r="B140" s="221" t="s">
        <v>126</v>
      </c>
      <c r="C140" s="217"/>
      <c r="D140" s="217"/>
      <c r="E140" s="217"/>
      <c r="F140" s="217"/>
      <c r="G140" s="217"/>
      <c r="H140" s="217"/>
      <c r="I140" s="217"/>
      <c r="J140" s="217"/>
      <c r="K140" s="222">
        <f>SUM(K137:K139)</f>
        <v>31.729058333333334</v>
      </c>
      <c r="L140" s="223">
        <f>SUM(L137:L139)</f>
        <v>1.4396124470659407E-2</v>
      </c>
    </row>
    <row r="141" spans="1:12" x14ac:dyDescent="0.2">
      <c r="A141" s="214"/>
      <c r="B141" s="215"/>
      <c r="C141" s="215"/>
      <c r="D141" s="215"/>
      <c r="E141" s="215"/>
      <c r="F141" s="215"/>
      <c r="G141" s="215"/>
      <c r="H141" s="215"/>
      <c r="I141" s="215"/>
      <c r="J141" s="215"/>
      <c r="K141" s="215"/>
      <c r="L141" s="216"/>
    </row>
    <row r="142" spans="1:12" x14ac:dyDescent="0.2">
      <c r="A142" s="214" t="s">
        <v>498</v>
      </c>
      <c r="B142" s="215" t="s">
        <v>957</v>
      </c>
      <c r="C142" s="215" t="s">
        <v>538</v>
      </c>
      <c r="D142" s="215"/>
      <c r="E142" s="215"/>
      <c r="F142" s="215"/>
      <c r="G142" s="215"/>
      <c r="H142" s="215"/>
      <c r="I142" s="215"/>
      <c r="J142" s="215"/>
      <c r="K142" s="215"/>
      <c r="L142" s="216"/>
    </row>
    <row r="143" spans="1:12" x14ac:dyDescent="0.2">
      <c r="A143" s="214"/>
      <c r="B143" s="215"/>
      <c r="C143" s="215"/>
      <c r="D143" s="215"/>
      <c r="E143" s="215"/>
      <c r="F143" s="215"/>
      <c r="G143" s="215"/>
      <c r="H143" s="215"/>
      <c r="I143" s="215"/>
      <c r="J143" s="215"/>
      <c r="K143" s="215"/>
      <c r="L143" s="216"/>
    </row>
    <row r="144" spans="1:12" ht="46.5" x14ac:dyDescent="0.65">
      <c r="A144" s="214"/>
      <c r="B144" s="217" t="s">
        <v>482</v>
      </c>
      <c r="C144" s="217">
        <v>2</v>
      </c>
      <c r="D144" s="217">
        <v>4</v>
      </c>
      <c r="E144" s="217">
        <v>0.5</v>
      </c>
      <c r="F144" s="218"/>
      <c r="G144" s="217">
        <v>6.75</v>
      </c>
      <c r="H144" s="217">
        <f>(12*E144*2)/12</f>
        <v>1</v>
      </c>
      <c r="I144" s="217">
        <f>G144+H144</f>
        <v>7.75</v>
      </c>
      <c r="J144" s="217">
        <f>(D144*2)/24</f>
        <v>0.33333333333333331</v>
      </c>
      <c r="K144" s="217">
        <f>C144*I144*J144</f>
        <v>5.1666666666666661</v>
      </c>
      <c r="L144" s="219">
        <f>K144/2204</f>
        <v>2.3442226255293405E-3</v>
      </c>
    </row>
    <row r="145" spans="1:12" ht="46.5" x14ac:dyDescent="0.65">
      <c r="A145" s="214"/>
      <c r="B145" s="217" t="s">
        <v>484</v>
      </c>
      <c r="C145" s="217">
        <v>2</v>
      </c>
      <c r="D145" s="217">
        <v>4</v>
      </c>
      <c r="E145" s="217">
        <v>0.5</v>
      </c>
      <c r="F145" s="218"/>
      <c r="G145" s="217">
        <v>6.75</v>
      </c>
      <c r="H145" s="217">
        <f>(12*E145*2)/12</f>
        <v>1</v>
      </c>
      <c r="I145" s="217">
        <f>G145+H145</f>
        <v>7.75</v>
      </c>
      <c r="J145" s="217">
        <f>(D145*2)/24</f>
        <v>0.33333333333333331</v>
      </c>
      <c r="K145" s="217">
        <f>C145*I145*J145</f>
        <v>5.1666666666666661</v>
      </c>
      <c r="L145" s="219">
        <f>K145/2204</f>
        <v>2.3442226255293405E-3</v>
      </c>
    </row>
    <row r="146" spans="1:12" ht="92.25" x14ac:dyDescent="1.3">
      <c r="A146" s="214"/>
      <c r="B146" s="217" t="s">
        <v>486</v>
      </c>
      <c r="C146" s="217">
        <v>16</v>
      </c>
      <c r="D146" s="217">
        <v>3</v>
      </c>
      <c r="E146" s="217">
        <f>D146/8</f>
        <v>0.375</v>
      </c>
      <c r="F146" s="220"/>
      <c r="G146" s="217">
        <v>3.3330000000000002</v>
      </c>
      <c r="H146" s="217">
        <f>(12*E146*2)/12</f>
        <v>0.75</v>
      </c>
      <c r="I146" s="217">
        <f>G146+H146</f>
        <v>4.0830000000000002</v>
      </c>
      <c r="J146" s="217">
        <f>(D146*2)/24</f>
        <v>0.25</v>
      </c>
      <c r="K146" s="217">
        <f>C146*I146*J146</f>
        <v>16.332000000000001</v>
      </c>
      <c r="L146" s="219">
        <f>K146/2204</f>
        <v>7.4101633393829401E-3</v>
      </c>
    </row>
    <row r="147" spans="1:12" x14ac:dyDescent="0.2">
      <c r="A147" s="214"/>
      <c r="B147" s="221" t="s">
        <v>126</v>
      </c>
      <c r="C147" s="217"/>
      <c r="D147" s="217"/>
      <c r="E147" s="217"/>
      <c r="F147" s="217"/>
      <c r="G147" s="217"/>
      <c r="H147" s="217"/>
      <c r="I147" s="217"/>
      <c r="J147" s="217"/>
      <c r="K147" s="222">
        <f>SUM(K144:K146)</f>
        <v>26.665333333333333</v>
      </c>
      <c r="L147" s="223">
        <f>SUM(L144:L146)</f>
        <v>1.2098608590441621E-2</v>
      </c>
    </row>
    <row r="148" spans="1:12" x14ac:dyDescent="0.2">
      <c r="A148" s="214"/>
      <c r="B148" s="215"/>
      <c r="C148" s="215"/>
      <c r="D148" s="215"/>
      <c r="E148" s="215"/>
      <c r="F148" s="215"/>
      <c r="G148" s="215"/>
      <c r="H148" s="215"/>
      <c r="I148" s="215"/>
      <c r="J148" s="215"/>
      <c r="K148" s="215"/>
      <c r="L148" s="216"/>
    </row>
    <row r="149" spans="1:12" x14ac:dyDescent="0.2">
      <c r="A149" s="214" t="s">
        <v>500</v>
      </c>
      <c r="B149" s="215" t="s">
        <v>956</v>
      </c>
      <c r="C149" s="215" t="s">
        <v>536</v>
      </c>
      <c r="D149" s="215"/>
      <c r="E149" s="215"/>
      <c r="F149" s="215"/>
      <c r="G149" s="215"/>
      <c r="H149" s="215"/>
      <c r="I149" s="215"/>
      <c r="J149" s="215"/>
      <c r="K149" s="215"/>
      <c r="L149" s="216"/>
    </row>
    <row r="150" spans="1:12" x14ac:dyDescent="0.2">
      <c r="A150" s="214"/>
      <c r="B150" s="215"/>
      <c r="C150" s="215"/>
      <c r="D150" s="215"/>
      <c r="E150" s="215"/>
      <c r="F150" s="215"/>
      <c r="G150" s="215"/>
      <c r="H150" s="215"/>
      <c r="I150" s="215"/>
      <c r="J150" s="215"/>
      <c r="K150" s="215"/>
      <c r="L150" s="216"/>
    </row>
    <row r="151" spans="1:12" ht="46.5" x14ac:dyDescent="0.65">
      <c r="A151" s="214"/>
      <c r="B151" s="217" t="s">
        <v>482</v>
      </c>
      <c r="C151" s="217">
        <v>2</v>
      </c>
      <c r="D151" s="217">
        <v>4</v>
      </c>
      <c r="E151" s="217">
        <v>0.5</v>
      </c>
      <c r="F151" s="218"/>
      <c r="G151" s="217">
        <v>15.75</v>
      </c>
      <c r="H151" s="217">
        <f>(12*E151*2)/12</f>
        <v>1</v>
      </c>
      <c r="I151" s="217">
        <f>G151+H151</f>
        <v>16.75</v>
      </c>
      <c r="J151" s="217">
        <f>(D151*2)/24</f>
        <v>0.33333333333333331</v>
      </c>
      <c r="K151" s="217">
        <f>C151*I151*J151</f>
        <v>11.166666666666666</v>
      </c>
      <c r="L151" s="219">
        <f>K151/2204</f>
        <v>5.0665456745311553E-3</v>
      </c>
    </row>
    <row r="152" spans="1:12" ht="46.5" x14ac:dyDescent="0.2">
      <c r="A152" s="214"/>
      <c r="B152" s="217" t="s">
        <v>511</v>
      </c>
      <c r="C152" s="217">
        <v>2</v>
      </c>
      <c r="D152" s="217">
        <v>4</v>
      </c>
      <c r="E152" s="217">
        <v>0.5</v>
      </c>
      <c r="F152" s="225"/>
      <c r="G152" s="217">
        <v>7.5</v>
      </c>
      <c r="H152" s="217">
        <f>(12*E151*2)/12</f>
        <v>1</v>
      </c>
      <c r="I152" s="217">
        <f>G152+H152</f>
        <v>8.5</v>
      </c>
      <c r="J152" s="217">
        <f>(D152*2)/24</f>
        <v>0.33333333333333331</v>
      </c>
      <c r="K152" s="217">
        <f>C152*I152*J152</f>
        <v>5.6666666666666661</v>
      </c>
      <c r="L152" s="219">
        <f>K152/2204</f>
        <v>2.571082879612825E-3</v>
      </c>
    </row>
    <row r="153" spans="1:12" ht="46.5" x14ac:dyDescent="0.65">
      <c r="A153" s="214"/>
      <c r="B153" s="217" t="s">
        <v>484</v>
      </c>
      <c r="C153" s="217">
        <v>2</v>
      </c>
      <c r="D153" s="217">
        <v>4</v>
      </c>
      <c r="E153" s="217">
        <v>0.5</v>
      </c>
      <c r="F153" s="218"/>
      <c r="G153" s="217">
        <v>15.75</v>
      </c>
      <c r="H153" s="217">
        <f>(12*E153*2)/12</f>
        <v>1</v>
      </c>
      <c r="I153" s="217">
        <f>G153+H153</f>
        <v>16.75</v>
      </c>
      <c r="J153" s="217">
        <f>(D153*2)/24</f>
        <v>0.33333333333333331</v>
      </c>
      <c r="K153" s="217">
        <f>C153*I153*J153</f>
        <v>11.166666666666666</v>
      </c>
      <c r="L153" s="219">
        <f>K153/2204</f>
        <v>5.0665456745311553E-3</v>
      </c>
    </row>
    <row r="154" spans="1:12" ht="92.25" x14ac:dyDescent="1.3">
      <c r="A154" s="214"/>
      <c r="B154" s="217" t="s">
        <v>486</v>
      </c>
      <c r="C154" s="217">
        <v>28</v>
      </c>
      <c r="D154" s="217">
        <v>3</v>
      </c>
      <c r="E154" s="217">
        <f>D154/8</f>
        <v>0.375</v>
      </c>
      <c r="F154" s="220"/>
      <c r="G154" s="217">
        <v>5.8330000000000002</v>
      </c>
      <c r="H154" s="217">
        <f>(12*E154*2)/12</f>
        <v>0.75</v>
      </c>
      <c r="I154" s="217">
        <f>G154+H154</f>
        <v>6.5830000000000002</v>
      </c>
      <c r="J154" s="217">
        <f>(D154*2)/24</f>
        <v>0.25</v>
      </c>
      <c r="K154" s="217">
        <f>C154*I154*J154</f>
        <v>46.081000000000003</v>
      </c>
      <c r="L154" s="219">
        <f>K154/2204</f>
        <v>2.0907894736842108E-2</v>
      </c>
    </row>
    <row r="155" spans="1:12" x14ac:dyDescent="0.2">
      <c r="A155" s="214"/>
      <c r="B155" s="221" t="s">
        <v>126</v>
      </c>
      <c r="C155" s="217"/>
      <c r="D155" s="217"/>
      <c r="E155" s="217"/>
      <c r="F155" s="217"/>
      <c r="G155" s="217"/>
      <c r="H155" s="217"/>
      <c r="I155" s="217"/>
      <c r="J155" s="217"/>
      <c r="K155" s="222">
        <f>SUM(K151:K154)</f>
        <v>74.081000000000003</v>
      </c>
      <c r="L155" s="223">
        <f>SUM(L151:L154)</f>
        <v>3.3612068965517244E-2</v>
      </c>
    </row>
    <row r="156" spans="1:12" x14ac:dyDescent="0.2">
      <c r="A156" s="214"/>
      <c r="B156" s="215"/>
      <c r="C156" s="215"/>
      <c r="D156" s="215"/>
      <c r="E156" s="215"/>
      <c r="F156" s="215"/>
      <c r="G156" s="215"/>
      <c r="H156" s="215"/>
      <c r="I156" s="215"/>
      <c r="J156" s="215"/>
      <c r="K156" s="215"/>
      <c r="L156" s="216"/>
    </row>
    <row r="157" spans="1:12" x14ac:dyDescent="0.2">
      <c r="A157" s="214" t="s">
        <v>535</v>
      </c>
      <c r="B157" s="215" t="s">
        <v>955</v>
      </c>
      <c r="C157" s="215"/>
      <c r="D157" s="215"/>
      <c r="E157" s="215"/>
      <c r="F157" s="215"/>
      <c r="G157" s="215"/>
      <c r="H157" s="215"/>
      <c r="I157" s="215"/>
      <c r="J157" s="215"/>
      <c r="K157" s="215"/>
      <c r="L157" s="216"/>
    </row>
    <row r="158" spans="1:12" ht="46.5" x14ac:dyDescent="0.65">
      <c r="A158" s="214"/>
      <c r="B158" s="217" t="s">
        <v>482</v>
      </c>
      <c r="C158" s="217">
        <v>2</v>
      </c>
      <c r="D158" s="217">
        <v>4</v>
      </c>
      <c r="E158" s="217">
        <v>0.5</v>
      </c>
      <c r="F158" s="218"/>
      <c r="G158" s="217">
        <v>11.5</v>
      </c>
      <c r="H158" s="217">
        <f>(12*E158*2)/12</f>
        <v>1</v>
      </c>
      <c r="I158" s="217">
        <f>G158+H158</f>
        <v>12.5</v>
      </c>
      <c r="J158" s="217">
        <f>(D158*2)/24</f>
        <v>0.33333333333333331</v>
      </c>
      <c r="K158" s="217">
        <f>C158*I158*J158</f>
        <v>8.3333333333333321</v>
      </c>
      <c r="L158" s="219">
        <f>K158/2204</f>
        <v>3.7810042347247424E-3</v>
      </c>
    </row>
    <row r="159" spans="1:12" ht="46.5" x14ac:dyDescent="0.65">
      <c r="A159" s="214"/>
      <c r="B159" s="217" t="s">
        <v>484</v>
      </c>
      <c r="C159" s="217">
        <v>2</v>
      </c>
      <c r="D159" s="217">
        <v>4</v>
      </c>
      <c r="E159" s="217">
        <v>0.5</v>
      </c>
      <c r="F159" s="218"/>
      <c r="G159" s="217">
        <v>11.5</v>
      </c>
      <c r="H159" s="217">
        <f>(12*E159*2)/12</f>
        <v>1</v>
      </c>
      <c r="I159" s="217">
        <f>G159+H159</f>
        <v>12.5</v>
      </c>
      <c r="J159" s="217">
        <f>(D159*2)/24</f>
        <v>0.33333333333333331</v>
      </c>
      <c r="K159" s="217">
        <f>C159*I159*J159</f>
        <v>8.3333333333333321</v>
      </c>
      <c r="L159" s="219">
        <f>K159/2204</f>
        <v>3.7810042347247424E-3</v>
      </c>
    </row>
    <row r="160" spans="1:12" ht="92.25" x14ac:dyDescent="1.3">
      <c r="A160" s="214"/>
      <c r="B160" s="217" t="s">
        <v>486</v>
      </c>
      <c r="C160" s="217">
        <v>25</v>
      </c>
      <c r="D160" s="217">
        <v>3</v>
      </c>
      <c r="E160" s="217">
        <f>D160/8</f>
        <v>0.375</v>
      </c>
      <c r="F160" s="220"/>
      <c r="G160" s="217">
        <v>3.8330000000000002</v>
      </c>
      <c r="H160" s="217">
        <f>(12*E160*2)/12</f>
        <v>0.75</v>
      </c>
      <c r="I160" s="217">
        <f>G160+H160</f>
        <v>4.5830000000000002</v>
      </c>
      <c r="J160" s="217">
        <f>(D160*2)/24</f>
        <v>0.25</v>
      </c>
      <c r="K160" s="217">
        <f>C160*I160*J160</f>
        <v>28.643750000000001</v>
      </c>
      <c r="L160" s="219">
        <f>K160/2204</f>
        <v>1.2996256805807623E-2</v>
      </c>
    </row>
    <row r="161" spans="1:12" x14ac:dyDescent="0.2">
      <c r="A161" s="214"/>
      <c r="B161" s="221" t="s">
        <v>126</v>
      </c>
      <c r="C161" s="217"/>
      <c r="D161" s="217"/>
      <c r="E161" s="217"/>
      <c r="F161" s="217"/>
      <c r="G161" s="217"/>
      <c r="H161" s="217"/>
      <c r="I161" s="217"/>
      <c r="J161" s="217"/>
      <c r="K161" s="222">
        <f>SUM(K158:K160)</f>
        <v>45.310416666666669</v>
      </c>
      <c r="L161" s="223">
        <f>SUM(L158:L160)</f>
        <v>2.0558265275257108E-2</v>
      </c>
    </row>
    <row r="162" spans="1:12" x14ac:dyDescent="0.2">
      <c r="A162" s="214"/>
      <c r="B162" s="215"/>
      <c r="C162" s="215"/>
      <c r="D162" s="215"/>
      <c r="E162" s="215"/>
      <c r="F162" s="215"/>
      <c r="G162" s="215"/>
      <c r="H162" s="215"/>
      <c r="I162" s="215"/>
      <c r="J162" s="215"/>
      <c r="K162" s="215"/>
      <c r="L162" s="216"/>
    </row>
    <row r="163" spans="1:12" x14ac:dyDescent="0.2">
      <c r="A163" s="214" t="s">
        <v>533</v>
      </c>
      <c r="B163" s="215" t="s">
        <v>954</v>
      </c>
      <c r="C163" s="215"/>
      <c r="D163" s="215"/>
      <c r="E163" s="215"/>
      <c r="F163" s="215"/>
      <c r="G163" s="215"/>
      <c r="H163" s="215"/>
      <c r="I163" s="215"/>
      <c r="J163" s="215"/>
      <c r="K163" s="215"/>
      <c r="L163" s="216"/>
    </row>
    <row r="164" spans="1:12" ht="46.5" x14ac:dyDescent="0.65">
      <c r="A164" s="214"/>
      <c r="B164" s="217" t="s">
        <v>482</v>
      </c>
      <c r="C164" s="217">
        <v>2</v>
      </c>
      <c r="D164" s="217">
        <v>4</v>
      </c>
      <c r="E164" s="217">
        <v>0.5</v>
      </c>
      <c r="F164" s="218"/>
      <c r="G164" s="217">
        <v>14.75</v>
      </c>
      <c r="H164" s="217">
        <f>(12*E164*2)/12</f>
        <v>1</v>
      </c>
      <c r="I164" s="217">
        <f>G164+H164</f>
        <v>15.75</v>
      </c>
      <c r="J164" s="217">
        <f>(D164*2)/24</f>
        <v>0.33333333333333331</v>
      </c>
      <c r="K164" s="217">
        <f>C164*I164*J164</f>
        <v>10.5</v>
      </c>
      <c r="L164" s="219">
        <f>K164/2204</f>
        <v>4.7640653357531757E-3</v>
      </c>
    </row>
    <row r="165" spans="1:12" ht="46.5" x14ac:dyDescent="0.65">
      <c r="A165" s="214"/>
      <c r="B165" s="217" t="s">
        <v>484</v>
      </c>
      <c r="C165" s="217">
        <v>2</v>
      </c>
      <c r="D165" s="217">
        <v>4</v>
      </c>
      <c r="E165" s="217">
        <v>0.5</v>
      </c>
      <c r="F165" s="218"/>
      <c r="G165" s="217">
        <v>14.75</v>
      </c>
      <c r="H165" s="217">
        <f>(12*E165*2)/12</f>
        <v>1</v>
      </c>
      <c r="I165" s="217">
        <f>G165+H165</f>
        <v>15.75</v>
      </c>
      <c r="J165" s="217">
        <f>(D165*2)/24</f>
        <v>0.33333333333333331</v>
      </c>
      <c r="K165" s="217">
        <f>C165*I165*J165</f>
        <v>10.5</v>
      </c>
      <c r="L165" s="219">
        <f>K165/2204</f>
        <v>4.7640653357531757E-3</v>
      </c>
    </row>
    <row r="166" spans="1:12" ht="92.25" x14ac:dyDescent="1.3">
      <c r="A166" s="214"/>
      <c r="B166" s="217" t="s">
        <v>486</v>
      </c>
      <c r="C166" s="217">
        <v>28</v>
      </c>
      <c r="D166" s="217">
        <v>3</v>
      </c>
      <c r="E166" s="217">
        <f>D166/8</f>
        <v>0.375</v>
      </c>
      <c r="F166" s="220"/>
      <c r="G166" s="217">
        <v>5.8330000000000002</v>
      </c>
      <c r="H166" s="217">
        <f>(12*E166*2)/12</f>
        <v>0.75</v>
      </c>
      <c r="I166" s="217">
        <f>G166+H166</f>
        <v>6.5830000000000002</v>
      </c>
      <c r="J166" s="217">
        <f>(D166*2)/24</f>
        <v>0.25</v>
      </c>
      <c r="K166" s="217">
        <f>C166*I166*J166</f>
        <v>46.081000000000003</v>
      </c>
      <c r="L166" s="219">
        <f>K166/2204</f>
        <v>2.0907894736842108E-2</v>
      </c>
    </row>
    <row r="167" spans="1:12" x14ac:dyDescent="0.2">
      <c r="A167" s="214"/>
      <c r="B167" s="221" t="s">
        <v>126</v>
      </c>
      <c r="C167" s="217"/>
      <c r="D167" s="217"/>
      <c r="E167" s="217"/>
      <c r="F167" s="217"/>
      <c r="G167" s="217"/>
      <c r="H167" s="217"/>
      <c r="I167" s="217"/>
      <c r="J167" s="217"/>
      <c r="K167" s="222">
        <f>SUM(K164:K166)</f>
        <v>67.081000000000003</v>
      </c>
      <c r="L167" s="223">
        <f>SUM(L164:L166)</f>
        <v>3.0436025408348458E-2</v>
      </c>
    </row>
    <row r="168" spans="1:12" x14ac:dyDescent="0.2">
      <c r="A168" s="214"/>
      <c r="B168" s="215"/>
      <c r="C168" s="215"/>
      <c r="D168" s="215"/>
      <c r="E168" s="215"/>
      <c r="F168" s="215"/>
      <c r="G168" s="215"/>
      <c r="H168" s="215"/>
      <c r="I168" s="215"/>
      <c r="J168" s="215"/>
      <c r="K168" s="215"/>
      <c r="L168" s="216"/>
    </row>
    <row r="169" spans="1:12" x14ac:dyDescent="0.2">
      <c r="A169" s="214" t="s">
        <v>531</v>
      </c>
      <c r="B169" s="215" t="s">
        <v>953</v>
      </c>
      <c r="C169" s="215" t="s">
        <v>529</v>
      </c>
      <c r="D169" s="215"/>
      <c r="E169" s="215"/>
      <c r="F169" s="215"/>
      <c r="G169" s="215"/>
      <c r="H169" s="215"/>
      <c r="I169" s="215"/>
      <c r="J169" s="215"/>
      <c r="K169" s="215"/>
      <c r="L169" s="216"/>
    </row>
    <row r="170" spans="1:12" ht="46.5" x14ac:dyDescent="0.65">
      <c r="A170" s="214"/>
      <c r="B170" s="217" t="s">
        <v>482</v>
      </c>
      <c r="C170" s="217">
        <v>2</v>
      </c>
      <c r="D170" s="217">
        <v>4</v>
      </c>
      <c r="E170" s="217">
        <v>0.5</v>
      </c>
      <c r="F170" s="218"/>
      <c r="G170" s="217">
        <v>13.75</v>
      </c>
      <c r="H170" s="217">
        <f>(12*E170*2)/12</f>
        <v>1</v>
      </c>
      <c r="I170" s="217">
        <f>G170+H170</f>
        <v>14.75</v>
      </c>
      <c r="J170" s="217">
        <f>(D170*2)/24</f>
        <v>0.33333333333333331</v>
      </c>
      <c r="K170" s="217">
        <f>C170*I170*J170</f>
        <v>9.8333333333333321</v>
      </c>
      <c r="L170" s="219">
        <f>K170/2204</f>
        <v>4.4615849969751962E-3</v>
      </c>
    </row>
    <row r="171" spans="1:12" ht="46.5" x14ac:dyDescent="0.65">
      <c r="A171" s="214"/>
      <c r="B171" s="217" t="s">
        <v>484</v>
      </c>
      <c r="C171" s="217">
        <v>2</v>
      </c>
      <c r="D171" s="217">
        <v>4</v>
      </c>
      <c r="E171" s="217">
        <v>0.5</v>
      </c>
      <c r="F171" s="218"/>
      <c r="G171" s="217">
        <v>13.75</v>
      </c>
      <c r="H171" s="217">
        <f>(12*E171*2)/12</f>
        <v>1</v>
      </c>
      <c r="I171" s="217">
        <f>G171+H171</f>
        <v>14.75</v>
      </c>
      <c r="J171" s="217">
        <f>(D171*2)/24</f>
        <v>0.33333333333333331</v>
      </c>
      <c r="K171" s="217">
        <f>C171*I171*J171</f>
        <v>9.8333333333333321</v>
      </c>
      <c r="L171" s="219">
        <f>K171/2204</f>
        <v>4.4615849969751962E-3</v>
      </c>
    </row>
    <row r="172" spans="1:12" ht="92.25" x14ac:dyDescent="1.3">
      <c r="A172" s="214"/>
      <c r="B172" s="217" t="s">
        <v>486</v>
      </c>
      <c r="C172" s="217">
        <v>25</v>
      </c>
      <c r="D172" s="217">
        <v>3</v>
      </c>
      <c r="E172" s="217">
        <f>D172/8</f>
        <v>0.375</v>
      </c>
      <c r="F172" s="220"/>
      <c r="G172" s="217">
        <v>5.8330000000000002</v>
      </c>
      <c r="H172" s="217">
        <f>(12*E172*2)/12</f>
        <v>0.75</v>
      </c>
      <c r="I172" s="217">
        <f>G172+H172</f>
        <v>6.5830000000000002</v>
      </c>
      <c r="J172" s="217">
        <f>(D172*2)/24</f>
        <v>0.25</v>
      </c>
      <c r="K172" s="217">
        <f>C172*I172*J172</f>
        <v>41.143750000000004</v>
      </c>
      <c r="L172" s="219">
        <f>K172/2204</f>
        <v>1.8667763157894739E-2</v>
      </c>
    </row>
    <row r="173" spans="1:12" x14ac:dyDescent="0.2">
      <c r="A173" s="214"/>
      <c r="B173" s="221" t="s">
        <v>126</v>
      </c>
      <c r="C173" s="217"/>
      <c r="D173" s="217"/>
      <c r="E173" s="217"/>
      <c r="F173" s="217"/>
      <c r="G173" s="217"/>
      <c r="H173" s="217"/>
      <c r="I173" s="217"/>
      <c r="J173" s="217"/>
      <c r="K173" s="222">
        <f>SUM(K170:K172)</f>
        <v>60.810416666666669</v>
      </c>
      <c r="L173" s="223">
        <f>SUM(L170:L172)</f>
        <v>2.7590933151845132E-2</v>
      </c>
    </row>
    <row r="174" spans="1:12" x14ac:dyDescent="0.2">
      <c r="A174" s="214"/>
      <c r="B174" s="215" t="s">
        <v>520</v>
      </c>
      <c r="C174" s="215"/>
      <c r="D174" s="215"/>
      <c r="E174" s="215"/>
      <c r="F174" s="215"/>
      <c r="G174" s="215"/>
      <c r="H174" s="215"/>
      <c r="I174" s="215"/>
      <c r="J174" s="215"/>
      <c r="K174" s="215"/>
      <c r="L174" s="216"/>
    </row>
    <row r="175" spans="1:12" ht="46.5" x14ac:dyDescent="0.65">
      <c r="A175" s="214"/>
      <c r="B175" s="217" t="s">
        <v>482</v>
      </c>
      <c r="C175" s="217">
        <v>2</v>
      </c>
      <c r="D175" s="217">
        <v>4</v>
      </c>
      <c r="E175" s="217">
        <v>0.5</v>
      </c>
      <c r="F175" s="218"/>
      <c r="G175" s="217">
        <v>6.25</v>
      </c>
      <c r="H175" s="217">
        <f>(12*E175*2)/12</f>
        <v>1</v>
      </c>
      <c r="I175" s="217">
        <f>G175+H175</f>
        <v>7.25</v>
      </c>
      <c r="J175" s="217">
        <f>(D175*2)/24</f>
        <v>0.33333333333333331</v>
      </c>
      <c r="K175" s="217">
        <f>C175*I175*J175</f>
        <v>4.833333333333333</v>
      </c>
      <c r="L175" s="219">
        <f>K175/2204</f>
        <v>2.1929824561403508E-3</v>
      </c>
    </row>
    <row r="176" spans="1:12" ht="46.5" x14ac:dyDescent="0.65">
      <c r="A176" s="214"/>
      <c r="B176" s="217" t="s">
        <v>484</v>
      </c>
      <c r="C176" s="217">
        <v>2</v>
      </c>
      <c r="D176" s="217">
        <v>4</v>
      </c>
      <c r="E176" s="217">
        <v>0.5</v>
      </c>
      <c r="F176" s="218"/>
      <c r="G176" s="217">
        <v>6.25</v>
      </c>
      <c r="H176" s="217">
        <f>(12*E176*2)/12</f>
        <v>1</v>
      </c>
      <c r="I176" s="217">
        <f>G176+H176</f>
        <v>7.25</v>
      </c>
      <c r="J176" s="217">
        <f>(D176*2)/24</f>
        <v>0.33333333333333331</v>
      </c>
      <c r="K176" s="217">
        <f>C176*I176*J176</f>
        <v>4.833333333333333</v>
      </c>
      <c r="L176" s="219">
        <f>K176/2204</f>
        <v>2.1929824561403508E-3</v>
      </c>
    </row>
    <row r="177" spans="1:12" ht="92.25" x14ac:dyDescent="1.3">
      <c r="A177" s="214"/>
      <c r="B177" s="217" t="s">
        <v>486</v>
      </c>
      <c r="C177" s="217">
        <v>13</v>
      </c>
      <c r="D177" s="217">
        <v>3</v>
      </c>
      <c r="E177" s="217">
        <f>D177/8</f>
        <v>0.375</v>
      </c>
      <c r="F177" s="220"/>
      <c r="G177" s="217">
        <v>5.8330000000000002</v>
      </c>
      <c r="H177" s="217">
        <f>(12*E177*2)/12</f>
        <v>0.75</v>
      </c>
      <c r="I177" s="217">
        <f>G177+H177</f>
        <v>6.5830000000000002</v>
      </c>
      <c r="J177" s="217">
        <f>(D177*2)/24</f>
        <v>0.25</v>
      </c>
      <c r="K177" s="217">
        <f>C177*I177*J177</f>
        <v>21.394750000000002</v>
      </c>
      <c r="L177" s="219">
        <f>K177/2204</f>
        <v>9.7072368421052633E-3</v>
      </c>
    </row>
    <row r="178" spans="1:12" x14ac:dyDescent="0.2">
      <c r="A178" s="214"/>
      <c r="B178" s="221" t="s">
        <v>126</v>
      </c>
      <c r="C178" s="217"/>
      <c r="D178" s="217"/>
      <c r="E178" s="217"/>
      <c r="F178" s="217"/>
      <c r="G178" s="217"/>
      <c r="H178" s="217"/>
      <c r="I178" s="217"/>
      <c r="J178" s="217"/>
      <c r="K178" s="222">
        <f>SUM(K175:K177)</f>
        <v>31.061416666666666</v>
      </c>
      <c r="L178" s="223">
        <f>SUM(L175:L177)</f>
        <v>1.4093201754385965E-2</v>
      </c>
    </row>
    <row r="179" spans="1:12" x14ac:dyDescent="0.2">
      <c r="A179" s="214" t="s">
        <v>526</v>
      </c>
      <c r="B179" s="215" t="s">
        <v>952</v>
      </c>
      <c r="C179" s="215" t="s">
        <v>527</v>
      </c>
      <c r="D179" s="215"/>
      <c r="E179" s="215"/>
      <c r="F179" s="215"/>
      <c r="G179" s="215"/>
      <c r="H179" s="215"/>
      <c r="I179" s="215"/>
      <c r="J179" s="215"/>
      <c r="K179" s="215"/>
      <c r="L179" s="216"/>
    </row>
    <row r="180" spans="1:12" x14ac:dyDescent="0.2">
      <c r="A180" s="214"/>
      <c r="B180" s="215"/>
      <c r="C180" s="215"/>
      <c r="D180" s="215"/>
      <c r="E180" s="215"/>
      <c r="F180" s="215"/>
      <c r="G180" s="215"/>
      <c r="H180" s="215"/>
      <c r="I180" s="215"/>
      <c r="J180" s="215"/>
      <c r="K180" s="215"/>
      <c r="L180" s="216"/>
    </row>
    <row r="181" spans="1:12" ht="46.5" x14ac:dyDescent="0.65">
      <c r="A181" s="214"/>
      <c r="B181" s="217" t="s">
        <v>482</v>
      </c>
      <c r="C181" s="217">
        <v>2</v>
      </c>
      <c r="D181" s="217">
        <v>4</v>
      </c>
      <c r="E181" s="217">
        <v>0.5</v>
      </c>
      <c r="F181" s="218"/>
      <c r="G181" s="217">
        <v>15.25</v>
      </c>
      <c r="H181" s="217">
        <f>(12*E181*2)/12</f>
        <v>1</v>
      </c>
      <c r="I181" s="217">
        <f>G181+H181</f>
        <v>16.25</v>
      </c>
      <c r="J181" s="217">
        <f>(D181*2)/24</f>
        <v>0.33333333333333331</v>
      </c>
      <c r="K181" s="217">
        <f>C181*I181*J181</f>
        <v>10.833333333333332</v>
      </c>
      <c r="L181" s="219">
        <f>K181/2204</f>
        <v>4.9153055051421651E-3</v>
      </c>
    </row>
    <row r="182" spans="1:12" ht="46.5" x14ac:dyDescent="0.65">
      <c r="A182" s="214"/>
      <c r="B182" s="217" t="s">
        <v>484</v>
      </c>
      <c r="C182" s="217">
        <v>2</v>
      </c>
      <c r="D182" s="217">
        <v>4</v>
      </c>
      <c r="E182" s="217">
        <v>0.5</v>
      </c>
      <c r="F182" s="218"/>
      <c r="G182" s="217">
        <v>15.25</v>
      </c>
      <c r="H182" s="217">
        <f>(12*E182*2)/12</f>
        <v>1</v>
      </c>
      <c r="I182" s="217">
        <f>G182+H182</f>
        <v>16.25</v>
      </c>
      <c r="J182" s="217">
        <f>(D182*2)/24</f>
        <v>0.33333333333333331</v>
      </c>
      <c r="K182" s="217">
        <f>C182*I182*J182</f>
        <v>10.833333333333332</v>
      </c>
      <c r="L182" s="219">
        <f>K182/2204</f>
        <v>4.9153055051421651E-3</v>
      </c>
    </row>
    <row r="183" spans="1:12" ht="92.25" x14ac:dyDescent="1.3">
      <c r="A183" s="214"/>
      <c r="B183" s="217" t="s">
        <v>486</v>
      </c>
      <c r="C183" s="217">
        <v>25</v>
      </c>
      <c r="D183" s="217">
        <v>3</v>
      </c>
      <c r="E183" s="217">
        <f>D183/8</f>
        <v>0.375</v>
      </c>
      <c r="F183" s="220"/>
      <c r="G183" s="217">
        <v>5.8333000000000004</v>
      </c>
      <c r="H183" s="217">
        <f>(12*E183*2)/12</f>
        <v>0.75</v>
      </c>
      <c r="I183" s="217">
        <f>G183+H183</f>
        <v>6.5833000000000004</v>
      </c>
      <c r="J183" s="217">
        <f>(D183*2)/24</f>
        <v>0.25</v>
      </c>
      <c r="K183" s="217">
        <f>C183*I183*J183</f>
        <v>41.145625000000003</v>
      </c>
      <c r="L183" s="219">
        <f>K183/2204</f>
        <v>1.8668613883847551E-2</v>
      </c>
    </row>
    <row r="184" spans="1:12" x14ac:dyDescent="0.2">
      <c r="A184" s="214"/>
      <c r="B184" s="221" t="s">
        <v>126</v>
      </c>
      <c r="C184" s="217"/>
      <c r="D184" s="217"/>
      <c r="E184" s="217"/>
      <c r="F184" s="217"/>
      <c r="G184" s="217"/>
      <c r="H184" s="217"/>
      <c r="I184" s="217"/>
      <c r="J184" s="217"/>
      <c r="K184" s="222">
        <f>SUM(K181:K183)</f>
        <v>62.812291666666667</v>
      </c>
      <c r="L184" s="223">
        <f>SUM(L181:L183)</f>
        <v>2.8499224894131883E-2</v>
      </c>
    </row>
    <row r="185" spans="1:12" x14ac:dyDescent="0.2">
      <c r="A185" s="214"/>
      <c r="B185" s="215"/>
      <c r="C185" s="215"/>
      <c r="D185" s="215"/>
      <c r="E185" s="215"/>
      <c r="F185" s="215"/>
      <c r="G185" s="215"/>
      <c r="H185" s="215"/>
      <c r="I185" s="215"/>
      <c r="J185" s="215"/>
      <c r="K185" s="215"/>
      <c r="L185" s="216"/>
    </row>
    <row r="186" spans="1:12" x14ac:dyDescent="0.2">
      <c r="A186" s="214" t="s">
        <v>526</v>
      </c>
      <c r="B186" s="215" t="s">
        <v>951</v>
      </c>
      <c r="C186" s="215" t="s">
        <v>524</v>
      </c>
      <c r="D186" s="215"/>
      <c r="E186" s="215"/>
      <c r="F186" s="215"/>
      <c r="G186" s="215"/>
      <c r="H186" s="215"/>
      <c r="I186" s="215"/>
      <c r="J186" s="215"/>
      <c r="K186" s="215"/>
      <c r="L186" s="216"/>
    </row>
    <row r="187" spans="1:12" x14ac:dyDescent="0.2">
      <c r="A187" s="214"/>
      <c r="B187" s="215"/>
      <c r="C187" s="215"/>
      <c r="D187" s="215"/>
      <c r="E187" s="215"/>
      <c r="F187" s="215"/>
      <c r="G187" s="215"/>
      <c r="H187" s="215"/>
      <c r="I187" s="215"/>
      <c r="J187" s="215"/>
      <c r="K187" s="215"/>
      <c r="L187" s="216"/>
    </row>
    <row r="188" spans="1:12" ht="46.5" x14ac:dyDescent="0.65">
      <c r="A188" s="214"/>
      <c r="B188" s="217" t="s">
        <v>482</v>
      </c>
      <c r="C188" s="217">
        <v>2</v>
      </c>
      <c r="D188" s="217">
        <v>4</v>
      </c>
      <c r="E188" s="217">
        <v>0.5</v>
      </c>
      <c r="F188" s="218"/>
      <c r="G188" s="217">
        <v>9.5830000000000002</v>
      </c>
      <c r="H188" s="217">
        <f>(12*E188*2)/12</f>
        <v>1</v>
      </c>
      <c r="I188" s="217">
        <f>G188+H188</f>
        <v>10.583</v>
      </c>
      <c r="J188" s="217">
        <f>(D188*2)/24</f>
        <v>0.33333333333333331</v>
      </c>
      <c r="K188" s="217">
        <f>C188*I188*J188</f>
        <v>7.0553333333333335</v>
      </c>
      <c r="L188" s="219">
        <f>K188/2204</f>
        <v>3.2011494252873565E-3</v>
      </c>
    </row>
    <row r="189" spans="1:12" ht="46.5" x14ac:dyDescent="0.65">
      <c r="A189" s="214"/>
      <c r="B189" s="217" t="s">
        <v>484</v>
      </c>
      <c r="C189" s="217">
        <v>2</v>
      </c>
      <c r="D189" s="217">
        <v>4</v>
      </c>
      <c r="E189" s="217">
        <v>0.5</v>
      </c>
      <c r="F189" s="218"/>
      <c r="G189" s="217">
        <v>9.5830000000000002</v>
      </c>
      <c r="H189" s="217">
        <f>(12*E189*2)/12</f>
        <v>1</v>
      </c>
      <c r="I189" s="217">
        <f>G189+H189</f>
        <v>10.583</v>
      </c>
      <c r="J189" s="217">
        <f>(D189*2)/24</f>
        <v>0.33333333333333331</v>
      </c>
      <c r="K189" s="217">
        <f>C189*I189*J189</f>
        <v>7.0553333333333335</v>
      </c>
      <c r="L189" s="219">
        <f>K189/2204</f>
        <v>3.2011494252873565E-3</v>
      </c>
    </row>
    <row r="190" spans="1:12" ht="92.25" x14ac:dyDescent="1.3">
      <c r="A190" s="214"/>
      <c r="B190" s="217" t="s">
        <v>486</v>
      </c>
      <c r="C190" s="217">
        <v>16</v>
      </c>
      <c r="D190" s="217">
        <v>3</v>
      </c>
      <c r="E190" s="217">
        <f>D190/8</f>
        <v>0.375</v>
      </c>
      <c r="F190" s="220"/>
      <c r="G190" s="217">
        <v>5.8333000000000004</v>
      </c>
      <c r="H190" s="217">
        <f>(12*E190*2)/12</f>
        <v>0.75</v>
      </c>
      <c r="I190" s="217">
        <f>G190+H190</f>
        <v>6.5833000000000004</v>
      </c>
      <c r="J190" s="217">
        <f>(D190*2)/24</f>
        <v>0.25</v>
      </c>
      <c r="K190" s="217">
        <f>C190*I190*J190</f>
        <v>26.333200000000001</v>
      </c>
      <c r="L190" s="219">
        <f>K190/2204</f>
        <v>1.1947912885662432E-2</v>
      </c>
    </row>
    <row r="191" spans="1:12" x14ac:dyDescent="0.2">
      <c r="A191" s="214"/>
      <c r="B191" s="221" t="s">
        <v>126</v>
      </c>
      <c r="C191" s="217"/>
      <c r="D191" s="217"/>
      <c r="E191" s="217"/>
      <c r="F191" s="217"/>
      <c r="G191" s="217"/>
      <c r="H191" s="217"/>
      <c r="I191" s="217"/>
      <c r="J191" s="217"/>
      <c r="K191" s="222">
        <f>SUM(K188:K190)</f>
        <v>40.443866666666665</v>
      </c>
      <c r="L191" s="223">
        <f>SUM(L188:L190)</f>
        <v>1.8350211736237146E-2</v>
      </c>
    </row>
    <row r="192" spans="1:12" x14ac:dyDescent="0.2">
      <c r="A192" s="214"/>
      <c r="B192" s="215"/>
      <c r="C192" s="215"/>
      <c r="D192" s="215"/>
      <c r="E192" s="215"/>
      <c r="F192" s="215"/>
      <c r="G192" s="215"/>
      <c r="H192" s="215"/>
      <c r="I192" s="215"/>
      <c r="J192" s="215"/>
      <c r="K192" s="215"/>
      <c r="L192" s="216"/>
    </row>
    <row r="193" spans="1:12" x14ac:dyDescent="0.2">
      <c r="A193" s="214"/>
      <c r="B193" s="215" t="s">
        <v>523</v>
      </c>
      <c r="C193" s="215"/>
      <c r="D193" s="215"/>
      <c r="E193" s="215"/>
      <c r="F193" s="215"/>
      <c r="G193" s="215"/>
      <c r="H193" s="215"/>
      <c r="I193" s="215"/>
      <c r="J193" s="215"/>
      <c r="K193" s="215"/>
      <c r="L193" s="216"/>
    </row>
    <row r="194" spans="1:12" ht="46.5" x14ac:dyDescent="0.65">
      <c r="A194" s="214"/>
      <c r="B194" s="217" t="s">
        <v>482</v>
      </c>
      <c r="C194" s="217">
        <v>2</v>
      </c>
      <c r="D194" s="217">
        <v>4</v>
      </c>
      <c r="E194" s="217">
        <v>0.5</v>
      </c>
      <c r="F194" s="218"/>
      <c r="G194" s="217">
        <v>7.8330000000000002</v>
      </c>
      <c r="H194" s="217">
        <f>(12*E194*2)/12</f>
        <v>1</v>
      </c>
      <c r="I194" s="217">
        <f>G194+H194</f>
        <v>8.8330000000000002</v>
      </c>
      <c r="J194" s="217">
        <f>(D194*2)/24</f>
        <v>0.33333333333333331</v>
      </c>
      <c r="K194" s="217">
        <f>C194*I194*J194</f>
        <v>5.8886666666666665</v>
      </c>
      <c r="L194" s="219">
        <f>K194/2204</f>
        <v>2.6718088324258924E-3</v>
      </c>
    </row>
    <row r="195" spans="1:12" ht="46.5" x14ac:dyDescent="0.65">
      <c r="A195" s="214"/>
      <c r="B195" s="217" t="s">
        <v>484</v>
      </c>
      <c r="C195" s="217">
        <v>2</v>
      </c>
      <c r="D195" s="217">
        <v>4</v>
      </c>
      <c r="E195" s="217">
        <v>0.5</v>
      </c>
      <c r="F195" s="218"/>
      <c r="G195" s="217">
        <v>7.8330000000000002</v>
      </c>
      <c r="H195" s="217">
        <f>(12*E195*2)/12</f>
        <v>1</v>
      </c>
      <c r="I195" s="217">
        <f>G195+H195</f>
        <v>8.8330000000000002</v>
      </c>
      <c r="J195" s="217">
        <f>(D195*2)/24</f>
        <v>0.33333333333333331</v>
      </c>
      <c r="K195" s="217">
        <f>C195*I195*J195</f>
        <v>5.8886666666666665</v>
      </c>
      <c r="L195" s="219">
        <f>K195/2204</f>
        <v>2.6718088324258924E-3</v>
      </c>
    </row>
    <row r="196" spans="1:12" ht="92.25" x14ac:dyDescent="1.3">
      <c r="A196" s="214"/>
      <c r="B196" s="217" t="s">
        <v>486</v>
      </c>
      <c r="C196" s="217">
        <v>12</v>
      </c>
      <c r="D196" s="217">
        <v>3</v>
      </c>
      <c r="E196" s="217">
        <f>D196/8</f>
        <v>0.375</v>
      </c>
      <c r="F196" s="220"/>
      <c r="G196" s="217">
        <v>5.8333000000000004</v>
      </c>
      <c r="H196" s="217">
        <f>(12*E196*2)/12</f>
        <v>0.75</v>
      </c>
      <c r="I196" s="217">
        <f>G196+H196</f>
        <v>6.5833000000000004</v>
      </c>
      <c r="J196" s="217">
        <f>(D196*2)/24</f>
        <v>0.25</v>
      </c>
      <c r="K196" s="217">
        <f>C196*I196*J196</f>
        <v>19.7499</v>
      </c>
      <c r="L196" s="219">
        <f>K196/2204</f>
        <v>8.9609346642468245E-3</v>
      </c>
    </row>
    <row r="197" spans="1:12" x14ac:dyDescent="0.2">
      <c r="A197" s="214"/>
      <c r="B197" s="221" t="s">
        <v>126</v>
      </c>
      <c r="C197" s="217"/>
      <c r="D197" s="217"/>
      <c r="E197" s="217"/>
      <c r="F197" s="217"/>
      <c r="G197" s="217"/>
      <c r="H197" s="217"/>
      <c r="I197" s="217"/>
      <c r="J197" s="217"/>
      <c r="K197" s="222">
        <f>SUM(K194:K196)</f>
        <v>31.527233333333335</v>
      </c>
      <c r="L197" s="223">
        <f>SUM(L194:L196)</f>
        <v>1.4304552329098609E-2</v>
      </c>
    </row>
    <row r="198" spans="1:12" x14ac:dyDescent="0.2">
      <c r="A198" s="214"/>
      <c r="B198" s="215"/>
      <c r="C198" s="215"/>
      <c r="D198" s="215"/>
      <c r="E198" s="215"/>
      <c r="F198" s="215"/>
      <c r="G198" s="215"/>
      <c r="H198" s="215"/>
      <c r="I198" s="215"/>
      <c r="J198" s="215"/>
      <c r="K198" s="215"/>
      <c r="L198" s="216"/>
    </row>
    <row r="199" spans="1:12" x14ac:dyDescent="0.2">
      <c r="A199" s="214" t="s">
        <v>522</v>
      </c>
      <c r="B199" s="215" t="s">
        <v>950</v>
      </c>
      <c r="C199" s="215"/>
      <c r="D199" s="215"/>
      <c r="E199" s="215"/>
      <c r="F199" s="215"/>
      <c r="G199" s="215"/>
      <c r="H199" s="215"/>
      <c r="I199" s="215"/>
      <c r="J199" s="215"/>
      <c r="K199" s="215"/>
      <c r="L199" s="216"/>
    </row>
    <row r="200" spans="1:12" x14ac:dyDescent="0.2">
      <c r="A200" s="214"/>
      <c r="B200" s="215" t="s">
        <v>520</v>
      </c>
      <c r="C200" s="215"/>
      <c r="D200" s="215"/>
      <c r="E200" s="215"/>
      <c r="F200" s="215"/>
      <c r="G200" s="215"/>
      <c r="H200" s="215"/>
      <c r="I200" s="215"/>
      <c r="J200" s="215"/>
      <c r="K200" s="215"/>
      <c r="L200" s="216"/>
    </row>
    <row r="201" spans="1:12" ht="46.5" x14ac:dyDescent="0.65">
      <c r="A201" s="214"/>
      <c r="B201" s="217" t="s">
        <v>482</v>
      </c>
      <c r="C201" s="217">
        <v>2</v>
      </c>
      <c r="D201" s="217">
        <v>4</v>
      </c>
      <c r="E201" s="217">
        <v>0.5</v>
      </c>
      <c r="F201" s="218"/>
      <c r="G201" s="217">
        <v>6.25</v>
      </c>
      <c r="H201" s="217">
        <f>(12*E201*2)/12</f>
        <v>1</v>
      </c>
      <c r="I201" s="217">
        <f>G201+H201</f>
        <v>7.25</v>
      </c>
      <c r="J201" s="217">
        <f>(D201*2)/24</f>
        <v>0.33333333333333331</v>
      </c>
      <c r="K201" s="217">
        <f>C201*I201*J201</f>
        <v>4.833333333333333</v>
      </c>
      <c r="L201" s="219">
        <f>K201/2204</f>
        <v>2.1929824561403508E-3</v>
      </c>
    </row>
    <row r="202" spans="1:12" ht="46.5" x14ac:dyDescent="0.65">
      <c r="A202" s="214"/>
      <c r="B202" s="217" t="s">
        <v>484</v>
      </c>
      <c r="C202" s="217">
        <v>2</v>
      </c>
      <c r="D202" s="217">
        <v>4</v>
      </c>
      <c r="E202" s="217">
        <v>0.5</v>
      </c>
      <c r="F202" s="218"/>
      <c r="G202" s="217">
        <v>6.25</v>
      </c>
      <c r="H202" s="217">
        <f>(12*E202*2)/12</f>
        <v>1</v>
      </c>
      <c r="I202" s="217">
        <f>G202+H202</f>
        <v>7.25</v>
      </c>
      <c r="J202" s="217">
        <f>(D202*2)/24</f>
        <v>0.33333333333333331</v>
      </c>
      <c r="K202" s="217">
        <f>C202*I202*J202</f>
        <v>4.833333333333333</v>
      </c>
      <c r="L202" s="219">
        <f>K202/2204</f>
        <v>2.1929824561403508E-3</v>
      </c>
    </row>
    <row r="203" spans="1:12" ht="92.25" x14ac:dyDescent="1.3">
      <c r="A203" s="214"/>
      <c r="B203" s="217" t="s">
        <v>486</v>
      </c>
      <c r="C203" s="217">
        <v>13</v>
      </c>
      <c r="D203" s="217">
        <v>3</v>
      </c>
      <c r="E203" s="217">
        <f>D203/8</f>
        <v>0.375</v>
      </c>
      <c r="F203" s="220"/>
      <c r="G203" s="217">
        <v>5.8330000000000002</v>
      </c>
      <c r="H203" s="217">
        <f>(12*E203*2)/12</f>
        <v>0.75</v>
      </c>
      <c r="I203" s="217">
        <f>G203+H203</f>
        <v>6.5830000000000002</v>
      </c>
      <c r="J203" s="217">
        <f>(D203*2)/24</f>
        <v>0.25</v>
      </c>
      <c r="K203" s="217">
        <f>C203*I203*J203</f>
        <v>21.394750000000002</v>
      </c>
      <c r="L203" s="219">
        <f>K203/2204</f>
        <v>9.7072368421052633E-3</v>
      </c>
    </row>
    <row r="204" spans="1:12" x14ac:dyDescent="0.2">
      <c r="A204" s="214"/>
      <c r="B204" s="221" t="s">
        <v>126</v>
      </c>
      <c r="C204" s="217"/>
      <c r="D204" s="217"/>
      <c r="E204" s="217"/>
      <c r="F204" s="217"/>
      <c r="G204" s="217"/>
      <c r="H204" s="217"/>
      <c r="I204" s="217"/>
      <c r="J204" s="217"/>
      <c r="K204" s="222">
        <f>SUM(K201:K203)</f>
        <v>31.061416666666666</v>
      </c>
      <c r="L204" s="223">
        <f>SUM(L201:L203)</f>
        <v>1.4093201754385965E-2</v>
      </c>
    </row>
    <row r="205" spans="1:12" x14ac:dyDescent="0.2">
      <c r="A205" s="214"/>
      <c r="B205" s="215"/>
      <c r="C205" s="215"/>
      <c r="D205" s="215"/>
      <c r="E205" s="215"/>
      <c r="F205" s="215"/>
      <c r="G205" s="215"/>
      <c r="H205" s="215"/>
      <c r="I205" s="215"/>
      <c r="J205" s="215"/>
      <c r="K205" s="215"/>
      <c r="L205" s="216"/>
    </row>
    <row r="206" spans="1:12" x14ac:dyDescent="0.2">
      <c r="A206" s="214" t="s">
        <v>519</v>
      </c>
      <c r="B206" s="215" t="s">
        <v>949</v>
      </c>
      <c r="C206" s="215"/>
      <c r="D206" s="215"/>
      <c r="E206" s="215"/>
      <c r="F206" s="215"/>
      <c r="G206" s="215"/>
      <c r="H206" s="215"/>
      <c r="I206" s="215"/>
      <c r="J206" s="215"/>
      <c r="K206" s="215"/>
      <c r="L206" s="216"/>
    </row>
    <row r="207" spans="1:12" ht="46.5" x14ac:dyDescent="0.65">
      <c r="A207" s="214"/>
      <c r="B207" s="217" t="s">
        <v>482</v>
      </c>
      <c r="C207" s="217">
        <v>2</v>
      </c>
      <c r="D207" s="217">
        <v>4</v>
      </c>
      <c r="E207" s="217">
        <v>0.5</v>
      </c>
      <c r="F207" s="218"/>
      <c r="G207" s="217">
        <f>2*14.75</f>
        <v>29.5</v>
      </c>
      <c r="H207" s="217">
        <f>(12*E207*2)/12</f>
        <v>1</v>
      </c>
      <c r="I207" s="217">
        <f>G207+H207</f>
        <v>30.5</v>
      </c>
      <c r="J207" s="217">
        <f>(D207*2)/24</f>
        <v>0.33333333333333331</v>
      </c>
      <c r="K207" s="217">
        <f>C207*I207*J207</f>
        <v>20.333333333333332</v>
      </c>
      <c r="L207" s="219">
        <f>K207/2204</f>
        <v>9.2256503327283728E-3</v>
      </c>
    </row>
    <row r="208" spans="1:12" ht="46.5" x14ac:dyDescent="0.65">
      <c r="A208" s="214"/>
      <c r="B208" s="217" t="s">
        <v>484</v>
      </c>
      <c r="C208" s="217">
        <v>2</v>
      </c>
      <c r="D208" s="217">
        <v>4</v>
      </c>
      <c r="E208" s="217">
        <v>0.5</v>
      </c>
      <c r="F208" s="218"/>
      <c r="G208" s="217">
        <f>2*14.75</f>
        <v>29.5</v>
      </c>
      <c r="H208" s="217">
        <f>(12*E208*2)/12</f>
        <v>1</v>
      </c>
      <c r="I208" s="217">
        <f>G208+H208</f>
        <v>30.5</v>
      </c>
      <c r="J208" s="217">
        <f>(D208*2)/24</f>
        <v>0.33333333333333331</v>
      </c>
      <c r="K208" s="217">
        <f>C208*I208*J208</f>
        <v>20.333333333333332</v>
      </c>
      <c r="L208" s="219">
        <f>K208/2204</f>
        <v>9.2256503327283728E-3</v>
      </c>
    </row>
    <row r="209" spans="1:12" ht="92.25" x14ac:dyDescent="1.3">
      <c r="A209" s="214"/>
      <c r="B209" s="217" t="s">
        <v>486</v>
      </c>
      <c r="C209" s="217">
        <v>54</v>
      </c>
      <c r="D209" s="217">
        <v>3</v>
      </c>
      <c r="E209" s="217">
        <f>D209/8</f>
        <v>0.375</v>
      </c>
      <c r="F209" s="220"/>
      <c r="G209" s="217">
        <v>5.8330000000000002</v>
      </c>
      <c r="H209" s="217">
        <f>(12*E209*2)/12</f>
        <v>0.75</v>
      </c>
      <c r="I209" s="217">
        <f>G209+H209</f>
        <v>6.5830000000000002</v>
      </c>
      <c r="J209" s="217">
        <f>(D209*2)/24</f>
        <v>0.25</v>
      </c>
      <c r="K209" s="217">
        <f>C209*I209*J209</f>
        <v>88.870500000000007</v>
      </c>
      <c r="L209" s="219">
        <f>K209/2204</f>
        <v>4.0322368421052635E-2</v>
      </c>
    </row>
    <row r="210" spans="1:12" x14ac:dyDescent="0.2">
      <c r="A210" s="214"/>
      <c r="B210" s="221" t="s">
        <v>126</v>
      </c>
      <c r="C210" s="217"/>
      <c r="D210" s="217"/>
      <c r="E210" s="217"/>
      <c r="F210" s="217"/>
      <c r="G210" s="217"/>
      <c r="H210" s="217"/>
      <c r="I210" s="217"/>
      <c r="J210" s="217"/>
      <c r="K210" s="222">
        <f>SUM(K207:K209)</f>
        <v>129.53716666666668</v>
      </c>
      <c r="L210" s="223">
        <f>SUM(L207:L209)</f>
        <v>5.8773669086509384E-2</v>
      </c>
    </row>
    <row r="211" spans="1:12" x14ac:dyDescent="0.2">
      <c r="A211" s="214"/>
      <c r="B211" s="215"/>
      <c r="C211" s="215"/>
      <c r="D211" s="215"/>
      <c r="E211" s="215"/>
      <c r="F211" s="215"/>
      <c r="G211" s="215"/>
      <c r="H211" s="215"/>
      <c r="I211" s="215"/>
      <c r="J211" s="215"/>
      <c r="K211" s="215"/>
      <c r="L211" s="216"/>
    </row>
    <row r="212" spans="1:12" x14ac:dyDescent="0.2">
      <c r="A212" s="214" t="s">
        <v>517</v>
      </c>
      <c r="B212" s="215" t="s">
        <v>948</v>
      </c>
      <c r="C212" s="215"/>
      <c r="D212" s="215"/>
      <c r="E212" s="215"/>
      <c r="F212" s="215"/>
      <c r="G212" s="215"/>
      <c r="H212" s="215"/>
      <c r="I212" s="215"/>
      <c r="J212" s="215"/>
      <c r="K212" s="215"/>
      <c r="L212" s="216"/>
    </row>
    <row r="213" spans="1:12" ht="46.5" x14ac:dyDescent="0.65">
      <c r="A213" s="214"/>
      <c r="B213" s="217" t="s">
        <v>482</v>
      </c>
      <c r="C213" s="217">
        <v>2</v>
      </c>
      <c r="D213" s="217">
        <v>4</v>
      </c>
      <c r="E213" s="217">
        <v>0.5</v>
      </c>
      <c r="F213" s="218"/>
      <c r="G213" s="217">
        <v>9.25</v>
      </c>
      <c r="H213" s="217">
        <f>(12*E213*2)/12</f>
        <v>1</v>
      </c>
      <c r="I213" s="217">
        <f>G213+H213</f>
        <v>10.25</v>
      </c>
      <c r="J213" s="217">
        <f>(D213*2)/24</f>
        <v>0.33333333333333331</v>
      </c>
      <c r="K213" s="217">
        <f>C213*I213*J213</f>
        <v>6.833333333333333</v>
      </c>
      <c r="L213" s="219">
        <f>K213/2204</f>
        <v>3.100423472474289E-3</v>
      </c>
    </row>
    <row r="214" spans="1:12" ht="46.5" x14ac:dyDescent="0.65">
      <c r="A214" s="214"/>
      <c r="B214" s="217" t="s">
        <v>484</v>
      </c>
      <c r="C214" s="217">
        <v>2</v>
      </c>
      <c r="D214" s="217">
        <v>4</v>
      </c>
      <c r="E214" s="217">
        <v>0.5</v>
      </c>
      <c r="F214" s="218"/>
      <c r="G214" s="217">
        <v>9.25</v>
      </c>
      <c r="H214" s="217">
        <f>(12*E214*2)/12</f>
        <v>1</v>
      </c>
      <c r="I214" s="217">
        <f>G214+H214</f>
        <v>10.25</v>
      </c>
      <c r="J214" s="217">
        <f>(D214*2)/24</f>
        <v>0.33333333333333331</v>
      </c>
      <c r="K214" s="217">
        <f>C214*I214*J214</f>
        <v>6.833333333333333</v>
      </c>
      <c r="L214" s="219">
        <f>K214/2204</f>
        <v>3.100423472474289E-3</v>
      </c>
    </row>
    <row r="215" spans="1:12" ht="92.25" x14ac:dyDescent="1.3">
      <c r="A215" s="214"/>
      <c r="B215" s="217" t="s">
        <v>486</v>
      </c>
      <c r="C215" s="217">
        <v>16</v>
      </c>
      <c r="D215" s="217">
        <v>3</v>
      </c>
      <c r="E215" s="217">
        <f>D215/8</f>
        <v>0.375</v>
      </c>
      <c r="F215" s="220"/>
      <c r="G215" s="217">
        <v>5.8330000000000002</v>
      </c>
      <c r="H215" s="217">
        <f>(12*E215*2)/12</f>
        <v>0.75</v>
      </c>
      <c r="I215" s="217">
        <f>G215+H215</f>
        <v>6.5830000000000002</v>
      </c>
      <c r="J215" s="217">
        <f>(D215*2)/24</f>
        <v>0.25</v>
      </c>
      <c r="K215" s="217">
        <f>C215*I215*J215</f>
        <v>26.332000000000001</v>
      </c>
      <c r="L215" s="219">
        <f>K215/2204</f>
        <v>1.1947368421052632E-2</v>
      </c>
    </row>
    <row r="216" spans="1:12" x14ac:dyDescent="0.2">
      <c r="A216" s="214"/>
      <c r="B216" s="221" t="s">
        <v>126</v>
      </c>
      <c r="C216" s="217"/>
      <c r="D216" s="217"/>
      <c r="E216" s="217"/>
      <c r="F216" s="217"/>
      <c r="G216" s="217"/>
      <c r="H216" s="217"/>
      <c r="I216" s="217"/>
      <c r="J216" s="217"/>
      <c r="K216" s="222">
        <f>SUM(K213:K215)</f>
        <v>39.998666666666665</v>
      </c>
      <c r="L216" s="223">
        <f>SUM(L213:L215)</f>
        <v>1.8148215366001211E-2</v>
      </c>
    </row>
    <row r="217" spans="1:12" x14ac:dyDescent="0.2">
      <c r="A217" s="214"/>
      <c r="B217" s="215"/>
      <c r="C217" s="215"/>
      <c r="D217" s="215"/>
      <c r="E217" s="215"/>
      <c r="F217" s="215"/>
      <c r="G217" s="215"/>
      <c r="H217" s="215"/>
      <c r="I217" s="215"/>
      <c r="J217" s="215"/>
      <c r="K217" s="215"/>
      <c r="L217" s="216"/>
    </row>
    <row r="218" spans="1:12" x14ac:dyDescent="0.2">
      <c r="A218" s="214" t="s">
        <v>515</v>
      </c>
      <c r="B218" s="215" t="s">
        <v>947</v>
      </c>
      <c r="C218" s="215"/>
      <c r="D218" s="215"/>
      <c r="E218" s="215"/>
      <c r="F218" s="215"/>
      <c r="G218" s="215"/>
      <c r="H218" s="215"/>
      <c r="I218" s="215"/>
      <c r="J218" s="215"/>
      <c r="K218" s="215"/>
      <c r="L218" s="216"/>
    </row>
    <row r="219" spans="1:12" ht="46.5" x14ac:dyDescent="0.65">
      <c r="A219" s="214"/>
      <c r="B219" s="217" t="s">
        <v>513</v>
      </c>
      <c r="C219" s="217"/>
      <c r="D219" s="217"/>
      <c r="E219" s="217"/>
      <c r="F219" s="218"/>
      <c r="G219" s="217"/>
      <c r="H219" s="217"/>
      <c r="I219" s="217"/>
      <c r="J219" s="217"/>
      <c r="K219" s="217"/>
      <c r="L219" s="219"/>
    </row>
    <row r="220" spans="1:12" ht="46.5" x14ac:dyDescent="0.65">
      <c r="A220" s="214"/>
      <c r="B220" s="217" t="s">
        <v>482</v>
      </c>
      <c r="C220" s="217">
        <v>2</v>
      </c>
      <c r="D220" s="217">
        <v>5</v>
      </c>
      <c r="E220" s="217">
        <v>0.5</v>
      </c>
      <c r="F220" s="218"/>
      <c r="G220" s="217">
        <v>17.667000000000002</v>
      </c>
      <c r="H220" s="217">
        <f>(12*E220*2)/12</f>
        <v>1</v>
      </c>
      <c r="I220" s="217">
        <f>G220+H220</f>
        <v>18.667000000000002</v>
      </c>
      <c r="J220" s="217">
        <f>(D220*2)/24</f>
        <v>0.41666666666666669</v>
      </c>
      <c r="K220" s="217">
        <f>C220*I220*J220</f>
        <v>15.555833333333336</v>
      </c>
      <c r="L220" s="219">
        <f>K220/2204</f>
        <v>7.0580006049606788E-3</v>
      </c>
    </row>
    <row r="221" spans="1:12" ht="23.25" x14ac:dyDescent="0.2">
      <c r="A221" s="214"/>
      <c r="B221" s="217" t="s">
        <v>483</v>
      </c>
      <c r="C221" s="217">
        <v>2</v>
      </c>
      <c r="D221" s="217">
        <v>4</v>
      </c>
      <c r="E221" s="217">
        <v>0.5</v>
      </c>
      <c r="F221" s="224"/>
      <c r="G221" s="217">
        <v>11.77</v>
      </c>
      <c r="H221" s="217"/>
      <c r="I221" s="217">
        <f>G221+H221</f>
        <v>11.77</v>
      </c>
      <c r="J221" s="217">
        <f>(D221*2)/24</f>
        <v>0.33333333333333331</v>
      </c>
      <c r="K221" s="217">
        <f>C221*I221*J221</f>
        <v>7.8466666666666658</v>
      </c>
      <c r="L221" s="219">
        <f>K221/2204</f>
        <v>3.5601935874168176E-3</v>
      </c>
    </row>
    <row r="222" spans="1:12" ht="46.5" x14ac:dyDescent="0.65">
      <c r="A222" s="214"/>
      <c r="B222" s="217" t="s">
        <v>484</v>
      </c>
      <c r="C222" s="217">
        <v>2</v>
      </c>
      <c r="D222" s="217">
        <v>5</v>
      </c>
      <c r="E222" s="217">
        <v>0.5</v>
      </c>
      <c r="F222" s="218"/>
      <c r="G222" s="217">
        <v>17.667000000000002</v>
      </c>
      <c r="H222" s="217">
        <f>(12*E222*2)/12</f>
        <v>1</v>
      </c>
      <c r="I222" s="217">
        <f>G222+H222</f>
        <v>18.667000000000002</v>
      </c>
      <c r="J222" s="217">
        <f>(D222*2)/24</f>
        <v>0.41666666666666669</v>
      </c>
      <c r="K222" s="217">
        <f>C222*I222*J222</f>
        <v>15.555833333333336</v>
      </c>
      <c r="L222" s="219">
        <f>K222/2204</f>
        <v>7.0580006049606788E-3</v>
      </c>
    </row>
    <row r="223" spans="1:12" ht="46.5" x14ac:dyDescent="0.2">
      <c r="A223" s="214"/>
      <c r="B223" s="217" t="s">
        <v>511</v>
      </c>
      <c r="C223" s="217">
        <v>2</v>
      </c>
      <c r="D223" s="217">
        <v>4</v>
      </c>
      <c r="E223" s="217">
        <v>0.5</v>
      </c>
      <c r="F223" s="225"/>
      <c r="G223" s="217">
        <v>8.8330000000000002</v>
      </c>
      <c r="H223" s="217">
        <f>(12*E222*2)/12</f>
        <v>1</v>
      </c>
      <c r="I223" s="217">
        <f>G223+H223</f>
        <v>9.8330000000000002</v>
      </c>
      <c r="J223" s="217">
        <f>(D223*2)/24</f>
        <v>0.33333333333333331</v>
      </c>
      <c r="K223" s="217">
        <f>C223*I223*J223</f>
        <v>6.5553333333333335</v>
      </c>
      <c r="L223" s="219">
        <f>K223/2204</f>
        <v>2.974289171203872E-3</v>
      </c>
    </row>
    <row r="224" spans="1:12" ht="92.25" x14ac:dyDescent="1.3">
      <c r="A224" s="214"/>
      <c r="B224" s="217" t="s">
        <v>486</v>
      </c>
      <c r="C224" s="217">
        <v>31</v>
      </c>
      <c r="D224" s="217">
        <v>3</v>
      </c>
      <c r="E224" s="217">
        <f>D224/8</f>
        <v>0.375</v>
      </c>
      <c r="F224" s="220"/>
      <c r="G224" s="217">
        <v>5.8330000000000002</v>
      </c>
      <c r="H224" s="217">
        <f>(12*E224*2)/12</f>
        <v>0.75</v>
      </c>
      <c r="I224" s="217">
        <f>G224+H224</f>
        <v>6.5830000000000002</v>
      </c>
      <c r="J224" s="217">
        <f>(D224*2)/24</f>
        <v>0.25</v>
      </c>
      <c r="K224" s="217">
        <f>C224*I224*J224</f>
        <v>51.018250000000002</v>
      </c>
      <c r="L224" s="219">
        <f>K224/2204</f>
        <v>2.3148026315789473E-2</v>
      </c>
    </row>
    <row r="225" spans="1:12" x14ac:dyDescent="0.2">
      <c r="A225" s="214"/>
      <c r="B225" s="221" t="s">
        <v>126</v>
      </c>
      <c r="C225" s="217"/>
      <c r="D225" s="217"/>
      <c r="E225" s="217"/>
      <c r="F225" s="217"/>
      <c r="G225" s="217"/>
      <c r="H225" s="217"/>
      <c r="I225" s="217"/>
      <c r="J225" s="217"/>
      <c r="K225" s="222">
        <f>SUM(K220:K224)</f>
        <v>96.531916666666689</v>
      </c>
      <c r="L225" s="223">
        <f>SUM(L220:L224)</f>
        <v>4.3798510284331515E-2</v>
      </c>
    </row>
    <row r="226" spans="1:12" x14ac:dyDescent="0.2">
      <c r="A226" s="214"/>
      <c r="B226" s="215"/>
      <c r="C226" s="215"/>
      <c r="D226" s="215"/>
      <c r="E226" s="215"/>
      <c r="F226" s="215"/>
      <c r="G226" s="215"/>
      <c r="H226" s="215"/>
      <c r="I226" s="215"/>
      <c r="J226" s="215"/>
      <c r="K226" s="215"/>
      <c r="L226" s="216"/>
    </row>
    <row r="227" spans="1:12" ht="46.5" x14ac:dyDescent="0.65">
      <c r="A227" s="214"/>
      <c r="B227" s="217" t="s">
        <v>512</v>
      </c>
      <c r="C227" s="217"/>
      <c r="D227" s="217"/>
      <c r="E227" s="217"/>
      <c r="F227" s="218"/>
      <c r="G227" s="217"/>
      <c r="H227" s="217"/>
      <c r="I227" s="217"/>
      <c r="J227" s="217"/>
      <c r="K227" s="217"/>
      <c r="L227" s="219"/>
    </row>
    <row r="228" spans="1:12" ht="46.5" x14ac:dyDescent="0.65">
      <c r="A228" s="214"/>
      <c r="B228" s="217" t="s">
        <v>482</v>
      </c>
      <c r="C228" s="217">
        <v>2</v>
      </c>
      <c r="D228" s="217">
        <v>5</v>
      </c>
      <c r="E228" s="217">
        <v>0.5</v>
      </c>
      <c r="F228" s="218"/>
      <c r="G228" s="217">
        <v>15.083299999999999</v>
      </c>
      <c r="H228" s="217">
        <f>(12*E228*2)/12</f>
        <v>1</v>
      </c>
      <c r="I228" s="217">
        <f>G228+H228</f>
        <v>16.083300000000001</v>
      </c>
      <c r="J228" s="217">
        <f>(D228*2)/24</f>
        <v>0.41666666666666669</v>
      </c>
      <c r="K228" s="217">
        <f>C228*I228*J228</f>
        <v>13.402750000000001</v>
      </c>
      <c r="L228" s="219">
        <f>K228/2204</f>
        <v>6.0811025408348462E-3</v>
      </c>
    </row>
    <row r="229" spans="1:12" ht="23.25" x14ac:dyDescent="0.2">
      <c r="A229" s="214"/>
      <c r="B229" s="217" t="s">
        <v>483</v>
      </c>
      <c r="C229" s="217">
        <v>2</v>
      </c>
      <c r="D229" s="217">
        <v>4</v>
      </c>
      <c r="E229" s="217">
        <v>0.5</v>
      </c>
      <c r="F229" s="224"/>
      <c r="G229" s="217">
        <v>10</v>
      </c>
      <c r="H229" s="217"/>
      <c r="I229" s="217">
        <f>G229+H229</f>
        <v>10</v>
      </c>
      <c r="J229" s="217">
        <f>(D229*2)/24</f>
        <v>0.33333333333333331</v>
      </c>
      <c r="K229" s="217">
        <f>C229*I229*J229</f>
        <v>6.6666666666666661</v>
      </c>
      <c r="L229" s="219">
        <f>K229/2204</f>
        <v>3.0248033877797939E-3</v>
      </c>
    </row>
    <row r="230" spans="1:12" ht="46.5" x14ac:dyDescent="0.65">
      <c r="A230" s="214"/>
      <c r="B230" s="217" t="s">
        <v>484</v>
      </c>
      <c r="C230" s="217">
        <v>2</v>
      </c>
      <c r="D230" s="217">
        <v>5</v>
      </c>
      <c r="E230" s="217">
        <v>0.5</v>
      </c>
      <c r="F230" s="218"/>
      <c r="G230" s="217">
        <v>15.083299999999999</v>
      </c>
      <c r="H230" s="217">
        <f>(12*E230*2)/12</f>
        <v>1</v>
      </c>
      <c r="I230" s="217">
        <f>G230+H230</f>
        <v>16.083300000000001</v>
      </c>
      <c r="J230" s="217">
        <f>(D230*2)/24</f>
        <v>0.41666666666666669</v>
      </c>
      <c r="K230" s="217">
        <f>C230*I230*J230</f>
        <v>13.402750000000001</v>
      </c>
      <c r="L230" s="219">
        <f>K230/2204</f>
        <v>6.0811025408348462E-3</v>
      </c>
    </row>
    <row r="231" spans="1:12" ht="46.5" x14ac:dyDescent="0.2">
      <c r="A231" s="214"/>
      <c r="B231" s="217" t="s">
        <v>511</v>
      </c>
      <c r="C231" s="217">
        <v>2</v>
      </c>
      <c r="D231" s="217">
        <v>4</v>
      </c>
      <c r="E231" s="217">
        <v>0.5</v>
      </c>
      <c r="F231" s="225"/>
      <c r="G231" s="217">
        <v>7.5</v>
      </c>
      <c r="H231" s="217">
        <f>(12*E230*2)/12</f>
        <v>1</v>
      </c>
      <c r="I231" s="217">
        <f>G231+H231</f>
        <v>8.5</v>
      </c>
      <c r="J231" s="217">
        <f>(D231*2)/24</f>
        <v>0.33333333333333331</v>
      </c>
      <c r="K231" s="217">
        <f>C231*I231*J231</f>
        <v>5.6666666666666661</v>
      </c>
      <c r="L231" s="219">
        <f>K231/2204</f>
        <v>2.571082879612825E-3</v>
      </c>
    </row>
    <row r="232" spans="1:12" ht="92.25" x14ac:dyDescent="1.3">
      <c r="A232" s="214"/>
      <c r="B232" s="217" t="s">
        <v>486</v>
      </c>
      <c r="C232" s="217">
        <v>28</v>
      </c>
      <c r="D232" s="217">
        <v>3</v>
      </c>
      <c r="E232" s="217">
        <f>D232/8</f>
        <v>0.375</v>
      </c>
      <c r="F232" s="220"/>
      <c r="G232" s="217">
        <v>5.8330000000000002</v>
      </c>
      <c r="H232" s="217">
        <f>(12*E232*2)/12</f>
        <v>0.75</v>
      </c>
      <c r="I232" s="217">
        <f>G232+H232</f>
        <v>6.5830000000000002</v>
      </c>
      <c r="J232" s="217">
        <f>(D232*2)/24</f>
        <v>0.25</v>
      </c>
      <c r="K232" s="217">
        <f>C232*I232*J232</f>
        <v>46.081000000000003</v>
      </c>
      <c r="L232" s="219">
        <f>K232/2204</f>
        <v>2.0907894736842108E-2</v>
      </c>
    </row>
    <row r="233" spans="1:12" x14ac:dyDescent="0.2">
      <c r="A233" s="214"/>
      <c r="B233" s="221" t="s">
        <v>126</v>
      </c>
      <c r="C233" s="217"/>
      <c r="D233" s="217"/>
      <c r="E233" s="217"/>
      <c r="F233" s="217"/>
      <c r="G233" s="217"/>
      <c r="H233" s="217"/>
      <c r="I233" s="217"/>
      <c r="J233" s="217"/>
      <c r="K233" s="222">
        <f>SUM(K228:K232)</f>
        <v>85.219833333333327</v>
      </c>
      <c r="L233" s="223">
        <f>SUM(L228:L232)</f>
        <v>3.8665986085904422E-2</v>
      </c>
    </row>
    <row r="234" spans="1:12" x14ac:dyDescent="0.2">
      <c r="A234" s="214"/>
      <c r="B234" s="215"/>
      <c r="C234" s="215"/>
      <c r="D234" s="215"/>
      <c r="E234" s="215"/>
      <c r="F234" s="215"/>
      <c r="G234" s="215"/>
      <c r="H234" s="215"/>
      <c r="I234" s="215"/>
      <c r="J234" s="215"/>
      <c r="K234" s="215"/>
      <c r="L234" s="216"/>
    </row>
    <row r="235" spans="1:12" x14ac:dyDescent="0.2">
      <c r="A235" s="214" t="s">
        <v>510</v>
      </c>
      <c r="B235" s="215" t="s">
        <v>946</v>
      </c>
      <c r="C235" s="215"/>
      <c r="D235" s="215"/>
      <c r="E235" s="215"/>
      <c r="F235" s="215"/>
      <c r="G235" s="215"/>
      <c r="H235" s="215"/>
      <c r="I235" s="215"/>
      <c r="J235" s="215"/>
      <c r="K235" s="215"/>
      <c r="L235" s="216"/>
    </row>
    <row r="236" spans="1:12" ht="46.5" x14ac:dyDescent="0.65">
      <c r="A236" s="214"/>
      <c r="B236" s="217" t="s">
        <v>482</v>
      </c>
      <c r="C236" s="217">
        <v>2</v>
      </c>
      <c r="D236" s="217">
        <v>4</v>
      </c>
      <c r="E236" s="217">
        <v>0.5</v>
      </c>
      <c r="F236" s="218"/>
      <c r="G236" s="217">
        <v>9.25</v>
      </c>
      <c r="H236" s="217">
        <f>(12*E236*2)/12</f>
        <v>1</v>
      </c>
      <c r="I236" s="217">
        <f>G236+H236</f>
        <v>10.25</v>
      </c>
      <c r="J236" s="217">
        <f>(D236*2)/24</f>
        <v>0.33333333333333331</v>
      </c>
      <c r="K236" s="217">
        <f>C236*I236*J236</f>
        <v>6.833333333333333</v>
      </c>
      <c r="L236" s="219">
        <f>K236/2204</f>
        <v>3.100423472474289E-3</v>
      </c>
    </row>
    <row r="237" spans="1:12" ht="46.5" x14ac:dyDescent="0.65">
      <c r="A237" s="214"/>
      <c r="B237" s="217" t="s">
        <v>484</v>
      </c>
      <c r="C237" s="217">
        <v>2</v>
      </c>
      <c r="D237" s="217">
        <v>4</v>
      </c>
      <c r="E237" s="217">
        <v>0.5</v>
      </c>
      <c r="F237" s="218"/>
      <c r="G237" s="217">
        <v>9.25</v>
      </c>
      <c r="H237" s="217">
        <f>(12*E237*2)/12</f>
        <v>1</v>
      </c>
      <c r="I237" s="217">
        <f>G237+H237</f>
        <v>10.25</v>
      </c>
      <c r="J237" s="217">
        <f>(D237*2)/24</f>
        <v>0.33333333333333331</v>
      </c>
      <c r="K237" s="217">
        <f>C237*I237*J237</f>
        <v>6.833333333333333</v>
      </c>
      <c r="L237" s="219">
        <f>K237/2204</f>
        <v>3.100423472474289E-3</v>
      </c>
    </row>
    <row r="238" spans="1:12" ht="92.25" x14ac:dyDescent="1.3">
      <c r="A238" s="214"/>
      <c r="B238" s="217" t="s">
        <v>486</v>
      </c>
      <c r="C238" s="217">
        <v>16</v>
      </c>
      <c r="D238" s="217">
        <v>3</v>
      </c>
      <c r="E238" s="217">
        <f>D238/8</f>
        <v>0.375</v>
      </c>
      <c r="F238" s="220"/>
      <c r="G238" s="217">
        <v>5.1666999999999996</v>
      </c>
      <c r="H238" s="217">
        <f>(12*E238*2)/12</f>
        <v>0.75</v>
      </c>
      <c r="I238" s="217">
        <f>G238+H238</f>
        <v>5.9166999999999996</v>
      </c>
      <c r="J238" s="217">
        <f>(D238*2)/24</f>
        <v>0.25</v>
      </c>
      <c r="K238" s="217">
        <f>C238*I238*J238</f>
        <v>23.666799999999999</v>
      </c>
      <c r="L238" s="219">
        <f>K238/2204</f>
        <v>1.0738112522686024E-2</v>
      </c>
    </row>
    <row r="239" spans="1:12" x14ac:dyDescent="0.2">
      <c r="A239" s="214"/>
      <c r="B239" s="221" t="s">
        <v>126</v>
      </c>
      <c r="C239" s="217"/>
      <c r="D239" s="217"/>
      <c r="E239" s="217"/>
      <c r="F239" s="217"/>
      <c r="G239" s="217"/>
      <c r="H239" s="217"/>
      <c r="I239" s="217"/>
      <c r="J239" s="217"/>
      <c r="K239" s="222">
        <f>SUM(K236:K238)</f>
        <v>37.333466666666666</v>
      </c>
      <c r="L239" s="223">
        <f>SUM(L236:L238)</f>
        <v>1.6938959467634601E-2</v>
      </c>
    </row>
    <row r="240" spans="1:12" x14ac:dyDescent="0.2">
      <c r="A240" s="214"/>
      <c r="B240" s="215"/>
      <c r="C240" s="215"/>
      <c r="D240" s="215"/>
      <c r="E240" s="215"/>
      <c r="F240" s="215"/>
      <c r="G240" s="215"/>
      <c r="H240" s="215"/>
      <c r="I240" s="215"/>
      <c r="J240" s="215"/>
      <c r="K240" s="215"/>
      <c r="L240" s="216"/>
    </row>
    <row r="241" spans="1:12" x14ac:dyDescent="0.2">
      <c r="A241" s="214" t="s">
        <v>508</v>
      </c>
      <c r="B241" s="215" t="s">
        <v>945</v>
      </c>
      <c r="C241" s="215"/>
      <c r="D241" s="215"/>
      <c r="E241" s="215"/>
      <c r="F241" s="215"/>
      <c r="G241" s="215"/>
      <c r="H241" s="215"/>
      <c r="I241" s="215"/>
      <c r="J241" s="215"/>
      <c r="K241" s="215"/>
      <c r="L241" s="216"/>
    </row>
    <row r="242" spans="1:12" ht="46.5" x14ac:dyDescent="0.65">
      <c r="A242" s="214"/>
      <c r="B242" s="217" t="s">
        <v>482</v>
      </c>
      <c r="C242" s="217">
        <v>2</v>
      </c>
      <c r="D242" s="217">
        <v>4</v>
      </c>
      <c r="E242" s="217">
        <v>0.5</v>
      </c>
      <c r="F242" s="218"/>
      <c r="G242" s="217">
        <v>7</v>
      </c>
      <c r="H242" s="217">
        <f>(12*E242*2)/12</f>
        <v>1</v>
      </c>
      <c r="I242" s="217">
        <f>G242+H242</f>
        <v>8</v>
      </c>
      <c r="J242" s="217">
        <f>(D242*2)/24</f>
        <v>0.33333333333333331</v>
      </c>
      <c r="K242" s="217">
        <f>C242*I242*J242</f>
        <v>5.333333333333333</v>
      </c>
      <c r="L242" s="219">
        <f>K242/2204</f>
        <v>2.4198427102238352E-3</v>
      </c>
    </row>
    <row r="243" spans="1:12" ht="46.5" x14ac:dyDescent="0.65">
      <c r="A243" s="214"/>
      <c r="B243" s="217" t="s">
        <v>484</v>
      </c>
      <c r="C243" s="217">
        <v>2</v>
      </c>
      <c r="D243" s="217">
        <v>4</v>
      </c>
      <c r="E243" s="217">
        <v>0.5</v>
      </c>
      <c r="F243" s="218"/>
      <c r="G243" s="217">
        <v>7</v>
      </c>
      <c r="H243" s="217">
        <f>(12*E243*2)/12</f>
        <v>1</v>
      </c>
      <c r="I243" s="217">
        <f>G243+H243</f>
        <v>8</v>
      </c>
      <c r="J243" s="217">
        <f>(D243*2)/24</f>
        <v>0.33333333333333331</v>
      </c>
      <c r="K243" s="217">
        <f>C243*I243*J243</f>
        <v>5.333333333333333</v>
      </c>
      <c r="L243" s="219">
        <f>K243/2204</f>
        <v>2.4198427102238352E-3</v>
      </c>
    </row>
    <row r="244" spans="1:12" ht="92.25" x14ac:dyDescent="1.3">
      <c r="A244" s="214"/>
      <c r="B244" s="217" t="s">
        <v>486</v>
      </c>
      <c r="C244" s="217">
        <v>16</v>
      </c>
      <c r="D244" s="217">
        <v>3</v>
      </c>
      <c r="E244" s="217">
        <f>D244/8</f>
        <v>0.375</v>
      </c>
      <c r="F244" s="220"/>
      <c r="G244" s="217">
        <v>5.5</v>
      </c>
      <c r="H244" s="217">
        <f>(12*E244*2)/12</f>
        <v>0.75</v>
      </c>
      <c r="I244" s="217">
        <f>G244+H244</f>
        <v>6.25</v>
      </c>
      <c r="J244" s="217">
        <f>(D244*2)/24</f>
        <v>0.25</v>
      </c>
      <c r="K244" s="217">
        <f>C244*I244*J244</f>
        <v>25</v>
      </c>
      <c r="L244" s="219">
        <f>K244/2204</f>
        <v>1.1343012704174229E-2</v>
      </c>
    </row>
    <row r="245" spans="1:12" x14ac:dyDescent="0.2">
      <c r="A245" s="214"/>
      <c r="B245" s="221" t="s">
        <v>126</v>
      </c>
      <c r="C245" s="217"/>
      <c r="D245" s="217"/>
      <c r="E245" s="217"/>
      <c r="F245" s="217"/>
      <c r="G245" s="217"/>
      <c r="H245" s="217"/>
      <c r="I245" s="217"/>
      <c r="J245" s="217"/>
      <c r="K245" s="222">
        <f>SUM(K242:K244)</f>
        <v>35.666666666666664</v>
      </c>
      <c r="L245" s="223">
        <f>SUM(L242:L244)</f>
        <v>1.6182698124621898E-2</v>
      </c>
    </row>
    <row r="246" spans="1:12" x14ac:dyDescent="0.2">
      <c r="A246" s="214"/>
      <c r="B246" s="215"/>
      <c r="C246" s="215"/>
      <c r="D246" s="215"/>
      <c r="E246" s="215"/>
      <c r="F246" s="215"/>
      <c r="G246" s="215"/>
      <c r="H246" s="215"/>
      <c r="I246" s="215"/>
      <c r="J246" s="215"/>
      <c r="K246" s="215"/>
      <c r="L246" s="216"/>
    </row>
    <row r="247" spans="1:12" x14ac:dyDescent="0.2">
      <c r="A247" s="214" t="s">
        <v>506</v>
      </c>
      <c r="B247" s="215" t="s">
        <v>944</v>
      </c>
      <c r="C247" s="215"/>
      <c r="D247" s="215"/>
      <c r="E247" s="215"/>
      <c r="F247" s="215"/>
      <c r="G247" s="215"/>
      <c r="H247" s="215"/>
      <c r="I247" s="215"/>
      <c r="J247" s="215"/>
      <c r="K247" s="215"/>
      <c r="L247" s="216"/>
    </row>
    <row r="248" spans="1:12" ht="46.5" x14ac:dyDescent="0.65">
      <c r="A248" s="214"/>
      <c r="B248" s="217" t="s">
        <v>482</v>
      </c>
      <c r="C248" s="217">
        <v>2</v>
      </c>
      <c r="D248" s="217">
        <v>4</v>
      </c>
      <c r="E248" s="217">
        <v>0.5</v>
      </c>
      <c r="F248" s="218"/>
      <c r="G248" s="217">
        <v>8.75</v>
      </c>
      <c r="H248" s="217">
        <f>(12*E248*2)/12</f>
        <v>1</v>
      </c>
      <c r="I248" s="217">
        <f>G248+H248</f>
        <v>9.75</v>
      </c>
      <c r="J248" s="217">
        <f>(D248*2)/24</f>
        <v>0.33333333333333331</v>
      </c>
      <c r="K248" s="217">
        <f>C248*I248*J248</f>
        <v>6.5</v>
      </c>
      <c r="L248" s="219">
        <f>K248/2204</f>
        <v>2.9491833030852997E-3</v>
      </c>
    </row>
    <row r="249" spans="1:12" ht="46.5" x14ac:dyDescent="0.65">
      <c r="A249" s="214"/>
      <c r="B249" s="217" t="s">
        <v>484</v>
      </c>
      <c r="C249" s="217">
        <v>2</v>
      </c>
      <c r="D249" s="217">
        <v>4</v>
      </c>
      <c r="E249" s="217">
        <v>0.5</v>
      </c>
      <c r="F249" s="218"/>
      <c r="G249" s="217">
        <v>8.75</v>
      </c>
      <c r="H249" s="217">
        <f>(12*E249*2)/12</f>
        <v>1</v>
      </c>
      <c r="I249" s="217">
        <f>G249+H249</f>
        <v>9.75</v>
      </c>
      <c r="J249" s="217">
        <f>(D249*2)/24</f>
        <v>0.33333333333333331</v>
      </c>
      <c r="K249" s="217">
        <f>C249*I249*J249</f>
        <v>6.5</v>
      </c>
      <c r="L249" s="219">
        <f>K249/2204</f>
        <v>2.9491833030852997E-3</v>
      </c>
    </row>
    <row r="250" spans="1:12" ht="92.25" x14ac:dyDescent="1.3">
      <c r="A250" s="214"/>
      <c r="B250" s="217" t="s">
        <v>486</v>
      </c>
      <c r="C250" s="217">
        <v>16</v>
      </c>
      <c r="D250" s="217">
        <v>3</v>
      </c>
      <c r="E250" s="217">
        <f>D250/8</f>
        <v>0.375</v>
      </c>
      <c r="F250" s="220"/>
      <c r="G250" s="217">
        <v>5.8330000000000002</v>
      </c>
      <c r="H250" s="217">
        <f>(12*E250*2)/12</f>
        <v>0.75</v>
      </c>
      <c r="I250" s="217">
        <f>G250+H250</f>
        <v>6.5830000000000002</v>
      </c>
      <c r="J250" s="217">
        <f>(D250*2)/24</f>
        <v>0.25</v>
      </c>
      <c r="K250" s="217">
        <f>C250*I250*J250</f>
        <v>26.332000000000001</v>
      </c>
      <c r="L250" s="219">
        <f>K250/2204</f>
        <v>1.1947368421052632E-2</v>
      </c>
    </row>
    <row r="251" spans="1:12" x14ac:dyDescent="0.2">
      <c r="A251" s="214"/>
      <c r="B251" s="221" t="s">
        <v>126</v>
      </c>
      <c r="C251" s="217"/>
      <c r="D251" s="217"/>
      <c r="E251" s="217"/>
      <c r="F251" s="217"/>
      <c r="G251" s="217"/>
      <c r="H251" s="217"/>
      <c r="I251" s="217"/>
      <c r="J251" s="217"/>
      <c r="K251" s="222">
        <f>SUM(K248:K250)</f>
        <v>39.332000000000001</v>
      </c>
      <c r="L251" s="223">
        <f>SUM(L248:L250)</f>
        <v>1.7845735027223232E-2</v>
      </c>
    </row>
    <row r="252" spans="1:12" x14ac:dyDescent="0.2">
      <c r="A252" s="214"/>
      <c r="B252" s="215"/>
      <c r="C252" s="215"/>
      <c r="D252" s="215"/>
      <c r="E252" s="215"/>
      <c r="F252" s="215"/>
      <c r="G252" s="215"/>
      <c r="H252" s="215"/>
      <c r="I252" s="215"/>
      <c r="J252" s="215"/>
      <c r="K252" s="215"/>
      <c r="L252" s="216"/>
    </row>
    <row r="253" spans="1:12" x14ac:dyDescent="0.2">
      <c r="A253" s="214" t="s">
        <v>504</v>
      </c>
      <c r="B253" s="215" t="s">
        <v>943</v>
      </c>
      <c r="C253" s="215"/>
      <c r="D253" s="215"/>
      <c r="E253" s="215"/>
      <c r="F253" s="215"/>
      <c r="G253" s="215"/>
      <c r="H253" s="215"/>
      <c r="I253" s="215"/>
      <c r="J253" s="215"/>
      <c r="K253" s="215"/>
      <c r="L253" s="216"/>
    </row>
    <row r="254" spans="1:12" ht="46.5" x14ac:dyDescent="0.65">
      <c r="A254" s="214"/>
      <c r="B254" s="217" t="s">
        <v>482</v>
      </c>
      <c r="C254" s="217">
        <v>4</v>
      </c>
      <c r="D254" s="217">
        <v>4</v>
      </c>
      <c r="E254" s="217">
        <v>0.5</v>
      </c>
      <c r="F254" s="218"/>
      <c r="G254" s="217">
        <v>5.25</v>
      </c>
      <c r="H254" s="217">
        <f>(12*E254*2)/12</f>
        <v>1</v>
      </c>
      <c r="I254" s="217">
        <f>G254+H254</f>
        <v>6.25</v>
      </c>
      <c r="J254" s="217">
        <f>(D254*2)/24</f>
        <v>0.33333333333333331</v>
      </c>
      <c r="K254" s="217">
        <f>C254*I254*J254</f>
        <v>8.3333333333333321</v>
      </c>
      <c r="L254" s="219">
        <f>K254/2204</f>
        <v>3.7810042347247424E-3</v>
      </c>
    </row>
    <row r="255" spans="1:12" ht="46.5" x14ac:dyDescent="0.65">
      <c r="A255" s="214"/>
      <c r="B255" s="217" t="s">
        <v>484</v>
      </c>
      <c r="C255" s="217">
        <v>4</v>
      </c>
      <c r="D255" s="217">
        <v>4</v>
      </c>
      <c r="E255" s="217">
        <v>0.5</v>
      </c>
      <c r="F255" s="218"/>
      <c r="G255" s="217">
        <v>5.25</v>
      </c>
      <c r="H255" s="217">
        <f>(12*E255*2)/12</f>
        <v>1</v>
      </c>
      <c r="I255" s="217">
        <f>G255+H255</f>
        <v>6.25</v>
      </c>
      <c r="J255" s="217">
        <f>(D255*2)/24</f>
        <v>0.33333333333333331</v>
      </c>
      <c r="K255" s="217">
        <f>C255*I255*J255</f>
        <v>8.3333333333333321</v>
      </c>
      <c r="L255" s="219">
        <f>K255/2204</f>
        <v>3.7810042347247424E-3</v>
      </c>
    </row>
    <row r="256" spans="1:12" ht="92.25" x14ac:dyDescent="1.3">
      <c r="A256" s="214"/>
      <c r="B256" s="217" t="s">
        <v>486</v>
      </c>
      <c r="C256" s="217">
        <v>7</v>
      </c>
      <c r="D256" s="217">
        <v>3</v>
      </c>
      <c r="E256" s="217">
        <f>D256/8</f>
        <v>0.375</v>
      </c>
      <c r="F256" s="220"/>
      <c r="G256" s="217">
        <v>3.8330000000000002</v>
      </c>
      <c r="H256" s="217">
        <f>(12*E256*2)/12</f>
        <v>0.75</v>
      </c>
      <c r="I256" s="217">
        <f>G256+H256</f>
        <v>4.5830000000000002</v>
      </c>
      <c r="J256" s="217">
        <f>(D256*2)/24</f>
        <v>0.25</v>
      </c>
      <c r="K256" s="217">
        <f>C256*I256*J256</f>
        <v>8.0202500000000008</v>
      </c>
      <c r="L256" s="219">
        <f>K256/2204</f>
        <v>3.6389519056261345E-3</v>
      </c>
    </row>
    <row r="257" spans="1:12" x14ac:dyDescent="0.2">
      <c r="A257" s="214"/>
      <c r="B257" s="221" t="s">
        <v>126</v>
      </c>
      <c r="C257" s="217"/>
      <c r="D257" s="217"/>
      <c r="E257" s="217"/>
      <c r="F257" s="217"/>
      <c r="G257" s="217"/>
      <c r="H257" s="217"/>
      <c r="I257" s="217"/>
      <c r="J257" s="217"/>
      <c r="K257" s="222">
        <f>SUM(K254:K256)</f>
        <v>24.686916666666665</v>
      </c>
      <c r="L257" s="223">
        <f>SUM(L254:L256)</f>
        <v>1.1200960375075619E-2</v>
      </c>
    </row>
    <row r="258" spans="1:12" x14ac:dyDescent="0.2">
      <c r="A258" s="214"/>
      <c r="B258" s="215"/>
      <c r="C258" s="215"/>
      <c r="D258" s="215"/>
      <c r="E258" s="215"/>
      <c r="F258" s="215"/>
      <c r="G258" s="215"/>
      <c r="H258" s="215"/>
      <c r="I258" s="215"/>
      <c r="J258" s="215"/>
      <c r="K258" s="215"/>
      <c r="L258" s="216"/>
    </row>
    <row r="259" spans="1:12" ht="15.75" thickBot="1" x14ac:dyDescent="0.25">
      <c r="A259" s="227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30">
        <f>SUM(L5:L195)</f>
        <v>1.3918844071385357</v>
      </c>
    </row>
  </sheetData>
  <mergeCells count="2">
    <mergeCell ref="A1:L1"/>
    <mergeCell ref="B3:L3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9"/>
  <sheetViews>
    <sheetView workbookViewId="0">
      <selection activeCell="A13" sqref="A13"/>
    </sheetView>
  </sheetViews>
  <sheetFormatPr defaultRowHeight="15" x14ac:dyDescent="0.2"/>
  <cols>
    <col min="1" max="1" width="6.45703125" customWidth="1"/>
    <col min="2" max="2" width="26.5" customWidth="1"/>
    <col min="3" max="3" width="13.046875" customWidth="1"/>
    <col min="4" max="4" width="15.33203125" customWidth="1"/>
    <col min="5" max="5" width="15.6015625" customWidth="1"/>
    <col min="6" max="6" width="28.25" customWidth="1"/>
    <col min="7" max="7" width="9.953125" customWidth="1"/>
    <col min="8" max="8" width="16.54296875" customWidth="1"/>
    <col min="9" max="9" width="18.5625" customWidth="1"/>
    <col min="10" max="10" width="9.01171875"/>
    <col min="11" max="11" width="14.2578125" customWidth="1"/>
    <col min="12" max="12" width="18.6953125" customWidth="1"/>
  </cols>
  <sheetData>
    <row r="1" spans="1:12" ht="23.25" x14ac:dyDescent="0.3">
      <c r="A1" s="257" t="s">
        <v>174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</row>
    <row r="2" spans="1:12" ht="18.75" x14ac:dyDescent="0.25">
      <c r="A2" s="130" t="s">
        <v>1</v>
      </c>
      <c r="B2" s="130" t="s">
        <v>2</v>
      </c>
      <c r="C2" s="130" t="s">
        <v>3</v>
      </c>
      <c r="D2" s="130" t="s">
        <v>128</v>
      </c>
      <c r="E2" s="130" t="s">
        <v>129</v>
      </c>
      <c r="F2" s="82" t="s">
        <v>130</v>
      </c>
      <c r="G2" s="130" t="s">
        <v>131</v>
      </c>
      <c r="H2" s="130" t="s">
        <v>132</v>
      </c>
      <c r="I2" s="130" t="s">
        <v>133</v>
      </c>
      <c r="J2" s="130" t="s">
        <v>134</v>
      </c>
      <c r="K2" s="130" t="s">
        <v>135</v>
      </c>
      <c r="L2" s="130" t="s">
        <v>136</v>
      </c>
    </row>
    <row r="3" spans="1:12" ht="18.75" x14ac:dyDescent="0.25">
      <c r="A3" s="275" t="s">
        <v>175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</row>
    <row r="4" spans="1:12" ht="18.75" x14ac:dyDescent="0.25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</row>
    <row r="5" spans="1:12" ht="18.75" x14ac:dyDescent="0.25">
      <c r="A5" s="131">
        <v>1</v>
      </c>
      <c r="B5" s="84" t="s">
        <v>176</v>
      </c>
      <c r="C5" s="131"/>
      <c r="D5" s="110"/>
      <c r="E5" s="110"/>
      <c r="F5" s="131"/>
      <c r="G5" s="85"/>
      <c r="H5" s="85"/>
      <c r="I5" s="132"/>
      <c r="J5" s="85"/>
      <c r="K5" s="90"/>
      <c r="L5" s="90"/>
    </row>
    <row r="6" spans="1:12" ht="18.75" x14ac:dyDescent="0.25">
      <c r="A6" s="131">
        <v>1.1000000000000001</v>
      </c>
      <c r="B6" s="35" t="s">
        <v>82</v>
      </c>
      <c r="C6" s="131"/>
      <c r="D6" s="110"/>
      <c r="E6" s="132"/>
      <c r="F6" s="131"/>
      <c r="G6" s="85"/>
      <c r="H6" s="132"/>
      <c r="I6" s="133"/>
      <c r="J6" s="133"/>
      <c r="K6" s="133"/>
      <c r="L6" s="133"/>
    </row>
    <row r="7" spans="1:12" ht="46.9" customHeight="1" x14ac:dyDescent="0.2">
      <c r="A7" s="36"/>
      <c r="B7" s="134" t="s">
        <v>177</v>
      </c>
      <c r="C7" s="135">
        <v>13</v>
      </c>
      <c r="D7" s="132">
        <v>3</v>
      </c>
      <c r="E7" s="132">
        <f>$D7/8</f>
        <v>0.375</v>
      </c>
      <c r="F7" s="36"/>
      <c r="G7" s="132">
        <v>6.0833000000000004</v>
      </c>
      <c r="H7" s="132">
        <v>0.66669999999999996</v>
      </c>
      <c r="I7" s="132">
        <f t="shared" ref="I7:I10" si="0">$H7+$G7</f>
        <v>6.75</v>
      </c>
      <c r="J7" s="133">
        <f>($D7^2)/24</f>
        <v>0.375</v>
      </c>
      <c r="K7" s="133">
        <f t="shared" ref="K7:K10" si="1">$I7*$C7*$J7</f>
        <v>32.90625</v>
      </c>
      <c r="L7" s="133">
        <f>$K7/2204</f>
        <v>1.4930240471869329E-2</v>
      </c>
    </row>
    <row r="8" spans="1:12" ht="46.9" customHeight="1" x14ac:dyDescent="0.2">
      <c r="A8" s="36"/>
      <c r="B8" s="134" t="s">
        <v>178</v>
      </c>
      <c r="C8" s="135">
        <v>9</v>
      </c>
      <c r="D8" s="132">
        <v>3</v>
      </c>
      <c r="E8" s="132">
        <f t="shared" ref="E8:E10" si="2">$D8/8</f>
        <v>0.375</v>
      </c>
      <c r="F8" s="36"/>
      <c r="G8" s="132">
        <v>9.0832999999999995</v>
      </c>
      <c r="H8" s="132">
        <v>0.66669999999999996</v>
      </c>
      <c r="I8" s="132">
        <f t="shared" si="0"/>
        <v>9.75</v>
      </c>
      <c r="J8" s="133">
        <f t="shared" ref="J8:J10" si="3">($D8^2)/24</f>
        <v>0.375</v>
      </c>
      <c r="K8" s="133">
        <f t="shared" si="1"/>
        <v>32.90625</v>
      </c>
      <c r="L8" s="133">
        <f t="shared" ref="L8:L10" si="4">$K8/2204</f>
        <v>1.4930240471869329E-2</v>
      </c>
    </row>
    <row r="9" spans="1:12" ht="46.9" customHeight="1" x14ac:dyDescent="0.2">
      <c r="A9" s="36"/>
      <c r="B9" s="134" t="s">
        <v>179</v>
      </c>
      <c r="C9" s="135">
        <v>13</v>
      </c>
      <c r="D9" s="132">
        <v>3</v>
      </c>
      <c r="E9" s="132">
        <f t="shared" si="2"/>
        <v>0.375</v>
      </c>
      <c r="F9" s="36"/>
      <c r="G9" s="132">
        <v>6.0833000000000004</v>
      </c>
      <c r="H9" s="132">
        <v>0.66669999999999996</v>
      </c>
      <c r="I9" s="132">
        <f t="shared" si="0"/>
        <v>6.75</v>
      </c>
      <c r="J9" s="133">
        <f t="shared" si="3"/>
        <v>0.375</v>
      </c>
      <c r="K9" s="133">
        <f t="shared" si="1"/>
        <v>32.90625</v>
      </c>
      <c r="L9" s="133">
        <f t="shared" si="4"/>
        <v>1.4930240471869329E-2</v>
      </c>
    </row>
    <row r="10" spans="1:12" ht="46.9" customHeight="1" x14ac:dyDescent="0.2">
      <c r="A10" s="36"/>
      <c r="B10" s="134" t="s">
        <v>180</v>
      </c>
      <c r="C10" s="135">
        <v>9</v>
      </c>
      <c r="D10" s="132">
        <v>3</v>
      </c>
      <c r="E10" s="132">
        <f t="shared" si="2"/>
        <v>0.375</v>
      </c>
      <c r="F10" s="36"/>
      <c r="G10" s="132">
        <v>9.0832999999999995</v>
      </c>
      <c r="H10" s="132">
        <v>0.66669999999999996</v>
      </c>
      <c r="I10" s="132">
        <f t="shared" si="0"/>
        <v>9.75</v>
      </c>
      <c r="J10" s="133">
        <f t="shared" si="3"/>
        <v>0.375</v>
      </c>
      <c r="K10" s="133">
        <f t="shared" si="1"/>
        <v>32.90625</v>
      </c>
      <c r="L10" s="133">
        <f t="shared" si="4"/>
        <v>1.4930240471869329E-2</v>
      </c>
    </row>
    <row r="11" spans="1:12" ht="18.75" x14ac:dyDescent="0.25">
      <c r="A11" s="131"/>
      <c r="B11" s="35" t="s">
        <v>181</v>
      </c>
      <c r="C11" s="132"/>
      <c r="D11" s="36"/>
      <c r="E11" s="132"/>
      <c r="F11" s="36"/>
      <c r="G11" s="36"/>
      <c r="H11" s="132"/>
      <c r="I11" s="132"/>
      <c r="J11" s="133"/>
      <c r="K11" s="133"/>
      <c r="L11" s="133"/>
    </row>
    <row r="12" spans="1:12" ht="46.9" customHeight="1" x14ac:dyDescent="0.2">
      <c r="A12" s="36"/>
      <c r="B12" s="134" t="s">
        <v>182</v>
      </c>
      <c r="C12" s="135">
        <v>8</v>
      </c>
      <c r="D12" s="132">
        <v>3</v>
      </c>
      <c r="E12" s="132">
        <f t="shared" ref="E12:E19" si="5">$D12/8</f>
        <v>0.375</v>
      </c>
      <c r="F12" s="36"/>
      <c r="G12" s="132">
        <v>6.0833000000000004</v>
      </c>
      <c r="H12" s="132"/>
      <c r="I12" s="132">
        <f t="shared" ref="I12:I19" si="6">$H12+$G12</f>
        <v>6.0833000000000004</v>
      </c>
      <c r="J12" s="133">
        <f>($D12^2)/24</f>
        <v>0.375</v>
      </c>
      <c r="K12" s="133">
        <f t="shared" ref="K12:K19" si="7">$I12*$C12*$J12</f>
        <v>18.2499</v>
      </c>
      <c r="L12" s="133">
        <f t="shared" ref="L12:L19" si="8">$K12/2204</f>
        <v>8.2803539019963707E-3</v>
      </c>
    </row>
    <row r="13" spans="1:12" ht="46.9" customHeight="1" x14ac:dyDescent="0.2">
      <c r="A13" s="36"/>
      <c r="B13" s="134" t="s">
        <v>183</v>
      </c>
      <c r="C13" s="135">
        <v>8</v>
      </c>
      <c r="D13" s="132">
        <v>3</v>
      </c>
      <c r="E13" s="132">
        <f t="shared" si="5"/>
        <v>0.375</v>
      </c>
      <c r="F13" s="36"/>
      <c r="G13" s="132">
        <v>9.0832999999999995</v>
      </c>
      <c r="H13" s="132"/>
      <c r="I13" s="132">
        <f t="shared" si="6"/>
        <v>9.0832999999999995</v>
      </c>
      <c r="J13" s="133">
        <f t="shared" ref="J13:J19" si="9">($D13^2)/24</f>
        <v>0.375</v>
      </c>
      <c r="K13" s="133">
        <f t="shared" si="7"/>
        <v>27.249899999999997</v>
      </c>
      <c r="L13" s="133">
        <f t="shared" si="8"/>
        <v>1.2363838475499092E-2</v>
      </c>
    </row>
    <row r="14" spans="1:12" ht="18.75" x14ac:dyDescent="0.25">
      <c r="A14" s="131"/>
      <c r="B14" s="35" t="s">
        <v>184</v>
      </c>
      <c r="C14" s="132"/>
      <c r="D14" s="36"/>
      <c r="E14" s="132"/>
      <c r="F14" s="36"/>
      <c r="G14" s="36"/>
      <c r="H14" s="132"/>
      <c r="I14" s="132"/>
      <c r="J14" s="133"/>
      <c r="K14" s="136">
        <f>SUM(K7:K13)</f>
        <v>177.12479999999999</v>
      </c>
      <c r="L14" s="136">
        <f>SUM(L7:L13)</f>
        <v>8.0365154264972774E-2</v>
      </c>
    </row>
    <row r="15" spans="1:12" ht="18.75" x14ac:dyDescent="0.25">
      <c r="A15" s="131">
        <v>1.2</v>
      </c>
      <c r="B15" s="35" t="s">
        <v>83</v>
      </c>
      <c r="C15" s="132"/>
      <c r="D15" s="36"/>
      <c r="E15" s="132"/>
      <c r="F15" s="36"/>
      <c r="G15" s="36"/>
      <c r="H15" s="132"/>
      <c r="I15" s="132"/>
      <c r="J15" s="133"/>
      <c r="K15" s="133"/>
      <c r="L15" s="133"/>
    </row>
    <row r="16" spans="1:12" x14ac:dyDescent="0.2">
      <c r="A16" s="36"/>
      <c r="B16" s="134" t="s">
        <v>177</v>
      </c>
      <c r="C16" s="135">
        <v>17</v>
      </c>
      <c r="D16" s="132">
        <v>3</v>
      </c>
      <c r="E16" s="132">
        <f t="shared" si="5"/>
        <v>0.375</v>
      </c>
      <c r="F16" s="36"/>
      <c r="G16" s="132">
        <v>6.0833000000000004</v>
      </c>
      <c r="H16" s="132">
        <f t="shared" ref="H16:H19" si="10">(12*$E16*2)/12</f>
        <v>0.75</v>
      </c>
      <c r="I16" s="132">
        <f t="shared" si="6"/>
        <v>6.8333000000000004</v>
      </c>
      <c r="J16" s="133">
        <f t="shared" si="9"/>
        <v>0.375</v>
      </c>
      <c r="K16" s="133">
        <f t="shared" si="7"/>
        <v>43.562287499999996</v>
      </c>
      <c r="L16" s="133">
        <f t="shared" si="8"/>
        <v>1.9765103221415607E-2</v>
      </c>
    </row>
    <row r="17" spans="1:12" x14ac:dyDescent="0.2">
      <c r="A17" s="36"/>
      <c r="B17" s="134" t="s">
        <v>178</v>
      </c>
      <c r="C17" s="135">
        <v>11</v>
      </c>
      <c r="D17" s="132">
        <v>3</v>
      </c>
      <c r="E17" s="132">
        <f t="shared" si="5"/>
        <v>0.375</v>
      </c>
      <c r="F17" s="36"/>
      <c r="G17" s="132">
        <v>9.0832999999999995</v>
      </c>
      <c r="H17" s="132">
        <f t="shared" si="10"/>
        <v>0.75</v>
      </c>
      <c r="I17" s="132">
        <f t="shared" si="6"/>
        <v>9.8332999999999995</v>
      </c>
      <c r="J17" s="133">
        <f t="shared" si="9"/>
        <v>0.375</v>
      </c>
      <c r="K17" s="133">
        <f t="shared" si="7"/>
        <v>40.562362499999999</v>
      </c>
      <c r="L17" s="133">
        <f t="shared" si="8"/>
        <v>1.8403975725952811E-2</v>
      </c>
    </row>
    <row r="18" spans="1:12" x14ac:dyDescent="0.2">
      <c r="A18" s="36"/>
      <c r="B18" s="134" t="s">
        <v>179</v>
      </c>
      <c r="C18" s="135">
        <v>17</v>
      </c>
      <c r="D18" s="132">
        <v>3</v>
      </c>
      <c r="E18" s="132">
        <f t="shared" si="5"/>
        <v>0.375</v>
      </c>
      <c r="F18" s="36"/>
      <c r="G18" s="132">
        <v>6.0833000000000004</v>
      </c>
      <c r="H18" s="132">
        <f t="shared" si="10"/>
        <v>0.75</v>
      </c>
      <c r="I18" s="132">
        <f t="shared" si="6"/>
        <v>6.8333000000000004</v>
      </c>
      <c r="J18" s="133">
        <f t="shared" si="9"/>
        <v>0.375</v>
      </c>
      <c r="K18" s="133">
        <f t="shared" si="7"/>
        <v>43.562287499999996</v>
      </c>
      <c r="L18" s="133">
        <f t="shared" si="8"/>
        <v>1.9765103221415607E-2</v>
      </c>
    </row>
    <row r="19" spans="1:12" x14ac:dyDescent="0.2">
      <c r="A19" s="36"/>
      <c r="B19" s="134" t="s">
        <v>180</v>
      </c>
      <c r="C19" s="135">
        <v>11</v>
      </c>
      <c r="D19" s="132">
        <v>3</v>
      </c>
      <c r="E19" s="132">
        <f t="shared" si="5"/>
        <v>0.375</v>
      </c>
      <c r="F19" s="36"/>
      <c r="G19" s="132">
        <v>9.0832999999999995</v>
      </c>
      <c r="H19" s="132">
        <f t="shared" si="10"/>
        <v>0.75</v>
      </c>
      <c r="I19" s="132">
        <f t="shared" si="6"/>
        <v>9.8332999999999995</v>
      </c>
      <c r="J19" s="133">
        <f t="shared" si="9"/>
        <v>0.375</v>
      </c>
      <c r="K19" s="133">
        <f t="shared" si="7"/>
        <v>40.562362499999999</v>
      </c>
      <c r="L19" s="133">
        <f t="shared" si="8"/>
        <v>1.8403975725952811E-2</v>
      </c>
    </row>
    <row r="20" spans="1:12" ht="18.75" x14ac:dyDescent="0.25">
      <c r="A20" s="131"/>
      <c r="B20" s="35" t="s">
        <v>181</v>
      </c>
      <c r="C20" s="132"/>
      <c r="D20" s="36"/>
      <c r="E20" s="132"/>
      <c r="F20" s="36"/>
      <c r="G20" s="36"/>
      <c r="H20" s="132"/>
      <c r="I20" s="132"/>
      <c r="J20" s="133"/>
      <c r="K20" s="133"/>
      <c r="L20" s="133"/>
    </row>
    <row r="21" spans="1:12" x14ac:dyDescent="0.2">
      <c r="A21" s="36"/>
      <c r="B21" s="134" t="s">
        <v>182</v>
      </c>
      <c r="C21" s="135">
        <v>8</v>
      </c>
      <c r="D21" s="132">
        <v>4</v>
      </c>
      <c r="E21" s="132">
        <f t="shared" ref="E21:E28" si="11">$D21/8</f>
        <v>0.5</v>
      </c>
      <c r="F21" s="36"/>
      <c r="G21" s="132">
        <v>6.0833000000000004</v>
      </c>
      <c r="H21" s="132"/>
      <c r="I21" s="132">
        <f t="shared" ref="I21:I28" si="12">$H21+$G21</f>
        <v>6.0833000000000004</v>
      </c>
      <c r="J21" s="133">
        <f t="shared" ref="J21:J28" si="13">($D21^2)/24</f>
        <v>0.66666666666666663</v>
      </c>
      <c r="K21" s="133">
        <f t="shared" ref="K21:K28" si="14">$I21*$C21*$J21</f>
        <v>32.444266666666664</v>
      </c>
      <c r="L21" s="133">
        <f t="shared" ref="L21:L28" si="15">$K21/2204</f>
        <v>1.4720629159104657E-2</v>
      </c>
    </row>
    <row r="22" spans="1:12" x14ac:dyDescent="0.2">
      <c r="A22" s="36"/>
      <c r="B22" s="134" t="s">
        <v>183</v>
      </c>
      <c r="C22" s="135">
        <v>8</v>
      </c>
      <c r="D22" s="132">
        <v>4</v>
      </c>
      <c r="E22" s="132">
        <f t="shared" si="11"/>
        <v>0.5</v>
      </c>
      <c r="F22" s="36"/>
      <c r="G22" s="132">
        <v>9.0832999999999995</v>
      </c>
      <c r="H22" s="132"/>
      <c r="I22" s="132">
        <f t="shared" si="12"/>
        <v>9.0832999999999995</v>
      </c>
      <c r="J22" s="133">
        <f t="shared" si="13"/>
        <v>0.66666666666666663</v>
      </c>
      <c r="K22" s="133">
        <f t="shared" si="14"/>
        <v>48.444266666666664</v>
      </c>
      <c r="L22" s="133">
        <f t="shared" si="15"/>
        <v>2.1980157289776165E-2</v>
      </c>
    </row>
    <row r="23" spans="1:12" x14ac:dyDescent="0.2">
      <c r="A23" s="36"/>
      <c r="B23" s="35" t="s">
        <v>185</v>
      </c>
      <c r="C23" s="132"/>
      <c r="D23" s="36"/>
      <c r="E23" s="132"/>
      <c r="F23" s="36"/>
      <c r="G23" s="36"/>
      <c r="H23" s="132"/>
      <c r="I23" s="132"/>
      <c r="J23" s="133"/>
      <c r="K23" s="136">
        <f>SUM(K16:K22)</f>
        <v>249.13783333333333</v>
      </c>
      <c r="L23" s="136">
        <f>SUM(L16:L22)</f>
        <v>0.11303894434361765</v>
      </c>
    </row>
    <row r="24" spans="1:12" ht="18.75" x14ac:dyDescent="0.25">
      <c r="A24" s="131">
        <v>1.3</v>
      </c>
      <c r="B24" s="35" t="s">
        <v>186</v>
      </c>
      <c r="C24" s="132"/>
      <c r="D24" s="36"/>
      <c r="E24" s="132"/>
      <c r="F24" s="36"/>
      <c r="G24" s="36"/>
      <c r="H24" s="132"/>
      <c r="I24" s="132"/>
      <c r="J24" s="133"/>
      <c r="K24" s="133"/>
      <c r="L24" s="133"/>
    </row>
    <row r="25" spans="1:12" x14ac:dyDescent="0.2">
      <c r="A25" s="36"/>
      <c r="B25" s="134" t="s">
        <v>187</v>
      </c>
      <c r="C25" s="135">
        <v>26</v>
      </c>
      <c r="D25" s="132">
        <v>3</v>
      </c>
      <c r="E25" s="132">
        <f t="shared" si="11"/>
        <v>0.375</v>
      </c>
      <c r="F25" s="36"/>
      <c r="G25" s="132">
        <v>8.4167000000000005</v>
      </c>
      <c r="H25" s="132">
        <v>0.66700000000000004</v>
      </c>
      <c r="I25" s="132">
        <f t="shared" si="12"/>
        <v>9.0837000000000003</v>
      </c>
      <c r="J25" s="133">
        <f t="shared" si="13"/>
        <v>0.375</v>
      </c>
      <c r="K25" s="133">
        <f t="shared" si="14"/>
        <v>88.566074999999998</v>
      </c>
      <c r="L25" s="133">
        <f t="shared" si="15"/>
        <v>4.0184244555353903E-2</v>
      </c>
    </row>
    <row r="26" spans="1:12" x14ac:dyDescent="0.2">
      <c r="A26" s="36"/>
      <c r="B26" s="134" t="s">
        <v>188</v>
      </c>
      <c r="C26" s="135">
        <v>20</v>
      </c>
      <c r="D26" s="132">
        <v>3</v>
      </c>
      <c r="E26" s="132">
        <f t="shared" si="11"/>
        <v>0.375</v>
      </c>
      <c r="F26" s="36"/>
      <c r="G26" s="132">
        <v>9.0832999999999995</v>
      </c>
      <c r="H26" s="132">
        <v>0.66700000000000004</v>
      </c>
      <c r="I26" s="132">
        <f t="shared" si="12"/>
        <v>9.7502999999999993</v>
      </c>
      <c r="J26" s="133">
        <f t="shared" si="13"/>
        <v>0.375</v>
      </c>
      <c r="K26" s="133">
        <f t="shared" si="14"/>
        <v>73.127249999999989</v>
      </c>
      <c r="L26" s="133">
        <f t="shared" si="15"/>
        <v>3.3179333030852992E-2</v>
      </c>
    </row>
    <row r="27" spans="1:12" x14ac:dyDescent="0.2">
      <c r="A27" s="36"/>
      <c r="B27" s="134" t="s">
        <v>189</v>
      </c>
      <c r="C27" s="135">
        <v>26</v>
      </c>
      <c r="D27" s="132">
        <v>3</v>
      </c>
      <c r="E27" s="132">
        <f t="shared" si="11"/>
        <v>0.375</v>
      </c>
      <c r="F27" s="36"/>
      <c r="G27" s="132">
        <v>8.4167000000000005</v>
      </c>
      <c r="H27" s="132">
        <v>1.9167000000000001</v>
      </c>
      <c r="I27" s="132">
        <f t="shared" si="12"/>
        <v>10.333400000000001</v>
      </c>
      <c r="J27" s="133">
        <f t="shared" si="13"/>
        <v>0.375</v>
      </c>
      <c r="K27" s="133">
        <f t="shared" si="14"/>
        <v>100.75065000000001</v>
      </c>
      <c r="L27" s="133">
        <f t="shared" si="15"/>
        <v>4.5712636116152457E-2</v>
      </c>
    </row>
    <row r="28" spans="1:12" x14ac:dyDescent="0.2">
      <c r="A28" s="36"/>
      <c r="B28" s="134" t="s">
        <v>190</v>
      </c>
      <c r="C28" s="135">
        <v>20</v>
      </c>
      <c r="D28" s="132">
        <v>3</v>
      </c>
      <c r="E28" s="132">
        <f t="shared" si="11"/>
        <v>0.375</v>
      </c>
      <c r="F28" s="36"/>
      <c r="G28" s="132">
        <v>9.0832999999999995</v>
      </c>
      <c r="H28" s="132">
        <v>0.66700000000000004</v>
      </c>
      <c r="I28" s="132">
        <f t="shared" si="12"/>
        <v>9.7502999999999993</v>
      </c>
      <c r="J28" s="133">
        <f t="shared" si="13"/>
        <v>0.375</v>
      </c>
      <c r="K28" s="133">
        <f t="shared" si="14"/>
        <v>73.127249999999989</v>
      </c>
      <c r="L28" s="133">
        <f t="shared" si="15"/>
        <v>3.3179333030852992E-2</v>
      </c>
    </row>
    <row r="29" spans="1:12" ht="18.75" x14ac:dyDescent="0.25">
      <c r="A29" s="131"/>
      <c r="B29" s="35" t="s">
        <v>191</v>
      </c>
      <c r="C29" s="132"/>
      <c r="D29" s="36"/>
      <c r="E29" s="132"/>
      <c r="F29" s="36"/>
      <c r="G29" s="36"/>
      <c r="H29" s="132"/>
      <c r="I29" s="132"/>
      <c r="J29" s="133"/>
      <c r="K29" s="136">
        <f>SUM(K25:K28)</f>
        <v>335.57122500000003</v>
      </c>
      <c r="L29" s="136">
        <f>SUM(L25:L28)</f>
        <v>0.15225554673321234</v>
      </c>
    </row>
    <row r="30" spans="1:12" ht="18.75" x14ac:dyDescent="0.25">
      <c r="A30" s="131">
        <v>1.4</v>
      </c>
      <c r="B30" s="35" t="s">
        <v>192</v>
      </c>
      <c r="C30" s="132"/>
      <c r="D30" s="36"/>
      <c r="E30" s="132"/>
      <c r="F30" s="36"/>
      <c r="G30" s="36"/>
      <c r="H30" s="132"/>
      <c r="I30" s="132"/>
      <c r="J30" s="133"/>
      <c r="K30" s="133"/>
      <c r="L30" s="133"/>
    </row>
    <row r="31" spans="1:12" x14ac:dyDescent="0.2">
      <c r="A31" s="36"/>
      <c r="B31" s="134" t="s">
        <v>187</v>
      </c>
      <c r="C31" s="135">
        <v>19</v>
      </c>
      <c r="D31" s="132">
        <v>3</v>
      </c>
      <c r="E31" s="132">
        <f>$D31/8</f>
        <v>0.375</v>
      </c>
      <c r="F31" s="36"/>
      <c r="G31" s="132">
        <v>8.4167000000000005</v>
      </c>
      <c r="H31" s="132">
        <v>0.66700000000000004</v>
      </c>
      <c r="I31" s="132">
        <f t="shared" ref="I31:I34" si="16">$H31+$G31</f>
        <v>9.0837000000000003</v>
      </c>
      <c r="J31" s="133">
        <f t="shared" ref="J31:J34" si="17">($D31^2)/24</f>
        <v>0.375</v>
      </c>
      <c r="K31" s="133">
        <f t="shared" ref="K31:K34" si="18">$I31*$C31*$J31</f>
        <v>64.721362499999998</v>
      </c>
      <c r="L31" s="133">
        <f t="shared" ref="L31:L34" si="19">$K31/2204</f>
        <v>2.936540948275862E-2</v>
      </c>
    </row>
    <row r="32" spans="1:12" x14ac:dyDescent="0.2">
      <c r="A32" s="36"/>
      <c r="B32" s="134" t="s">
        <v>188</v>
      </c>
      <c r="C32" s="135">
        <v>20</v>
      </c>
      <c r="D32" s="132">
        <v>3</v>
      </c>
      <c r="E32" s="132">
        <f t="shared" ref="E32:E34" si="20">$D32/8</f>
        <v>0.375</v>
      </c>
      <c r="F32" s="36"/>
      <c r="G32" s="132">
        <v>6.0833000000000004</v>
      </c>
      <c r="H32" s="132">
        <v>0.66700000000000004</v>
      </c>
      <c r="I32" s="132">
        <f t="shared" si="16"/>
        <v>6.7503000000000002</v>
      </c>
      <c r="J32" s="133">
        <f t="shared" si="17"/>
        <v>0.375</v>
      </c>
      <c r="K32" s="133">
        <f t="shared" si="18"/>
        <v>50.627250000000004</v>
      </c>
      <c r="L32" s="133">
        <f t="shared" si="19"/>
        <v>2.2970621597096192E-2</v>
      </c>
    </row>
    <row r="33" spans="1:12" x14ac:dyDescent="0.2">
      <c r="A33" s="36"/>
      <c r="B33" s="134" t="s">
        <v>189</v>
      </c>
      <c r="C33" s="135">
        <v>19</v>
      </c>
      <c r="D33" s="132">
        <v>3</v>
      </c>
      <c r="E33" s="132">
        <f t="shared" si="20"/>
        <v>0.375</v>
      </c>
      <c r="F33" s="36"/>
      <c r="G33" s="132">
        <v>8.4167000000000005</v>
      </c>
      <c r="H33" s="132">
        <v>1.9167000000000001</v>
      </c>
      <c r="I33" s="132">
        <f t="shared" si="16"/>
        <v>10.333400000000001</v>
      </c>
      <c r="J33" s="133">
        <f t="shared" si="17"/>
        <v>0.375</v>
      </c>
      <c r="K33" s="133">
        <f t="shared" si="18"/>
        <v>73.625475000000009</v>
      </c>
      <c r="L33" s="133">
        <f t="shared" si="19"/>
        <v>3.3405387931034487E-2</v>
      </c>
    </row>
    <row r="34" spans="1:12" x14ac:dyDescent="0.2">
      <c r="A34" s="36"/>
      <c r="B34" s="134" t="s">
        <v>190</v>
      </c>
      <c r="C34" s="135">
        <v>20</v>
      </c>
      <c r="D34" s="132">
        <v>3</v>
      </c>
      <c r="E34" s="132">
        <f t="shared" si="20"/>
        <v>0.375</v>
      </c>
      <c r="F34" s="36"/>
      <c r="G34" s="132">
        <v>6.0833000000000004</v>
      </c>
      <c r="H34" s="132">
        <v>0.66700000000000004</v>
      </c>
      <c r="I34" s="132">
        <f t="shared" si="16"/>
        <v>6.7503000000000002</v>
      </c>
      <c r="J34" s="133">
        <f t="shared" si="17"/>
        <v>0.375</v>
      </c>
      <c r="K34" s="133">
        <f t="shared" si="18"/>
        <v>50.627250000000004</v>
      </c>
      <c r="L34" s="133">
        <f t="shared" si="19"/>
        <v>2.2970621597096192E-2</v>
      </c>
    </row>
    <row r="35" spans="1:12" ht="18.75" x14ac:dyDescent="0.25">
      <c r="A35" s="131"/>
      <c r="B35" s="35" t="s">
        <v>193</v>
      </c>
      <c r="C35" s="132"/>
      <c r="D35" s="36"/>
      <c r="E35" s="132"/>
      <c r="F35" s="36"/>
      <c r="G35" s="36"/>
      <c r="H35" s="132"/>
      <c r="I35" s="132"/>
      <c r="J35" s="133"/>
      <c r="K35" s="136">
        <f>SUM(K31:K34)</f>
        <v>239.6013375</v>
      </c>
      <c r="L35" s="136">
        <f>SUM(L31:L34)</f>
        <v>0.10871204060798549</v>
      </c>
    </row>
    <row r="36" spans="1:12" ht="18.75" x14ac:dyDescent="0.25">
      <c r="A36" s="131">
        <v>1.5</v>
      </c>
      <c r="B36" s="35" t="s">
        <v>194</v>
      </c>
      <c r="C36" s="132"/>
      <c r="D36" s="36"/>
      <c r="E36" s="132"/>
      <c r="F36" s="36"/>
      <c r="G36" s="36"/>
      <c r="H36" s="132"/>
      <c r="I36" s="132"/>
      <c r="J36" s="133"/>
      <c r="K36" s="133"/>
      <c r="L36" s="133"/>
    </row>
    <row r="37" spans="1:12" x14ac:dyDescent="0.2">
      <c r="A37" s="36"/>
      <c r="B37" s="134" t="s">
        <v>182</v>
      </c>
      <c r="C37" s="135">
        <v>15</v>
      </c>
      <c r="D37" s="132">
        <v>3</v>
      </c>
      <c r="E37" s="132">
        <f>$D37/8</f>
        <v>0.375</v>
      </c>
      <c r="F37" s="36"/>
      <c r="G37" s="132">
        <v>1.5</v>
      </c>
      <c r="H37" s="132">
        <v>1.5</v>
      </c>
      <c r="I37" s="132">
        <f>$H37+$G37</f>
        <v>3</v>
      </c>
      <c r="J37" s="133">
        <f>($D37^2)/24</f>
        <v>0.375</v>
      </c>
      <c r="K37" s="133">
        <f>$I37*$C37*$J37</f>
        <v>16.875</v>
      </c>
      <c r="L37" s="133">
        <f>$K37/2204</f>
        <v>7.6565335753176044E-3</v>
      </c>
    </row>
    <row r="38" spans="1:12" x14ac:dyDescent="0.2">
      <c r="A38" s="36"/>
      <c r="B38" s="134" t="s">
        <v>183</v>
      </c>
      <c r="C38" s="135">
        <v>21</v>
      </c>
      <c r="D38" s="132">
        <v>3</v>
      </c>
      <c r="E38" s="132">
        <f>$D38/8</f>
        <v>0.375</v>
      </c>
      <c r="F38" s="36"/>
      <c r="G38" s="132">
        <v>1.5</v>
      </c>
      <c r="H38" s="132">
        <v>1.5</v>
      </c>
      <c r="I38" s="132">
        <f>$H38+$G38</f>
        <v>3</v>
      </c>
      <c r="J38" s="133">
        <f>($D38^2)/24</f>
        <v>0.375</v>
      </c>
      <c r="K38" s="133">
        <f>$I38*$C38*$J38</f>
        <v>23.625</v>
      </c>
      <c r="L38" s="133">
        <f>$K38/2204</f>
        <v>1.0719147005444647E-2</v>
      </c>
    </row>
    <row r="39" spans="1:12" x14ac:dyDescent="0.2">
      <c r="A39" s="36"/>
      <c r="B39" s="35" t="s">
        <v>195</v>
      </c>
      <c r="C39" s="36"/>
      <c r="D39" s="36"/>
      <c r="E39" s="132"/>
      <c r="F39" s="36"/>
      <c r="G39" s="36"/>
      <c r="H39" s="132"/>
      <c r="I39" s="132"/>
      <c r="J39" s="133"/>
      <c r="K39" s="136">
        <f>SUM(K37:K38)</f>
        <v>40.5</v>
      </c>
      <c r="L39" s="136">
        <f>SUM(L37:L38)</f>
        <v>1.8375680580762249E-2</v>
      </c>
    </row>
    <row r="40" spans="1:12" ht="18.75" x14ac:dyDescent="0.25">
      <c r="A40" s="276" t="s">
        <v>196</v>
      </c>
      <c r="B40" s="276"/>
      <c r="C40" s="276"/>
      <c r="D40" s="36"/>
      <c r="E40" s="132"/>
      <c r="F40" s="36"/>
      <c r="G40" s="36"/>
      <c r="H40" s="132"/>
      <c r="I40" s="132"/>
      <c r="J40" s="133"/>
      <c r="K40" s="136">
        <f>SUM(K14+K23+K29+K35+K39)</f>
        <v>1041.9351958333334</v>
      </c>
      <c r="L40" s="136">
        <f>SUM(L14+L23+L29+L35+L39)</f>
        <v>0.47274736653055049</v>
      </c>
    </row>
    <row r="41" spans="1:12" ht="18.75" x14ac:dyDescent="0.25">
      <c r="A41" s="110"/>
      <c r="B41" s="110"/>
      <c r="C41" s="110"/>
      <c r="D41" s="36"/>
      <c r="E41" s="132"/>
      <c r="F41" s="36"/>
      <c r="G41" s="36"/>
      <c r="H41" s="132"/>
      <c r="I41" s="132"/>
      <c r="J41" s="133"/>
      <c r="K41" s="133"/>
      <c r="L41" s="133"/>
    </row>
    <row r="42" spans="1:12" x14ac:dyDescent="0.2">
      <c r="A42" s="36"/>
      <c r="B42" s="36"/>
      <c r="C42" s="36"/>
      <c r="D42" s="36"/>
      <c r="E42" s="132"/>
      <c r="F42" s="36"/>
      <c r="G42" s="36"/>
      <c r="H42" s="132"/>
      <c r="I42" s="132"/>
      <c r="J42" s="133"/>
      <c r="K42" s="133"/>
      <c r="L42" s="133"/>
    </row>
    <row r="43" spans="1:12" ht="18.75" x14ac:dyDescent="0.25">
      <c r="A43" s="131">
        <v>2</v>
      </c>
      <c r="B43" s="84" t="s">
        <v>197</v>
      </c>
      <c r="C43" s="131"/>
      <c r="D43" s="110"/>
      <c r="E43" s="132"/>
      <c r="F43" s="131"/>
      <c r="G43" s="85"/>
      <c r="H43" s="132"/>
      <c r="I43" s="132"/>
      <c r="J43" s="133"/>
      <c r="K43" s="133"/>
      <c r="L43" s="133"/>
    </row>
    <row r="44" spans="1:12" ht="18.75" x14ac:dyDescent="0.25">
      <c r="A44" s="131">
        <v>2.1</v>
      </c>
      <c r="B44" s="35" t="s">
        <v>82</v>
      </c>
      <c r="C44" s="36"/>
      <c r="D44" s="36"/>
      <c r="E44" s="132"/>
      <c r="F44" s="36"/>
      <c r="G44" s="36"/>
      <c r="H44" s="132"/>
      <c r="I44" s="132"/>
      <c r="J44" s="133"/>
      <c r="K44" s="133"/>
      <c r="L44" s="133"/>
    </row>
    <row r="45" spans="1:12" x14ac:dyDescent="0.2">
      <c r="A45" s="36"/>
      <c r="B45" s="134" t="s">
        <v>177</v>
      </c>
      <c r="C45" s="135">
        <v>13</v>
      </c>
      <c r="D45" s="132">
        <v>3</v>
      </c>
      <c r="E45" s="132">
        <f t="shared" ref="E45:E48" si="21">$D45/8</f>
        <v>0.375</v>
      </c>
      <c r="F45" s="36"/>
      <c r="G45" s="132">
        <v>7.1666999999999996</v>
      </c>
      <c r="H45" s="132">
        <v>0.66700000000000004</v>
      </c>
      <c r="I45" s="132">
        <f t="shared" ref="I45:I48" si="22">$H45+$G45</f>
        <v>7.8336999999999994</v>
      </c>
      <c r="J45" s="133">
        <f t="shared" ref="J45:J48" si="23">($D45^2)/24</f>
        <v>0.375</v>
      </c>
      <c r="K45" s="133">
        <f t="shared" ref="K45:K48" si="24">$I45*$C45*$J45</f>
        <v>38.189287499999999</v>
      </c>
      <c r="L45" s="133">
        <f t="shared" ref="L45:L48" si="25">$K45/2204</f>
        <v>1.7327262931034482E-2</v>
      </c>
    </row>
    <row r="46" spans="1:12" x14ac:dyDescent="0.2">
      <c r="A46" s="36"/>
      <c r="B46" s="134" t="s">
        <v>178</v>
      </c>
      <c r="C46" s="135">
        <v>14</v>
      </c>
      <c r="D46" s="132">
        <v>3</v>
      </c>
      <c r="E46" s="132">
        <f t="shared" si="21"/>
        <v>0.375</v>
      </c>
      <c r="F46" s="36"/>
      <c r="G46" s="132">
        <v>7.1666999999999996</v>
      </c>
      <c r="H46" s="132">
        <v>0.66700000000000004</v>
      </c>
      <c r="I46" s="132">
        <f t="shared" si="22"/>
        <v>7.8336999999999994</v>
      </c>
      <c r="J46" s="133">
        <f t="shared" si="23"/>
        <v>0.375</v>
      </c>
      <c r="K46" s="133">
        <f t="shared" si="24"/>
        <v>41.126925</v>
      </c>
      <c r="L46" s="133">
        <f t="shared" si="25"/>
        <v>1.8660129310344827E-2</v>
      </c>
    </row>
    <row r="47" spans="1:12" x14ac:dyDescent="0.2">
      <c r="A47" s="36"/>
      <c r="B47" s="134" t="s">
        <v>179</v>
      </c>
      <c r="C47" s="135">
        <v>13</v>
      </c>
      <c r="D47" s="132">
        <v>3</v>
      </c>
      <c r="E47" s="132">
        <f t="shared" si="21"/>
        <v>0.375</v>
      </c>
      <c r="F47" s="36"/>
      <c r="G47" s="132">
        <v>7.1666999999999996</v>
      </c>
      <c r="H47" s="132">
        <v>0.66700000000000004</v>
      </c>
      <c r="I47" s="132">
        <f t="shared" si="22"/>
        <v>7.8336999999999994</v>
      </c>
      <c r="J47" s="133">
        <f t="shared" si="23"/>
        <v>0.375</v>
      </c>
      <c r="K47" s="133">
        <f t="shared" si="24"/>
        <v>38.189287499999999</v>
      </c>
      <c r="L47" s="133">
        <f t="shared" si="25"/>
        <v>1.7327262931034482E-2</v>
      </c>
    </row>
    <row r="48" spans="1:12" x14ac:dyDescent="0.2">
      <c r="A48" s="36"/>
      <c r="B48" s="134" t="s">
        <v>180</v>
      </c>
      <c r="C48" s="135">
        <v>15</v>
      </c>
      <c r="D48" s="132">
        <v>3</v>
      </c>
      <c r="E48" s="132">
        <f t="shared" si="21"/>
        <v>0.375</v>
      </c>
      <c r="F48" s="36"/>
      <c r="G48" s="132">
        <v>7.1666999999999996</v>
      </c>
      <c r="H48" s="132">
        <v>0.66700000000000004</v>
      </c>
      <c r="I48" s="132">
        <f t="shared" si="22"/>
        <v>7.8336999999999994</v>
      </c>
      <c r="J48" s="133">
        <f t="shared" si="23"/>
        <v>0.375</v>
      </c>
      <c r="K48" s="133">
        <f t="shared" si="24"/>
        <v>44.064562500000001</v>
      </c>
      <c r="L48" s="133">
        <f t="shared" si="25"/>
        <v>1.9992995689655173E-2</v>
      </c>
    </row>
    <row r="49" spans="1:12" ht="18.75" x14ac:dyDescent="0.25">
      <c r="A49" s="131"/>
      <c r="B49" s="35" t="s">
        <v>198</v>
      </c>
      <c r="C49" s="132"/>
      <c r="D49" s="36"/>
      <c r="E49" s="132"/>
      <c r="F49" s="36"/>
      <c r="G49" s="36"/>
      <c r="H49" s="132"/>
      <c r="I49" s="132"/>
      <c r="J49" s="133"/>
      <c r="K49" s="136">
        <f>SUM(K45:K48)</f>
        <v>161.57006250000001</v>
      </c>
      <c r="L49" s="136">
        <f>SUM(L45:L48)</f>
        <v>7.3307650862068974E-2</v>
      </c>
    </row>
    <row r="50" spans="1:12" ht="18.75" x14ac:dyDescent="0.25">
      <c r="A50" s="131">
        <v>2.2000000000000002</v>
      </c>
      <c r="B50" s="35" t="s">
        <v>83</v>
      </c>
      <c r="C50" s="132"/>
      <c r="D50" s="36"/>
      <c r="E50" s="132"/>
      <c r="F50" s="36"/>
      <c r="G50" s="36"/>
      <c r="H50" s="132"/>
      <c r="I50" s="132"/>
      <c r="J50" s="133"/>
      <c r="K50" s="133"/>
      <c r="L50" s="133"/>
    </row>
    <row r="51" spans="1:12" x14ac:dyDescent="0.2">
      <c r="A51" s="36"/>
      <c r="B51" s="134" t="s">
        <v>177</v>
      </c>
      <c r="C51" s="135">
        <v>9</v>
      </c>
      <c r="D51" s="132">
        <v>3</v>
      </c>
      <c r="E51" s="132">
        <f t="shared" ref="E51:E53" si="26">$D51/8</f>
        <v>0.375</v>
      </c>
      <c r="F51" s="36"/>
      <c r="G51" s="132">
        <v>7.1666999999999996</v>
      </c>
      <c r="H51" s="132">
        <v>0.66700000000000004</v>
      </c>
      <c r="I51" s="132">
        <f t="shared" ref="I51:I53" si="27">$H51+$G51</f>
        <v>7.8336999999999994</v>
      </c>
      <c r="J51" s="133">
        <f t="shared" ref="J51:J53" si="28">($D51^2)/24</f>
        <v>0.375</v>
      </c>
      <c r="K51" s="133">
        <f t="shared" ref="K51:K53" si="29">$I51*$C51*$J51</f>
        <v>26.438737499999998</v>
      </c>
      <c r="L51" s="133">
        <f t="shared" ref="L51:L53" si="30">$K51/2204</f>
        <v>1.1995797413793103E-2</v>
      </c>
    </row>
    <row r="52" spans="1:12" x14ac:dyDescent="0.2">
      <c r="A52" s="36"/>
      <c r="B52" s="134" t="s">
        <v>178</v>
      </c>
      <c r="C52" s="135">
        <v>9</v>
      </c>
      <c r="D52" s="132">
        <v>3</v>
      </c>
      <c r="E52" s="132">
        <f t="shared" si="26"/>
        <v>0.375</v>
      </c>
      <c r="F52" s="36"/>
      <c r="G52" s="132">
        <v>7.1666999999999996</v>
      </c>
      <c r="H52" s="132">
        <v>0.66700000000000004</v>
      </c>
      <c r="I52" s="132">
        <f t="shared" si="27"/>
        <v>7.8336999999999994</v>
      </c>
      <c r="J52" s="133">
        <f t="shared" si="28"/>
        <v>0.375</v>
      </c>
      <c r="K52" s="133">
        <f t="shared" si="29"/>
        <v>26.438737499999998</v>
      </c>
      <c r="L52" s="133">
        <f t="shared" si="30"/>
        <v>1.1995797413793103E-2</v>
      </c>
    </row>
    <row r="53" spans="1:12" x14ac:dyDescent="0.2">
      <c r="A53" s="36"/>
      <c r="B53" s="134" t="s">
        <v>179</v>
      </c>
      <c r="C53" s="135">
        <v>11</v>
      </c>
      <c r="D53" s="132">
        <v>3</v>
      </c>
      <c r="E53" s="132">
        <f t="shared" si="26"/>
        <v>0.375</v>
      </c>
      <c r="F53" s="36"/>
      <c r="G53" s="132">
        <v>7.1666999999999996</v>
      </c>
      <c r="H53" s="132"/>
      <c r="I53" s="132">
        <f t="shared" si="27"/>
        <v>7.1666999999999996</v>
      </c>
      <c r="J53" s="133">
        <f t="shared" si="28"/>
        <v>0.375</v>
      </c>
      <c r="K53" s="133">
        <f t="shared" si="29"/>
        <v>29.562637499999997</v>
      </c>
      <c r="L53" s="133">
        <f t="shared" si="30"/>
        <v>1.3413174909255898E-2</v>
      </c>
    </row>
    <row r="54" spans="1:12" x14ac:dyDescent="0.2">
      <c r="A54" s="36"/>
      <c r="B54" s="134"/>
      <c r="C54" s="135"/>
      <c r="D54" s="132"/>
      <c r="E54" s="132"/>
      <c r="F54" s="36"/>
      <c r="G54" s="132"/>
      <c r="H54" s="132"/>
      <c r="I54" s="132"/>
      <c r="J54" s="133"/>
      <c r="K54" s="133"/>
      <c r="L54" s="133"/>
    </row>
    <row r="55" spans="1:12" x14ac:dyDescent="0.2">
      <c r="A55" s="36"/>
      <c r="B55" s="35" t="s">
        <v>199</v>
      </c>
      <c r="C55" s="132"/>
      <c r="D55" s="36"/>
      <c r="E55" s="132"/>
      <c r="F55" s="36"/>
      <c r="G55" s="36"/>
      <c r="H55" s="132"/>
      <c r="I55" s="132"/>
      <c r="J55" s="133"/>
      <c r="K55" s="136">
        <f>SUM(K51:K54)</f>
        <v>82.440112499999998</v>
      </c>
      <c r="L55" s="136">
        <f>SUM(L51:L54)</f>
        <v>3.7404769736842106E-2</v>
      </c>
    </row>
    <row r="56" spans="1:12" ht="18.75" x14ac:dyDescent="0.25">
      <c r="A56" s="131">
        <v>2.2999999999999998</v>
      </c>
      <c r="B56" s="35" t="s">
        <v>426</v>
      </c>
      <c r="C56" s="132"/>
      <c r="D56" s="36"/>
      <c r="E56" s="132"/>
      <c r="F56" s="36"/>
      <c r="G56" s="36"/>
      <c r="H56" s="132"/>
      <c r="I56" s="132"/>
      <c r="J56" s="133"/>
      <c r="K56" s="133"/>
      <c r="L56" s="133"/>
    </row>
    <row r="57" spans="1:12" x14ac:dyDescent="0.2">
      <c r="A57" s="36"/>
      <c r="B57" s="134" t="s">
        <v>187</v>
      </c>
      <c r="C57" s="135">
        <v>20</v>
      </c>
      <c r="D57" s="132">
        <v>3</v>
      </c>
      <c r="E57" s="132">
        <f t="shared" ref="E57:E60" si="31">$D57/8</f>
        <v>0.375</v>
      </c>
      <c r="F57" s="36"/>
      <c r="G57" s="132">
        <v>8.5416699999999999</v>
      </c>
      <c r="H57" s="132">
        <v>0.66700000000000004</v>
      </c>
      <c r="I57" s="132">
        <f t="shared" ref="I57:I60" si="32">$H57+$G57</f>
        <v>9.2086699999999997</v>
      </c>
      <c r="J57" s="133">
        <f t="shared" ref="J57:J60" si="33">($D57^2)/24</f>
        <v>0.375</v>
      </c>
      <c r="K57" s="133">
        <f t="shared" ref="K57:K60" si="34">$I57*$C57*$J57</f>
        <v>69.065024999999991</v>
      </c>
      <c r="L57" s="133">
        <f t="shared" ref="L57:L60" si="35">$K57/2204</f>
        <v>3.1336218239564423E-2</v>
      </c>
    </row>
    <row r="58" spans="1:12" x14ac:dyDescent="0.2">
      <c r="A58" s="36"/>
      <c r="B58" s="134" t="s">
        <v>188</v>
      </c>
      <c r="C58" s="135">
        <v>14</v>
      </c>
      <c r="D58" s="132">
        <v>3</v>
      </c>
      <c r="E58" s="132">
        <f t="shared" si="31"/>
        <v>0.375</v>
      </c>
      <c r="F58" s="36"/>
      <c r="G58" s="132">
        <v>7.1666999999999996</v>
      </c>
      <c r="H58" s="132">
        <v>0.66700000000000004</v>
      </c>
      <c r="I58" s="132">
        <f t="shared" si="32"/>
        <v>7.8336999999999994</v>
      </c>
      <c r="J58" s="133">
        <f t="shared" si="33"/>
        <v>0.375</v>
      </c>
      <c r="K58" s="133">
        <f t="shared" si="34"/>
        <v>41.126925</v>
      </c>
      <c r="L58" s="133">
        <f t="shared" si="35"/>
        <v>1.8660129310344827E-2</v>
      </c>
    </row>
    <row r="59" spans="1:12" x14ac:dyDescent="0.2">
      <c r="A59" s="36"/>
      <c r="B59" s="134" t="s">
        <v>189</v>
      </c>
      <c r="C59" s="135">
        <v>20</v>
      </c>
      <c r="D59" s="132">
        <v>3</v>
      </c>
      <c r="E59" s="132">
        <f t="shared" si="31"/>
        <v>0.375</v>
      </c>
      <c r="F59" s="36"/>
      <c r="G59" s="132">
        <v>8.5416699999999999</v>
      </c>
      <c r="H59" s="132">
        <v>2.9166699999999999</v>
      </c>
      <c r="I59" s="132">
        <f t="shared" si="32"/>
        <v>11.45834</v>
      </c>
      <c r="J59" s="133">
        <f t="shared" si="33"/>
        <v>0.375</v>
      </c>
      <c r="K59" s="133">
        <f t="shared" si="34"/>
        <v>85.937550000000002</v>
      </c>
      <c r="L59" s="133">
        <f t="shared" si="35"/>
        <v>3.899162885662432E-2</v>
      </c>
    </row>
    <row r="60" spans="1:12" x14ac:dyDescent="0.2">
      <c r="A60" s="36"/>
      <c r="B60" s="134" t="s">
        <v>190</v>
      </c>
      <c r="C60" s="135">
        <v>14</v>
      </c>
      <c r="D60" s="132">
        <v>3</v>
      </c>
      <c r="E60" s="132">
        <f t="shared" si="31"/>
        <v>0.375</v>
      </c>
      <c r="F60" s="36"/>
      <c r="G60" s="132">
        <v>7.1666999999999996</v>
      </c>
      <c r="H60" s="132">
        <v>0.66700000000000004</v>
      </c>
      <c r="I60" s="132">
        <f t="shared" si="32"/>
        <v>7.8336999999999994</v>
      </c>
      <c r="J60" s="133">
        <f t="shared" si="33"/>
        <v>0.375</v>
      </c>
      <c r="K60" s="133">
        <f t="shared" si="34"/>
        <v>41.126925</v>
      </c>
      <c r="L60" s="133">
        <f t="shared" si="35"/>
        <v>1.8660129310344827E-2</v>
      </c>
    </row>
    <row r="61" spans="1:12" ht="18.75" x14ac:dyDescent="0.25">
      <c r="A61" s="131"/>
      <c r="B61" s="35" t="s">
        <v>191</v>
      </c>
      <c r="C61" s="132"/>
      <c r="D61" s="36"/>
      <c r="E61" s="132"/>
      <c r="F61" s="36"/>
      <c r="G61" s="36"/>
      <c r="H61" s="132"/>
      <c r="I61" s="132"/>
      <c r="J61" s="133"/>
      <c r="K61" s="136">
        <f>SUM(K57:K60)</f>
        <v>237.25642500000001</v>
      </c>
      <c r="L61" s="136">
        <f>SUM(L57:L60)</f>
        <v>0.10764810571687841</v>
      </c>
    </row>
    <row r="62" spans="1:12" ht="18.75" x14ac:dyDescent="0.25">
      <c r="A62" s="131">
        <v>2.4</v>
      </c>
      <c r="B62" s="35" t="s">
        <v>192</v>
      </c>
      <c r="C62" s="132"/>
      <c r="D62" s="36"/>
      <c r="E62" s="132"/>
      <c r="F62" s="36"/>
      <c r="G62" s="36"/>
      <c r="H62" s="132"/>
      <c r="I62" s="132"/>
      <c r="J62" s="133"/>
      <c r="K62" s="133"/>
      <c r="L62" s="133"/>
    </row>
    <row r="63" spans="1:12" x14ac:dyDescent="0.2">
      <c r="A63" s="36"/>
      <c r="B63" s="134" t="s">
        <v>187</v>
      </c>
      <c r="C63" s="135">
        <v>20</v>
      </c>
      <c r="D63" s="132">
        <v>3</v>
      </c>
      <c r="E63" s="132">
        <f t="shared" ref="E63:E66" si="36">$D63/8</f>
        <v>0.375</v>
      </c>
      <c r="F63" s="36"/>
      <c r="G63" s="132">
        <v>5.7916699999999999</v>
      </c>
      <c r="H63" s="132">
        <v>0.66700000000000004</v>
      </c>
      <c r="I63" s="132">
        <f t="shared" ref="I63:I66" si="37">$H63+$G63</f>
        <v>6.4586699999999997</v>
      </c>
      <c r="J63" s="133">
        <f t="shared" ref="J63:J66" si="38">($D63^2)/24</f>
        <v>0.375</v>
      </c>
      <c r="K63" s="133">
        <f t="shared" ref="K63:K66" si="39">$I63*$C63*$J63</f>
        <v>48.440024999999991</v>
      </c>
      <c r="L63" s="133">
        <f t="shared" ref="L63:L66" si="40">$K63/2204</f>
        <v>2.1978232758620687E-2</v>
      </c>
    </row>
    <row r="64" spans="1:12" x14ac:dyDescent="0.2">
      <c r="A64" s="36"/>
      <c r="B64" s="134" t="s">
        <v>188</v>
      </c>
      <c r="C64" s="135">
        <v>14</v>
      </c>
      <c r="D64" s="132">
        <v>3</v>
      </c>
      <c r="E64" s="132">
        <f t="shared" si="36"/>
        <v>0.375</v>
      </c>
      <c r="F64" s="36"/>
      <c r="G64" s="132">
        <v>7.1666999999999996</v>
      </c>
      <c r="H64" s="132">
        <v>0.66700000000000004</v>
      </c>
      <c r="I64" s="132">
        <f t="shared" si="37"/>
        <v>7.8336999999999994</v>
      </c>
      <c r="J64" s="133">
        <f t="shared" si="38"/>
        <v>0.375</v>
      </c>
      <c r="K64" s="133">
        <f t="shared" si="39"/>
        <v>41.126925</v>
      </c>
      <c r="L64" s="133">
        <f t="shared" si="40"/>
        <v>1.8660129310344827E-2</v>
      </c>
    </row>
    <row r="65" spans="1:12" x14ac:dyDescent="0.2">
      <c r="A65" s="36"/>
      <c r="B65" s="134" t="s">
        <v>189</v>
      </c>
      <c r="C65" s="135">
        <v>20</v>
      </c>
      <c r="D65" s="132">
        <v>3</v>
      </c>
      <c r="E65" s="132">
        <f t="shared" si="36"/>
        <v>0.375</v>
      </c>
      <c r="F65" s="36"/>
      <c r="G65" s="132">
        <v>5.7916699999999999</v>
      </c>
      <c r="H65" s="132">
        <v>2.9167000000000001</v>
      </c>
      <c r="I65" s="132">
        <f t="shared" si="37"/>
        <v>8.7083700000000004</v>
      </c>
      <c r="J65" s="133">
        <f t="shared" si="38"/>
        <v>0.375</v>
      </c>
      <c r="K65" s="133">
        <f t="shared" si="39"/>
        <v>65.312775000000002</v>
      </c>
      <c r="L65" s="133">
        <f t="shared" si="40"/>
        <v>2.963374546279492E-2</v>
      </c>
    </row>
    <row r="66" spans="1:12" x14ac:dyDescent="0.2">
      <c r="A66" s="36"/>
      <c r="B66" s="134" t="s">
        <v>190</v>
      </c>
      <c r="C66" s="135">
        <v>14</v>
      </c>
      <c r="D66" s="132">
        <v>3</v>
      </c>
      <c r="E66" s="132">
        <f t="shared" si="36"/>
        <v>0.375</v>
      </c>
      <c r="F66" s="36"/>
      <c r="G66" s="132">
        <v>7.1666999999999996</v>
      </c>
      <c r="H66" s="132">
        <v>0.66700000000000004</v>
      </c>
      <c r="I66" s="132">
        <f t="shared" si="37"/>
        <v>7.8336999999999994</v>
      </c>
      <c r="J66" s="133">
        <f t="shared" si="38"/>
        <v>0.375</v>
      </c>
      <c r="K66" s="133">
        <f t="shared" si="39"/>
        <v>41.126925</v>
      </c>
      <c r="L66" s="133">
        <f t="shared" si="40"/>
        <v>1.8660129310344827E-2</v>
      </c>
    </row>
    <row r="67" spans="1:12" ht="18.75" x14ac:dyDescent="0.25">
      <c r="A67" s="131"/>
      <c r="B67" s="35" t="s">
        <v>193</v>
      </c>
      <c r="C67" s="132"/>
      <c r="D67" s="36"/>
      <c r="E67" s="132"/>
      <c r="F67" s="36"/>
      <c r="G67" s="36"/>
      <c r="H67" s="132"/>
      <c r="I67" s="132"/>
      <c r="J67" s="133"/>
      <c r="K67" s="136">
        <f>SUM(K63:K66)</f>
        <v>196.00665000000001</v>
      </c>
      <c r="L67" s="136">
        <f>SUM(L63:L66)</f>
        <v>8.8932236842105258E-2</v>
      </c>
    </row>
    <row r="68" spans="1:12" ht="18.75" x14ac:dyDescent="0.25">
      <c r="A68" s="131">
        <v>2.5</v>
      </c>
      <c r="B68" s="35" t="s">
        <v>200</v>
      </c>
      <c r="C68" s="135">
        <v>16</v>
      </c>
      <c r="D68" s="36">
        <v>4</v>
      </c>
      <c r="E68" s="132">
        <f>$D68/8</f>
        <v>0.5</v>
      </c>
      <c r="F68" s="36"/>
      <c r="G68" s="36">
        <v>7.1666999999999996</v>
      </c>
      <c r="H68" s="132"/>
      <c r="I68" s="132">
        <f>$H68+$G68</f>
        <v>7.1666999999999996</v>
      </c>
      <c r="J68" s="133">
        <f>($D68^2)/24</f>
        <v>0.66666666666666663</v>
      </c>
      <c r="K68" s="136">
        <f>$I68*$C68*$J68</f>
        <v>76.444799999999987</v>
      </c>
      <c r="L68" s="136">
        <f>$K68/2204</f>
        <v>3.4684573502722318E-2</v>
      </c>
    </row>
    <row r="69" spans="1:12" ht="18.75" x14ac:dyDescent="0.25">
      <c r="A69" s="276" t="s">
        <v>201</v>
      </c>
      <c r="B69" s="276"/>
      <c r="C69" s="276"/>
      <c r="D69" s="36"/>
      <c r="E69" s="36"/>
      <c r="F69" s="36"/>
      <c r="G69" s="36"/>
      <c r="H69" s="36"/>
      <c r="I69" s="36"/>
      <c r="J69" s="36"/>
      <c r="K69" s="137">
        <f>SUM(K68+K67+K61+K55+K49)</f>
        <v>753.71804999999995</v>
      </c>
      <c r="L69" s="137">
        <f>SUM(L68+L67+L61+L55+L49)</f>
        <v>0.34197733666061708</v>
      </c>
    </row>
  </sheetData>
  <mergeCells count="4">
    <mergeCell ref="A1:L1"/>
    <mergeCell ref="A3:L3"/>
    <mergeCell ref="A40:C40"/>
    <mergeCell ref="A69:C6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2"/>
  <sheetViews>
    <sheetView topLeftCell="C29" zoomScale="90" zoomScaleNormal="90" workbookViewId="0">
      <selection activeCell="J45" sqref="J45"/>
    </sheetView>
  </sheetViews>
  <sheetFormatPr defaultColWidth="9.01171875" defaultRowHeight="15" x14ac:dyDescent="0.2"/>
  <cols>
    <col min="1" max="1" width="6.3203125" customWidth="1"/>
    <col min="2" max="2" width="28.515625" customWidth="1"/>
    <col min="3" max="3" width="11.02734375" customWidth="1"/>
    <col min="4" max="4" width="13.31640625" customWidth="1"/>
    <col min="5" max="5" width="14.52734375" customWidth="1"/>
    <col min="6" max="6" width="12.64453125" customWidth="1"/>
    <col min="7" max="7" width="16.94921875" customWidth="1"/>
    <col min="8" max="8" width="22.328125" customWidth="1"/>
  </cols>
  <sheetData>
    <row r="1" spans="1:8" ht="23.25" x14ac:dyDescent="0.3">
      <c r="A1" s="253" t="s">
        <v>0</v>
      </c>
      <c r="B1" s="253"/>
      <c r="C1" s="253"/>
      <c r="D1" s="253"/>
      <c r="E1" s="253"/>
      <c r="F1" s="253"/>
      <c r="G1" s="253"/>
      <c r="H1" s="253"/>
    </row>
    <row r="2" spans="1:8" ht="18.75" x14ac:dyDescent="0.25">
      <c r="A2" s="70" t="s">
        <v>1</v>
      </c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</row>
    <row r="3" spans="1:8" ht="18.75" x14ac:dyDescent="0.25">
      <c r="A3" s="71"/>
      <c r="B3" s="71"/>
      <c r="C3" s="71"/>
      <c r="D3" s="71"/>
      <c r="E3" s="71"/>
      <c r="F3" s="71"/>
      <c r="G3" s="71"/>
      <c r="H3" s="71"/>
    </row>
    <row r="4" spans="1:8" x14ac:dyDescent="0.2">
      <c r="A4" s="254" t="s">
        <v>202</v>
      </c>
      <c r="B4" s="254"/>
      <c r="C4" s="254"/>
      <c r="D4" s="254"/>
      <c r="E4" s="254"/>
      <c r="F4" s="254"/>
      <c r="G4" s="254"/>
      <c r="H4" s="254"/>
    </row>
    <row r="5" spans="1:8" x14ac:dyDescent="0.2">
      <c r="B5" s="73" t="s">
        <v>203</v>
      </c>
    </row>
    <row r="6" spans="1:8" x14ac:dyDescent="0.2">
      <c r="A6" s="48">
        <v>1</v>
      </c>
      <c r="B6" s="74" t="s">
        <v>186</v>
      </c>
      <c r="C6" s="75"/>
      <c r="D6" s="30"/>
      <c r="E6" s="30"/>
      <c r="F6" s="30"/>
      <c r="G6" s="30"/>
      <c r="H6" s="30"/>
    </row>
    <row r="7" spans="1:8" x14ac:dyDescent="0.2">
      <c r="A7" s="48"/>
      <c r="B7" s="30" t="s">
        <v>39</v>
      </c>
      <c r="C7" s="75">
        <v>1</v>
      </c>
      <c r="D7" s="76">
        <f>(6.5+8+7.5+1.75+4.25+1.75+4.75+11.25+6.167+6.833+0.5)-1.167-1.5-1.5-0.5-0.5-1.5-1.5-0.5</f>
        <v>50.582999999999998</v>
      </c>
      <c r="E7" s="76">
        <v>0.5</v>
      </c>
      <c r="F7" s="76">
        <v>8</v>
      </c>
      <c r="G7" s="76">
        <f t="shared" ref="G7:G17" si="0">$D7*$E7*$F7</f>
        <v>202.33199999999999</v>
      </c>
      <c r="H7" s="76">
        <f t="shared" ref="H7:H17" si="1">$G7*$C7</f>
        <v>202.33199999999999</v>
      </c>
    </row>
    <row r="8" spans="1:8" x14ac:dyDescent="0.2">
      <c r="B8" s="30" t="s">
        <v>40</v>
      </c>
      <c r="C8" s="75">
        <v>1</v>
      </c>
      <c r="D8" s="76">
        <f>4.25-0.5+1.75+0.5-(14/12)</f>
        <v>4.833333333333333</v>
      </c>
      <c r="E8" s="76">
        <v>0.5</v>
      </c>
      <c r="F8" s="76">
        <v>8</v>
      </c>
      <c r="G8" s="76">
        <f t="shared" si="0"/>
        <v>19.333333333333332</v>
      </c>
      <c r="H8" s="76">
        <f t="shared" si="1"/>
        <v>19.333333333333332</v>
      </c>
    </row>
    <row r="9" spans="1:8" x14ac:dyDescent="0.2">
      <c r="B9" s="30" t="s">
        <v>41</v>
      </c>
      <c r="C9" s="75">
        <v>1</v>
      </c>
      <c r="D9" s="76">
        <f>6.5+0.5-(14/12)</f>
        <v>5.833333333333333</v>
      </c>
      <c r="E9" s="76">
        <v>0.5</v>
      </c>
      <c r="F9" s="76">
        <v>8</v>
      </c>
      <c r="G9" s="76">
        <f t="shared" si="0"/>
        <v>23.333333333333332</v>
      </c>
      <c r="H9" s="76">
        <f t="shared" si="1"/>
        <v>23.333333333333332</v>
      </c>
    </row>
    <row r="10" spans="1:8" x14ac:dyDescent="0.2">
      <c r="B10" s="30" t="s">
        <v>42</v>
      </c>
      <c r="C10" s="75">
        <v>1</v>
      </c>
      <c r="D10" s="76">
        <f>6.167+6.833+2+0.5-(18/12)</f>
        <v>14</v>
      </c>
      <c r="E10" s="76">
        <v>0.5</v>
      </c>
      <c r="F10" s="76">
        <v>8</v>
      </c>
      <c r="G10" s="76">
        <f t="shared" si="0"/>
        <v>56</v>
      </c>
      <c r="H10" s="76">
        <f t="shared" si="1"/>
        <v>56</v>
      </c>
    </row>
    <row r="11" spans="1:8" x14ac:dyDescent="0.2">
      <c r="B11" s="30" t="s">
        <v>43</v>
      </c>
      <c r="C11" s="75">
        <v>1</v>
      </c>
      <c r="D11" s="76">
        <f>(6.5+8+7.5+1.75+4.25+1.75+4.75+11.25+0.5)-0.5-(21/12)-1.5-1.5</f>
        <v>41</v>
      </c>
      <c r="E11" s="76">
        <v>0.5</v>
      </c>
      <c r="F11" s="76">
        <v>8</v>
      </c>
      <c r="G11" s="76">
        <f t="shared" si="0"/>
        <v>164</v>
      </c>
      <c r="H11" s="76">
        <f t="shared" si="1"/>
        <v>164</v>
      </c>
    </row>
    <row r="12" spans="1:8" x14ac:dyDescent="0.2">
      <c r="B12" s="30" t="s">
        <v>44</v>
      </c>
      <c r="C12" s="75">
        <v>1</v>
      </c>
      <c r="D12" s="76">
        <f>1.25+6.4167+0.5-0.5-0.5</f>
        <v>7.1666999999999987</v>
      </c>
      <c r="E12" s="76">
        <v>0.5</v>
      </c>
      <c r="F12" s="76">
        <v>8</v>
      </c>
      <c r="G12" s="76">
        <f t="shared" si="0"/>
        <v>28.666799999999995</v>
      </c>
      <c r="H12" s="76">
        <f t="shared" si="1"/>
        <v>28.666799999999995</v>
      </c>
    </row>
    <row r="13" spans="1:8" x14ac:dyDescent="0.2">
      <c r="B13" s="30" t="s">
        <v>45</v>
      </c>
      <c r="C13" s="75">
        <v>1</v>
      </c>
      <c r="D13" s="76">
        <f>(7.5+1.75+4.25+1.75+4.75+0.5)-1.5-1.5-0.5</f>
        <v>17</v>
      </c>
      <c r="E13" s="76">
        <v>0.5</v>
      </c>
      <c r="F13" s="76">
        <v>8</v>
      </c>
      <c r="G13" s="76">
        <f t="shared" si="0"/>
        <v>68</v>
      </c>
      <c r="H13" s="76">
        <f t="shared" si="1"/>
        <v>68</v>
      </c>
    </row>
    <row r="14" spans="1:8" x14ac:dyDescent="0.2">
      <c r="B14" s="30" t="s">
        <v>46</v>
      </c>
      <c r="C14" s="75">
        <v>1</v>
      </c>
      <c r="D14" s="76">
        <f>(6.833+2+6.4167+1.25+0.5)-0.5-1.5-0.5</f>
        <v>14.499700000000001</v>
      </c>
      <c r="E14" s="76">
        <v>0.5</v>
      </c>
      <c r="F14" s="76">
        <v>8</v>
      </c>
      <c r="G14" s="76">
        <f t="shared" si="0"/>
        <v>57.998800000000003</v>
      </c>
      <c r="H14" s="76">
        <f t="shared" si="1"/>
        <v>57.998800000000003</v>
      </c>
    </row>
    <row r="15" spans="1:8" x14ac:dyDescent="0.2">
      <c r="B15" s="30" t="s">
        <v>47</v>
      </c>
      <c r="C15" s="75">
        <v>1</v>
      </c>
      <c r="D15" s="76">
        <f>(1.75+4.75+0.5)</f>
        <v>7</v>
      </c>
      <c r="E15" s="76">
        <v>0.5</v>
      </c>
      <c r="F15" s="76">
        <v>8</v>
      </c>
      <c r="G15" s="76">
        <f t="shared" si="0"/>
        <v>28</v>
      </c>
      <c r="H15" s="76">
        <f t="shared" si="1"/>
        <v>28</v>
      </c>
    </row>
    <row r="16" spans="1:8" x14ac:dyDescent="0.2">
      <c r="B16" s="30" t="s">
        <v>48</v>
      </c>
      <c r="C16" s="75">
        <v>1</v>
      </c>
      <c r="D16" s="76">
        <f>(6.5+8+0.5)-1.5</f>
        <v>13.5</v>
      </c>
      <c r="E16" s="76">
        <v>0.5</v>
      </c>
      <c r="F16" s="76">
        <v>8</v>
      </c>
      <c r="G16" s="76">
        <f t="shared" si="0"/>
        <v>54</v>
      </c>
      <c r="H16" s="76">
        <f t="shared" si="1"/>
        <v>54</v>
      </c>
    </row>
    <row r="17" spans="1:8" x14ac:dyDescent="0.2">
      <c r="B17" s="30" t="s">
        <v>27</v>
      </c>
      <c r="C17" s="75">
        <v>1</v>
      </c>
      <c r="D17" s="76">
        <f>(6.5+8+7.5+1.75+4.25+1.75+4.75+11.25+6.167+6.833+2+6.4176+1.25+0.5)-1.5-0.5-0.5-0.5-(21/12)-(21/12)-(21/12)</f>
        <v>60.667599999999993</v>
      </c>
      <c r="E17" s="76">
        <v>0.5</v>
      </c>
      <c r="F17" s="76">
        <v>8</v>
      </c>
      <c r="G17" s="76">
        <f t="shared" si="0"/>
        <v>242.67039999999997</v>
      </c>
      <c r="H17" s="76">
        <f t="shared" si="1"/>
        <v>242.67039999999997</v>
      </c>
    </row>
    <row r="18" spans="1:8" x14ac:dyDescent="0.2">
      <c r="A18" s="73">
        <v>2</v>
      </c>
      <c r="B18" s="74" t="s">
        <v>192</v>
      </c>
    </row>
    <row r="19" spans="1:8" x14ac:dyDescent="0.2">
      <c r="B19" s="30" t="s">
        <v>28</v>
      </c>
      <c r="C19" s="75">
        <v>1</v>
      </c>
      <c r="D19" s="76">
        <f>(7.25+1.75+0.333+3.167+1+1.5+4+0.5+1.333+8.167+1.75+4.75+0.5)-(6*0.5)-1.5</f>
        <v>31.5</v>
      </c>
      <c r="E19" s="76">
        <v>0.5</v>
      </c>
      <c r="F19" s="76">
        <v>8</v>
      </c>
      <c r="G19" s="76">
        <f t="shared" ref="G19:G32" si="2">$D19*$E19*$F19</f>
        <v>126</v>
      </c>
      <c r="H19" s="76">
        <f t="shared" ref="H19:H32" si="3">$G19*$C19</f>
        <v>126</v>
      </c>
    </row>
    <row r="20" spans="1:8" x14ac:dyDescent="0.2">
      <c r="B20" s="30" t="s">
        <v>50</v>
      </c>
      <c r="C20" s="75">
        <v>1</v>
      </c>
      <c r="D20" s="76">
        <f>(7.25+1.75+0.333+3.167+1+0.5)-0.5-0.5</f>
        <v>13</v>
      </c>
      <c r="E20" s="76">
        <v>0.5</v>
      </c>
      <c r="F20" s="76">
        <v>8</v>
      </c>
      <c r="G20" s="76">
        <f t="shared" si="2"/>
        <v>52</v>
      </c>
      <c r="H20" s="76">
        <f t="shared" si="3"/>
        <v>52</v>
      </c>
    </row>
    <row r="21" spans="1:8" x14ac:dyDescent="0.2">
      <c r="B21" s="30" t="s">
        <v>51</v>
      </c>
      <c r="C21" s="75">
        <v>1</v>
      </c>
      <c r="D21" s="76">
        <f>(4.75+1.75+0.5)-(2*1)</f>
        <v>5</v>
      </c>
      <c r="E21" s="76">
        <v>0.5</v>
      </c>
      <c r="F21" s="76">
        <v>8</v>
      </c>
      <c r="G21" s="76">
        <f t="shared" si="2"/>
        <v>20</v>
      </c>
      <c r="H21" s="76">
        <f t="shared" si="3"/>
        <v>20</v>
      </c>
    </row>
    <row r="22" spans="1:8" x14ac:dyDescent="0.2">
      <c r="B22" s="30" t="s">
        <v>52</v>
      </c>
      <c r="C22" s="75">
        <v>1</v>
      </c>
      <c r="D22" s="76">
        <f>(1.5+4+0.5+1.333+8.167+1.75+4.75+0.5)-0.5-(21/12)-1.5-0.5</f>
        <v>18.25</v>
      </c>
      <c r="E22" s="76">
        <v>0.5</v>
      </c>
      <c r="F22" s="76">
        <v>8</v>
      </c>
      <c r="G22" s="76">
        <f t="shared" si="2"/>
        <v>73</v>
      </c>
      <c r="H22" s="76">
        <f t="shared" si="3"/>
        <v>73</v>
      </c>
    </row>
    <row r="23" spans="1:8" x14ac:dyDescent="0.2">
      <c r="B23" s="30" t="s">
        <v>53</v>
      </c>
      <c r="C23" s="75">
        <v>1</v>
      </c>
      <c r="D23" s="76">
        <f>(7.25+1.75+0.333+3.167+1+0.5)-0.5-0.5-1.5</f>
        <v>11.5</v>
      </c>
      <c r="E23" s="76">
        <v>0.5</v>
      </c>
      <c r="F23" s="76">
        <v>8</v>
      </c>
      <c r="G23" s="76">
        <f t="shared" si="2"/>
        <v>46</v>
      </c>
      <c r="H23" s="76">
        <f t="shared" si="3"/>
        <v>46</v>
      </c>
    </row>
    <row r="24" spans="1:8" x14ac:dyDescent="0.2">
      <c r="B24" s="30" t="s">
        <v>54</v>
      </c>
      <c r="C24" s="75">
        <v>1</v>
      </c>
      <c r="D24" s="76">
        <f>7.25+0.5-(14/12)-0.5-1.5</f>
        <v>4.583333333333333</v>
      </c>
      <c r="E24" s="76">
        <v>0.5</v>
      </c>
      <c r="F24" s="76">
        <v>8</v>
      </c>
      <c r="G24" s="76">
        <f t="shared" si="2"/>
        <v>18.333333333333332</v>
      </c>
      <c r="H24" s="76">
        <f t="shared" si="3"/>
        <v>18.333333333333332</v>
      </c>
    </row>
    <row r="25" spans="1:8" x14ac:dyDescent="0.2">
      <c r="B25" s="30" t="s">
        <v>55</v>
      </c>
      <c r="C25" s="75">
        <v>1</v>
      </c>
      <c r="D25" s="76">
        <f>(0.5+1.333+8.167+1.75+4.75+0.5)-0.5-1.5-1.5</f>
        <v>13.5</v>
      </c>
      <c r="E25" s="76">
        <v>0.5</v>
      </c>
      <c r="F25" s="76">
        <v>8</v>
      </c>
      <c r="G25" s="76">
        <f t="shared" si="2"/>
        <v>54</v>
      </c>
      <c r="H25" s="76">
        <f t="shared" si="3"/>
        <v>54</v>
      </c>
    </row>
    <row r="26" spans="1:8" x14ac:dyDescent="0.2">
      <c r="B26" s="30" t="s">
        <v>56</v>
      </c>
      <c r="C26" s="75">
        <v>1</v>
      </c>
      <c r="D26" s="76">
        <f>(7.25+1.75+0.333+3.167+1+0.5+1.333+8.167+1.75+4.75+0.5)-0.5-0.5-2-0.5-1.5-1.5</f>
        <v>24</v>
      </c>
      <c r="E26" s="76">
        <v>0.5</v>
      </c>
      <c r="F26" s="76">
        <v>8</v>
      </c>
      <c r="G26" s="76">
        <f t="shared" si="2"/>
        <v>96</v>
      </c>
      <c r="H26" s="76">
        <f t="shared" si="3"/>
        <v>96</v>
      </c>
    </row>
    <row r="27" spans="1:8" x14ac:dyDescent="0.2">
      <c r="B27" s="30" t="s">
        <v>57</v>
      </c>
      <c r="C27" s="75">
        <v>1</v>
      </c>
      <c r="D27" s="76">
        <f>(7.25+1.75+0.333+3.167+0.5)-0.5-1.5-1.5</f>
        <v>9.5</v>
      </c>
      <c r="E27" s="76">
        <v>0.5</v>
      </c>
      <c r="F27" s="76">
        <v>8</v>
      </c>
      <c r="G27" s="76">
        <f t="shared" si="2"/>
        <v>38</v>
      </c>
      <c r="H27" s="76">
        <f t="shared" si="3"/>
        <v>38</v>
      </c>
    </row>
    <row r="28" spans="1:8" x14ac:dyDescent="0.2">
      <c r="B28" s="30" t="s">
        <v>58</v>
      </c>
      <c r="C28" s="75">
        <v>1</v>
      </c>
      <c r="D28" s="76">
        <v>9.3000000000000007</v>
      </c>
      <c r="E28" s="76">
        <v>0.5</v>
      </c>
      <c r="F28" s="76">
        <v>8</v>
      </c>
      <c r="G28" s="76">
        <f t="shared" si="2"/>
        <v>37.200000000000003</v>
      </c>
      <c r="H28" s="76">
        <f t="shared" si="3"/>
        <v>37.200000000000003</v>
      </c>
    </row>
    <row r="29" spans="1:8" x14ac:dyDescent="0.2">
      <c r="B29" s="30" t="s">
        <v>59</v>
      </c>
      <c r="C29" s="75">
        <v>1</v>
      </c>
      <c r="D29" s="76">
        <f>(1.333+8.167+1.75+4.75+0.5)-0.5-2</f>
        <v>14</v>
      </c>
      <c r="E29" s="76">
        <v>0.5</v>
      </c>
      <c r="F29" s="76">
        <v>8</v>
      </c>
      <c r="G29" s="76">
        <f t="shared" si="2"/>
        <v>56</v>
      </c>
      <c r="H29" s="76">
        <f t="shared" si="3"/>
        <v>56</v>
      </c>
    </row>
    <row r="30" spans="1:8" x14ac:dyDescent="0.2">
      <c r="B30" s="30" t="s">
        <v>60</v>
      </c>
      <c r="C30" s="75">
        <v>1</v>
      </c>
      <c r="D30" s="76">
        <f>(7.25+1.75+0.333+0.5)-1.5-1</f>
        <v>7.3330000000000002</v>
      </c>
      <c r="E30" s="76">
        <v>0.5</v>
      </c>
      <c r="F30" s="76">
        <v>8</v>
      </c>
      <c r="G30" s="76">
        <f t="shared" si="2"/>
        <v>29.332000000000001</v>
      </c>
      <c r="H30" s="76">
        <f t="shared" si="3"/>
        <v>29.332000000000001</v>
      </c>
    </row>
    <row r="31" spans="1:8" x14ac:dyDescent="0.2">
      <c r="B31" s="30" t="s">
        <v>61</v>
      </c>
      <c r="C31" s="75">
        <v>1</v>
      </c>
      <c r="D31" s="76">
        <f>(3.167+1+1.5+4+0.5+0.5)-0.5-0.5-1.5</f>
        <v>8.1669999999999998</v>
      </c>
      <c r="E31" s="76">
        <v>0.5</v>
      </c>
      <c r="F31" s="76">
        <v>8</v>
      </c>
      <c r="G31" s="76">
        <f t="shared" si="2"/>
        <v>32.667999999999999</v>
      </c>
      <c r="H31" s="76">
        <f t="shared" si="3"/>
        <v>32.667999999999999</v>
      </c>
    </row>
    <row r="32" spans="1:8" x14ac:dyDescent="0.2">
      <c r="B32" s="30" t="s">
        <v>62</v>
      </c>
      <c r="C32" s="75">
        <v>1</v>
      </c>
      <c r="D32" s="76">
        <f>(4+0.5+1.333+8.167+1.75+4.75+0.5)-1.5-(21/12)-0.5</f>
        <v>17.25</v>
      </c>
      <c r="E32" s="76">
        <v>0.5</v>
      </c>
      <c r="F32" s="76">
        <v>8</v>
      </c>
      <c r="G32" s="76">
        <f t="shared" si="2"/>
        <v>69</v>
      </c>
      <c r="H32" s="76">
        <f t="shared" si="3"/>
        <v>69</v>
      </c>
    </row>
    <row r="33" spans="1:8" x14ac:dyDescent="0.2">
      <c r="G33" s="73" t="s">
        <v>126</v>
      </c>
      <c r="H33" s="77">
        <f>SUM(H7:H32)</f>
        <v>1691.8679999999999</v>
      </c>
    </row>
    <row r="35" spans="1:8" x14ac:dyDescent="0.2">
      <c r="A35" s="73">
        <v>3</v>
      </c>
      <c r="B35" s="48" t="s">
        <v>204</v>
      </c>
    </row>
    <row r="36" spans="1:8" x14ac:dyDescent="0.2">
      <c r="B36" s="30" t="s">
        <v>205</v>
      </c>
      <c r="C36" s="30">
        <v>2</v>
      </c>
      <c r="D36" s="30">
        <v>4.5</v>
      </c>
      <c r="E36" s="30">
        <v>0.5</v>
      </c>
      <c r="F36" s="30">
        <v>7</v>
      </c>
      <c r="G36" s="30">
        <f t="shared" ref="G36:G48" si="4">(D36*E36*F36)</f>
        <v>15.75</v>
      </c>
      <c r="H36" s="30">
        <f t="shared" ref="H36:H48" si="5">(G36*C36)</f>
        <v>31.5</v>
      </c>
    </row>
    <row r="37" spans="1:8" x14ac:dyDescent="0.2">
      <c r="B37" s="30" t="s">
        <v>206</v>
      </c>
      <c r="C37" s="30">
        <v>5</v>
      </c>
      <c r="D37" s="30">
        <v>3.5</v>
      </c>
      <c r="E37" s="30">
        <v>0.5</v>
      </c>
      <c r="F37" s="30">
        <v>7</v>
      </c>
      <c r="G37" s="30">
        <f t="shared" si="4"/>
        <v>12.25</v>
      </c>
      <c r="H37" s="30">
        <f t="shared" si="5"/>
        <v>61.25</v>
      </c>
    </row>
    <row r="38" spans="1:8" x14ac:dyDescent="0.2">
      <c r="B38" s="30" t="s">
        <v>207</v>
      </c>
      <c r="C38" s="30">
        <v>6</v>
      </c>
      <c r="D38" s="30">
        <v>2.5</v>
      </c>
      <c r="E38" s="30">
        <v>0.5</v>
      </c>
      <c r="F38" s="30">
        <v>7</v>
      </c>
      <c r="G38" s="30">
        <f t="shared" si="4"/>
        <v>8.75</v>
      </c>
      <c r="H38" s="30">
        <f t="shared" si="5"/>
        <v>52.5</v>
      </c>
    </row>
    <row r="39" spans="1:8" x14ac:dyDescent="0.2">
      <c r="B39" s="30" t="s">
        <v>208</v>
      </c>
      <c r="C39" s="30">
        <v>1</v>
      </c>
      <c r="D39" s="30">
        <v>5</v>
      </c>
      <c r="E39" s="30">
        <v>0.5</v>
      </c>
      <c r="F39" s="30">
        <v>7</v>
      </c>
      <c r="G39" s="30">
        <f t="shared" si="4"/>
        <v>17.5</v>
      </c>
      <c r="H39" s="30">
        <f t="shared" si="5"/>
        <v>17.5</v>
      </c>
    </row>
    <row r="40" spans="1:8" x14ac:dyDescent="0.2">
      <c r="B40" s="30" t="s">
        <v>209</v>
      </c>
      <c r="C40" s="30">
        <v>1</v>
      </c>
      <c r="D40" s="30">
        <v>10.5</v>
      </c>
      <c r="E40" s="30">
        <v>0.5</v>
      </c>
      <c r="F40" s="30">
        <v>7</v>
      </c>
      <c r="G40" s="30">
        <f t="shared" si="4"/>
        <v>36.75</v>
      </c>
      <c r="H40" s="30">
        <f t="shared" si="5"/>
        <v>36.75</v>
      </c>
    </row>
    <row r="41" spans="1:8" x14ac:dyDescent="0.2">
      <c r="B41" s="30" t="s">
        <v>210</v>
      </c>
      <c r="C41" s="30">
        <v>3</v>
      </c>
      <c r="D41" s="30">
        <v>8</v>
      </c>
      <c r="E41" s="30">
        <v>0.5</v>
      </c>
      <c r="F41" s="30">
        <v>4</v>
      </c>
      <c r="G41" s="30">
        <f t="shared" si="4"/>
        <v>16</v>
      </c>
      <c r="H41" s="30">
        <f t="shared" si="5"/>
        <v>48</v>
      </c>
    </row>
    <row r="42" spans="1:8" x14ac:dyDescent="0.2">
      <c r="B42" s="30" t="s">
        <v>211</v>
      </c>
      <c r="C42" s="30">
        <v>2</v>
      </c>
      <c r="D42" s="30">
        <v>4</v>
      </c>
      <c r="E42" s="30">
        <v>0.5</v>
      </c>
      <c r="F42" s="30">
        <v>4</v>
      </c>
      <c r="G42" s="30">
        <f t="shared" si="4"/>
        <v>8</v>
      </c>
      <c r="H42" s="30">
        <f t="shared" si="5"/>
        <v>16</v>
      </c>
    </row>
    <row r="43" spans="1:8" x14ac:dyDescent="0.2">
      <c r="B43" s="30" t="s">
        <v>212</v>
      </c>
      <c r="C43" s="30">
        <v>1</v>
      </c>
      <c r="D43" s="30">
        <v>10.5</v>
      </c>
      <c r="E43" s="30">
        <v>0.5</v>
      </c>
      <c r="F43" s="30">
        <v>4</v>
      </c>
      <c r="G43" s="30">
        <f t="shared" si="4"/>
        <v>21</v>
      </c>
      <c r="H43" s="30">
        <f t="shared" si="5"/>
        <v>21</v>
      </c>
    </row>
    <row r="44" spans="1:8" x14ac:dyDescent="0.2">
      <c r="B44" s="30" t="s">
        <v>213</v>
      </c>
      <c r="C44" s="30">
        <v>1</v>
      </c>
      <c r="D44" s="30">
        <v>10</v>
      </c>
      <c r="E44" s="30">
        <v>0.5</v>
      </c>
      <c r="F44" s="30">
        <v>4</v>
      </c>
      <c r="G44" s="30">
        <f t="shared" si="4"/>
        <v>20</v>
      </c>
      <c r="H44" s="30">
        <f t="shared" si="5"/>
        <v>20</v>
      </c>
    </row>
    <row r="45" spans="1:8" x14ac:dyDescent="0.2">
      <c r="B45" s="30" t="s">
        <v>214</v>
      </c>
      <c r="C45" s="30">
        <v>1</v>
      </c>
      <c r="D45" s="30">
        <v>6</v>
      </c>
      <c r="E45" s="30">
        <v>0.5</v>
      </c>
      <c r="F45" s="30">
        <v>4</v>
      </c>
      <c r="G45" s="30">
        <f t="shared" si="4"/>
        <v>12</v>
      </c>
      <c r="H45" s="30">
        <f t="shared" si="5"/>
        <v>12</v>
      </c>
    </row>
    <row r="46" spans="1:8" x14ac:dyDescent="0.2">
      <c r="B46" s="30" t="s">
        <v>215</v>
      </c>
      <c r="C46" s="30">
        <v>1</v>
      </c>
      <c r="D46" s="30">
        <v>4.8333000000000004</v>
      </c>
      <c r="E46" s="30">
        <v>0.5</v>
      </c>
      <c r="F46" s="30">
        <v>4</v>
      </c>
      <c r="G46" s="30">
        <f t="shared" si="4"/>
        <v>9.6666000000000007</v>
      </c>
      <c r="H46" s="30">
        <f t="shared" si="5"/>
        <v>9.6666000000000007</v>
      </c>
    </row>
    <row r="47" spans="1:8" x14ac:dyDescent="0.2">
      <c r="B47" s="30" t="s">
        <v>216</v>
      </c>
      <c r="C47" s="30">
        <v>2</v>
      </c>
      <c r="D47" s="30">
        <v>3.5</v>
      </c>
      <c r="E47" s="30">
        <v>0.5</v>
      </c>
      <c r="F47" s="30">
        <v>4</v>
      </c>
      <c r="G47" s="30">
        <f t="shared" si="4"/>
        <v>7</v>
      </c>
      <c r="H47" s="30">
        <f t="shared" si="5"/>
        <v>14</v>
      </c>
    </row>
    <row r="48" spans="1:8" x14ac:dyDescent="0.2">
      <c r="B48" s="30" t="s">
        <v>217</v>
      </c>
      <c r="C48" s="30">
        <v>5</v>
      </c>
      <c r="D48" s="30">
        <v>2.5</v>
      </c>
      <c r="E48" s="30">
        <v>0.5</v>
      </c>
      <c r="F48" s="30">
        <v>1</v>
      </c>
      <c r="G48" s="30">
        <f t="shared" si="4"/>
        <v>1.25</v>
      </c>
      <c r="H48" s="30">
        <f t="shared" si="5"/>
        <v>6.25</v>
      </c>
    </row>
    <row r="49" spans="1:8" x14ac:dyDescent="0.2">
      <c r="B49" s="30"/>
      <c r="C49" s="30"/>
      <c r="D49" s="30"/>
      <c r="E49" s="30"/>
      <c r="F49" s="30"/>
      <c r="G49" s="48" t="s">
        <v>126</v>
      </c>
      <c r="H49" s="48">
        <f>SUM(H36:H48)</f>
        <v>346.41660000000002</v>
      </c>
    </row>
    <row r="50" spans="1:8" x14ac:dyDescent="0.2">
      <c r="B50" s="48"/>
      <c r="C50" s="78"/>
      <c r="D50" s="73"/>
    </row>
    <row r="51" spans="1:8" x14ac:dyDescent="0.2">
      <c r="B51" s="73" t="s">
        <v>218</v>
      </c>
    </row>
    <row r="52" spans="1:8" x14ac:dyDescent="0.2">
      <c r="A52" s="73">
        <v>1</v>
      </c>
      <c r="B52" s="74" t="s">
        <v>186</v>
      </c>
      <c r="C52" s="73"/>
      <c r="D52" s="73"/>
      <c r="E52" s="73"/>
      <c r="F52" s="73"/>
      <c r="G52" s="73"/>
    </row>
    <row r="53" spans="1:8" x14ac:dyDescent="0.2">
      <c r="B53" s="79" t="s">
        <v>39</v>
      </c>
      <c r="C53" s="79">
        <v>1</v>
      </c>
      <c r="D53" s="79">
        <f>(6.5+8+7.5+1.75+4.25+1.75+4.75+11.25+6.167+6.833+0.5)-1.167-1.5-1.5-0.5-0.5-1.5-1.5-0.5</f>
        <v>50.582999999999998</v>
      </c>
      <c r="E53" s="79">
        <v>0.5</v>
      </c>
      <c r="F53" s="79">
        <v>8</v>
      </c>
      <c r="G53" s="79">
        <f t="shared" ref="G53:G63" si="6">$D53*$E53*$F53</f>
        <v>202.33199999999999</v>
      </c>
      <c r="H53" s="80">
        <f t="shared" ref="H53:H63" si="7">$G53*$C53</f>
        <v>202.33199999999999</v>
      </c>
    </row>
    <row r="54" spans="1:8" x14ac:dyDescent="0.2">
      <c r="B54" s="79" t="s">
        <v>40</v>
      </c>
      <c r="C54" s="79">
        <v>1</v>
      </c>
      <c r="D54" s="79">
        <f>4.25-0.5+1.75+0.5-(14/12)</f>
        <v>4.833333333333333</v>
      </c>
      <c r="E54" s="79">
        <v>0.5</v>
      </c>
      <c r="F54" s="79">
        <v>8</v>
      </c>
      <c r="G54" s="79">
        <f t="shared" si="6"/>
        <v>19.333333333333332</v>
      </c>
      <c r="H54" s="80">
        <f t="shared" si="7"/>
        <v>19.333333333333332</v>
      </c>
    </row>
    <row r="55" spans="1:8" x14ac:dyDescent="0.2">
      <c r="B55" s="30" t="s">
        <v>41</v>
      </c>
      <c r="C55" s="30">
        <v>1</v>
      </c>
      <c r="D55" s="30">
        <f>6.5+0.5-(14/12)</f>
        <v>5.833333333333333</v>
      </c>
      <c r="E55" s="30">
        <v>0.5</v>
      </c>
      <c r="F55" s="30">
        <v>8</v>
      </c>
      <c r="G55" s="30">
        <f t="shared" si="6"/>
        <v>23.333333333333332</v>
      </c>
      <c r="H55" s="30">
        <f t="shared" si="7"/>
        <v>23.333333333333332</v>
      </c>
    </row>
    <row r="56" spans="1:8" x14ac:dyDescent="0.2">
      <c r="B56" s="30" t="s">
        <v>42</v>
      </c>
      <c r="C56" s="30">
        <v>1</v>
      </c>
      <c r="D56" s="30">
        <f>6.167+6.833+2+0.5-(18/12)</f>
        <v>14</v>
      </c>
      <c r="E56" s="30">
        <v>0.5</v>
      </c>
      <c r="F56" s="30">
        <v>8</v>
      </c>
      <c r="G56" s="30">
        <f t="shared" si="6"/>
        <v>56</v>
      </c>
      <c r="H56" s="30">
        <f t="shared" si="7"/>
        <v>56</v>
      </c>
    </row>
    <row r="57" spans="1:8" x14ac:dyDescent="0.2">
      <c r="B57" s="30" t="s">
        <v>43</v>
      </c>
      <c r="C57" s="30">
        <v>1</v>
      </c>
      <c r="D57" s="30">
        <f>(6.5+8+7.5+1.75+4.25+1.75+4.75+11.25+0.5)-0.5-(21/12)-1.5-1.5</f>
        <v>41</v>
      </c>
      <c r="E57" s="30">
        <v>0.5</v>
      </c>
      <c r="F57" s="30">
        <v>8</v>
      </c>
      <c r="G57" s="30">
        <f t="shared" si="6"/>
        <v>164</v>
      </c>
      <c r="H57" s="30">
        <f t="shared" si="7"/>
        <v>164</v>
      </c>
    </row>
    <row r="58" spans="1:8" x14ac:dyDescent="0.2">
      <c r="B58" s="30" t="s">
        <v>44</v>
      </c>
      <c r="C58" s="30">
        <v>1</v>
      </c>
      <c r="D58" s="30">
        <f>1.25+6.4167+0.5-0.5-0.5</f>
        <v>7.1666999999999987</v>
      </c>
      <c r="E58" s="30">
        <v>0.5</v>
      </c>
      <c r="F58" s="30">
        <v>8</v>
      </c>
      <c r="G58" s="30">
        <f t="shared" si="6"/>
        <v>28.666799999999995</v>
      </c>
      <c r="H58" s="30">
        <f t="shared" si="7"/>
        <v>28.666799999999995</v>
      </c>
    </row>
    <row r="59" spans="1:8" x14ac:dyDescent="0.2">
      <c r="B59" s="30" t="s">
        <v>45</v>
      </c>
      <c r="C59" s="30">
        <v>1</v>
      </c>
      <c r="D59" s="30">
        <f>(7.5+1.75+4.25+1.75+4.75+0.5)-1.5-1.5-0.5</f>
        <v>17</v>
      </c>
      <c r="E59" s="30">
        <v>0.5</v>
      </c>
      <c r="F59" s="30">
        <v>8</v>
      </c>
      <c r="G59" s="30">
        <f t="shared" si="6"/>
        <v>68</v>
      </c>
      <c r="H59" s="30">
        <f t="shared" si="7"/>
        <v>68</v>
      </c>
    </row>
    <row r="60" spans="1:8" x14ac:dyDescent="0.2">
      <c r="B60" s="30" t="s">
        <v>46</v>
      </c>
      <c r="C60" s="30">
        <v>1</v>
      </c>
      <c r="D60" s="30">
        <f>(6.833+2+6.4167+1.25+0.5)-0.5-1.5-0.5</f>
        <v>14.499700000000001</v>
      </c>
      <c r="E60" s="30">
        <v>0.5</v>
      </c>
      <c r="F60" s="30">
        <v>8</v>
      </c>
      <c r="G60" s="30">
        <f t="shared" si="6"/>
        <v>57.998800000000003</v>
      </c>
      <c r="H60" s="30">
        <f t="shared" si="7"/>
        <v>57.998800000000003</v>
      </c>
    </row>
    <row r="61" spans="1:8" x14ac:dyDescent="0.2">
      <c r="B61" s="30" t="s">
        <v>47</v>
      </c>
      <c r="C61" s="30">
        <v>1</v>
      </c>
      <c r="D61" s="30">
        <f>(1.75+4.75+0.5)</f>
        <v>7</v>
      </c>
      <c r="E61" s="30">
        <v>0.5</v>
      </c>
      <c r="F61" s="30">
        <v>8</v>
      </c>
      <c r="G61" s="30">
        <f t="shared" si="6"/>
        <v>28</v>
      </c>
      <c r="H61" s="30">
        <f t="shared" si="7"/>
        <v>28</v>
      </c>
    </row>
    <row r="62" spans="1:8" x14ac:dyDescent="0.2">
      <c r="B62" s="30" t="s">
        <v>48</v>
      </c>
      <c r="C62" s="30">
        <v>1</v>
      </c>
      <c r="D62" s="30">
        <f>(6.5+8+0.5)-1.5</f>
        <v>13.5</v>
      </c>
      <c r="E62" s="30">
        <v>0.5</v>
      </c>
      <c r="F62" s="30">
        <v>8</v>
      </c>
      <c r="G62" s="30">
        <f t="shared" si="6"/>
        <v>54</v>
      </c>
      <c r="H62" s="30">
        <f t="shared" si="7"/>
        <v>54</v>
      </c>
    </row>
    <row r="63" spans="1:8" x14ac:dyDescent="0.2">
      <c r="B63" s="30" t="s">
        <v>27</v>
      </c>
      <c r="C63" s="30">
        <v>1</v>
      </c>
      <c r="D63" s="30">
        <f>(6.5+8+7.5+1.75+4.25+1.75+4.75+11.25+6.167+6.833+2+6.4176+1.25+0.5)-1.5-0.5-0.5-0.5-(21/12)-(21/12)-(21/12)</f>
        <v>60.667599999999993</v>
      </c>
      <c r="E63" s="30">
        <v>0.5</v>
      </c>
      <c r="F63" s="30">
        <v>8</v>
      </c>
      <c r="G63" s="30">
        <f t="shared" si="6"/>
        <v>242.67039999999997</v>
      </c>
      <c r="H63" s="30">
        <f t="shared" si="7"/>
        <v>242.67039999999997</v>
      </c>
    </row>
    <row r="64" spans="1:8" x14ac:dyDescent="0.2">
      <c r="A64" s="73">
        <v>2</v>
      </c>
      <c r="B64" s="48" t="s">
        <v>192</v>
      </c>
      <c r="C64" s="30"/>
      <c r="D64" s="30"/>
      <c r="E64" s="30"/>
      <c r="F64" s="30"/>
      <c r="G64" s="30"/>
      <c r="H64" s="30"/>
    </row>
    <row r="65" spans="1:8" x14ac:dyDescent="0.2">
      <c r="B65" s="30" t="s">
        <v>28</v>
      </c>
      <c r="C65" s="30">
        <v>1</v>
      </c>
      <c r="D65" s="30">
        <f>(7.25+1.75+0.333+3.167+1+1.5+4+0.5+1.333+8.167+1.75+4.75+0.5)-(6*0.5)-1.5</f>
        <v>31.5</v>
      </c>
      <c r="E65" s="30">
        <v>0.5</v>
      </c>
      <c r="F65" s="30">
        <v>8</v>
      </c>
      <c r="G65" s="30">
        <f t="shared" ref="G65:G78" si="8">$D65*$E65*$F65</f>
        <v>126</v>
      </c>
      <c r="H65" s="30">
        <f t="shared" ref="H65:H78" si="9">$G65*$C65</f>
        <v>126</v>
      </c>
    </row>
    <row r="66" spans="1:8" x14ac:dyDescent="0.2">
      <c r="B66" s="30" t="s">
        <v>50</v>
      </c>
      <c r="C66" s="30">
        <v>1</v>
      </c>
      <c r="D66" s="30">
        <f>(7.25+1.75+0.333+3.167+1+0.5)-0.5-0.5</f>
        <v>13</v>
      </c>
      <c r="E66" s="30">
        <v>0.5</v>
      </c>
      <c r="F66" s="30">
        <v>8</v>
      </c>
      <c r="G66" s="30">
        <f t="shared" si="8"/>
        <v>52</v>
      </c>
      <c r="H66" s="30">
        <f t="shared" si="9"/>
        <v>52</v>
      </c>
    </row>
    <row r="67" spans="1:8" x14ac:dyDescent="0.2">
      <c r="B67" s="30" t="s">
        <v>51</v>
      </c>
      <c r="C67" s="30">
        <v>1</v>
      </c>
      <c r="D67" s="30">
        <f>(4.75+1.75+0.5)-(2*1)</f>
        <v>5</v>
      </c>
      <c r="E67" s="30">
        <v>0.5</v>
      </c>
      <c r="F67" s="30">
        <v>8</v>
      </c>
      <c r="G67" s="30">
        <f t="shared" si="8"/>
        <v>20</v>
      </c>
      <c r="H67" s="30">
        <f t="shared" si="9"/>
        <v>20</v>
      </c>
    </row>
    <row r="68" spans="1:8" x14ac:dyDescent="0.2">
      <c r="B68" s="30" t="s">
        <v>52</v>
      </c>
      <c r="C68" s="30">
        <v>1</v>
      </c>
      <c r="D68" s="30">
        <f>(1.5+4+0.5+1.333+8.167+1.75+4.75+0.5)-0.5-(21/12)-1.5-0.5</f>
        <v>18.25</v>
      </c>
      <c r="E68" s="30">
        <v>0.5</v>
      </c>
      <c r="F68" s="30">
        <v>8</v>
      </c>
      <c r="G68" s="30">
        <f t="shared" si="8"/>
        <v>73</v>
      </c>
      <c r="H68" s="30">
        <f t="shared" si="9"/>
        <v>73</v>
      </c>
    </row>
    <row r="69" spans="1:8" x14ac:dyDescent="0.2">
      <c r="B69" s="30" t="s">
        <v>53</v>
      </c>
      <c r="C69" s="30">
        <v>1</v>
      </c>
      <c r="D69" s="30">
        <f>(7.25+1.75+0.333+3.167+1+0.5)-0.5-0.5-1.5</f>
        <v>11.5</v>
      </c>
      <c r="E69" s="30">
        <v>0.5</v>
      </c>
      <c r="F69" s="30">
        <v>8</v>
      </c>
      <c r="G69" s="30">
        <f t="shared" si="8"/>
        <v>46</v>
      </c>
      <c r="H69" s="30">
        <f t="shared" si="9"/>
        <v>46</v>
      </c>
    </row>
    <row r="70" spans="1:8" x14ac:dyDescent="0.2">
      <c r="B70" s="30" t="s">
        <v>54</v>
      </c>
      <c r="C70" s="30">
        <v>1</v>
      </c>
      <c r="D70" s="30">
        <f>7.25+0.5-(14/12)-0.5-1.5</f>
        <v>4.583333333333333</v>
      </c>
      <c r="E70" s="30">
        <v>0.5</v>
      </c>
      <c r="F70" s="30">
        <v>8</v>
      </c>
      <c r="G70" s="30">
        <f t="shared" si="8"/>
        <v>18.333333333333332</v>
      </c>
      <c r="H70" s="30">
        <f t="shared" si="9"/>
        <v>18.333333333333332</v>
      </c>
    </row>
    <row r="71" spans="1:8" x14ac:dyDescent="0.2">
      <c r="B71" s="30" t="s">
        <v>55</v>
      </c>
      <c r="C71" s="30">
        <v>1</v>
      </c>
      <c r="D71" s="30">
        <f>(0.5+1.333+8.167+1.75+4.75+0.5)-0.5-1.5-1.5</f>
        <v>13.5</v>
      </c>
      <c r="E71" s="30">
        <v>0.5</v>
      </c>
      <c r="F71" s="30">
        <v>8</v>
      </c>
      <c r="G71" s="30">
        <f t="shared" si="8"/>
        <v>54</v>
      </c>
      <c r="H71" s="30">
        <f t="shared" si="9"/>
        <v>54</v>
      </c>
    </row>
    <row r="72" spans="1:8" x14ac:dyDescent="0.2">
      <c r="B72" s="30" t="s">
        <v>56</v>
      </c>
      <c r="C72" s="30">
        <v>1</v>
      </c>
      <c r="D72" s="30">
        <f>(7.25+1.75+0.333+3.167+1+0.5+1.333+8.167+1.75+4.75+0.5)-0.5-0.5-2-0.5-1.5-1.5</f>
        <v>24</v>
      </c>
      <c r="E72" s="30">
        <v>0.5</v>
      </c>
      <c r="F72" s="30">
        <v>8</v>
      </c>
      <c r="G72" s="30">
        <f t="shared" si="8"/>
        <v>96</v>
      </c>
      <c r="H72" s="30">
        <f t="shared" si="9"/>
        <v>96</v>
      </c>
    </row>
    <row r="73" spans="1:8" x14ac:dyDescent="0.2">
      <c r="B73" s="30" t="s">
        <v>57</v>
      </c>
      <c r="C73" s="30">
        <v>1</v>
      </c>
      <c r="D73" s="30">
        <f>(7.25+1.75+0.333+3.167+0.5)-0.5-1.5-1.5</f>
        <v>9.5</v>
      </c>
      <c r="E73" s="30">
        <v>0.5</v>
      </c>
      <c r="F73" s="30">
        <v>8</v>
      </c>
      <c r="G73" s="30">
        <f t="shared" si="8"/>
        <v>38</v>
      </c>
      <c r="H73" s="30">
        <f t="shared" si="9"/>
        <v>38</v>
      </c>
    </row>
    <row r="74" spans="1:8" x14ac:dyDescent="0.2">
      <c r="B74" s="30" t="s">
        <v>58</v>
      </c>
      <c r="C74" s="30">
        <v>1</v>
      </c>
      <c r="D74" s="30">
        <v>9.3000000000000007</v>
      </c>
      <c r="E74" s="30">
        <v>0.5</v>
      </c>
      <c r="F74" s="30">
        <v>8</v>
      </c>
      <c r="G74" s="30">
        <f t="shared" si="8"/>
        <v>37.200000000000003</v>
      </c>
      <c r="H74" s="30">
        <f t="shared" si="9"/>
        <v>37.200000000000003</v>
      </c>
    </row>
    <row r="75" spans="1:8" x14ac:dyDescent="0.2">
      <c r="B75" s="30" t="s">
        <v>59</v>
      </c>
      <c r="C75" s="30">
        <v>1</v>
      </c>
      <c r="D75" s="30">
        <f>(1.333+8.167+1.75+4.75+0.5)-0.5-2</f>
        <v>14</v>
      </c>
      <c r="E75" s="30">
        <v>0.5</v>
      </c>
      <c r="F75" s="30">
        <v>8</v>
      </c>
      <c r="G75" s="30">
        <f t="shared" si="8"/>
        <v>56</v>
      </c>
      <c r="H75" s="30">
        <f t="shared" si="9"/>
        <v>56</v>
      </c>
    </row>
    <row r="76" spans="1:8" x14ac:dyDescent="0.2">
      <c r="B76" s="30" t="s">
        <v>60</v>
      </c>
      <c r="C76" s="30">
        <v>1</v>
      </c>
      <c r="D76" s="30">
        <f>(7.25+1.75+0.333+0.5)-1.5-1</f>
        <v>7.3330000000000002</v>
      </c>
      <c r="E76" s="30">
        <v>0.5</v>
      </c>
      <c r="F76" s="30">
        <v>8</v>
      </c>
      <c r="G76" s="30">
        <f t="shared" si="8"/>
        <v>29.332000000000001</v>
      </c>
      <c r="H76" s="30">
        <f t="shared" si="9"/>
        <v>29.332000000000001</v>
      </c>
    </row>
    <row r="77" spans="1:8" x14ac:dyDescent="0.2">
      <c r="B77" s="30" t="s">
        <v>61</v>
      </c>
      <c r="C77" s="30">
        <v>1</v>
      </c>
      <c r="D77" s="30">
        <f>(3.167+1+1.5+4+0.5+0.5)-0.5-0.5-1.5</f>
        <v>8.1669999999999998</v>
      </c>
      <c r="E77" s="30">
        <v>0.5</v>
      </c>
      <c r="F77" s="30">
        <v>8</v>
      </c>
      <c r="G77" s="30">
        <f t="shared" si="8"/>
        <v>32.667999999999999</v>
      </c>
      <c r="H77" s="30">
        <f t="shared" si="9"/>
        <v>32.667999999999999</v>
      </c>
    </row>
    <row r="78" spans="1:8" x14ac:dyDescent="0.2">
      <c r="B78" s="30" t="s">
        <v>62</v>
      </c>
      <c r="C78" s="30">
        <v>1</v>
      </c>
      <c r="D78" s="30">
        <f>(4+0.5+1.333+8.167+1.75+4.75+0.5)-1.5-(21/12)-0.5</f>
        <v>17.25</v>
      </c>
      <c r="E78" s="30">
        <v>0.5</v>
      </c>
      <c r="F78" s="30">
        <v>8</v>
      </c>
      <c r="G78" s="30">
        <f t="shared" si="8"/>
        <v>69</v>
      </c>
      <c r="H78" s="30">
        <f t="shared" si="9"/>
        <v>69</v>
      </c>
    </row>
    <row r="79" spans="1:8" x14ac:dyDescent="0.2">
      <c r="A79" s="73">
        <v>3</v>
      </c>
      <c r="B79" s="48" t="s">
        <v>219</v>
      </c>
      <c r="G79" s="73" t="s">
        <v>126</v>
      </c>
      <c r="H79" s="73">
        <f>SUM(H53:H78)</f>
        <v>1691.8679999999999</v>
      </c>
    </row>
    <row r="80" spans="1:8" x14ac:dyDescent="0.2">
      <c r="B80" s="30" t="s">
        <v>205</v>
      </c>
      <c r="C80" s="30">
        <v>6</v>
      </c>
      <c r="D80" s="30">
        <v>2.5</v>
      </c>
      <c r="E80" s="30">
        <v>0.5</v>
      </c>
      <c r="F80" s="30">
        <v>7</v>
      </c>
      <c r="G80" s="30">
        <f>(D80*E80*F80)</f>
        <v>8.75</v>
      </c>
      <c r="H80" s="30">
        <f>(G80*C80)</f>
        <v>52.5</v>
      </c>
    </row>
    <row r="81" spans="1:8" x14ac:dyDescent="0.2">
      <c r="B81" s="30" t="s">
        <v>206</v>
      </c>
      <c r="C81" s="30">
        <v>5</v>
      </c>
      <c r="D81" s="30">
        <v>3.5</v>
      </c>
      <c r="E81" s="30">
        <v>0.5</v>
      </c>
      <c r="F81" s="30">
        <v>7</v>
      </c>
      <c r="G81" s="30">
        <f>(D81*E81*F81)</f>
        <v>12.25</v>
      </c>
      <c r="H81" s="30">
        <f t="shared" ref="H81:H88" si="10">(G81*C81)</f>
        <v>61.25</v>
      </c>
    </row>
    <row r="82" spans="1:8" x14ac:dyDescent="0.2">
      <c r="B82" s="30" t="s">
        <v>220</v>
      </c>
      <c r="C82" s="30">
        <v>2</v>
      </c>
      <c r="D82" s="30">
        <v>5</v>
      </c>
      <c r="E82" s="30">
        <v>0.5</v>
      </c>
      <c r="F82" s="30">
        <v>7</v>
      </c>
      <c r="G82" s="30">
        <f t="shared" ref="G82:G88" si="11">(D82*E82*F82)</f>
        <v>17.5</v>
      </c>
      <c r="H82" s="30">
        <f t="shared" si="10"/>
        <v>35</v>
      </c>
    </row>
    <row r="83" spans="1:8" x14ac:dyDescent="0.2">
      <c r="B83" s="30" t="s">
        <v>221</v>
      </c>
      <c r="C83" s="30">
        <v>1</v>
      </c>
      <c r="D83" s="30">
        <v>9.5</v>
      </c>
      <c r="E83" s="30">
        <v>0.5</v>
      </c>
      <c r="F83" s="30">
        <v>7</v>
      </c>
      <c r="G83" s="30">
        <f t="shared" si="11"/>
        <v>33.25</v>
      </c>
      <c r="H83" s="30">
        <f t="shared" si="10"/>
        <v>33.25</v>
      </c>
    </row>
    <row r="84" spans="1:8" x14ac:dyDescent="0.2">
      <c r="B84" s="30" t="s">
        <v>210</v>
      </c>
      <c r="C84" s="30">
        <v>5</v>
      </c>
      <c r="D84" s="30">
        <v>8</v>
      </c>
      <c r="E84" s="30">
        <v>0.5</v>
      </c>
      <c r="F84" s="30">
        <v>4</v>
      </c>
      <c r="G84" s="30">
        <f t="shared" si="11"/>
        <v>16</v>
      </c>
      <c r="H84" s="30">
        <f t="shared" si="10"/>
        <v>80</v>
      </c>
    </row>
    <row r="85" spans="1:8" x14ac:dyDescent="0.2">
      <c r="B85" s="30" t="s">
        <v>211</v>
      </c>
      <c r="C85" s="30">
        <v>1</v>
      </c>
      <c r="D85" s="30">
        <v>6</v>
      </c>
      <c r="E85" s="30">
        <v>0.5</v>
      </c>
      <c r="F85" s="30">
        <v>4</v>
      </c>
      <c r="G85" s="30">
        <f t="shared" si="11"/>
        <v>12</v>
      </c>
      <c r="H85" s="30">
        <f t="shared" si="10"/>
        <v>12</v>
      </c>
    </row>
    <row r="86" spans="1:8" x14ac:dyDescent="0.2">
      <c r="B86" s="30" t="s">
        <v>212</v>
      </c>
      <c r="C86" s="30">
        <v>1</v>
      </c>
      <c r="D86" s="30">
        <v>4.8333000000000004</v>
      </c>
      <c r="E86" s="30">
        <v>0.5</v>
      </c>
      <c r="F86" s="30">
        <v>4</v>
      </c>
      <c r="G86" s="30">
        <f t="shared" si="11"/>
        <v>9.6666000000000007</v>
      </c>
      <c r="H86" s="30">
        <f t="shared" si="10"/>
        <v>9.6666000000000007</v>
      </c>
    </row>
    <row r="87" spans="1:8" x14ac:dyDescent="0.2">
      <c r="B87" s="30" t="s">
        <v>213</v>
      </c>
      <c r="C87" s="30">
        <v>1</v>
      </c>
      <c r="D87" s="30">
        <v>4</v>
      </c>
      <c r="E87" s="30">
        <v>0.5</v>
      </c>
      <c r="F87" s="30">
        <v>4</v>
      </c>
      <c r="G87" s="30">
        <f t="shared" si="11"/>
        <v>8</v>
      </c>
      <c r="H87" s="30">
        <f t="shared" si="10"/>
        <v>8</v>
      </c>
    </row>
    <row r="88" spans="1:8" x14ac:dyDescent="0.2">
      <c r="B88" s="30" t="s">
        <v>217</v>
      </c>
      <c r="C88" s="30">
        <v>7</v>
      </c>
      <c r="D88" s="30">
        <v>2</v>
      </c>
      <c r="E88" s="30">
        <v>0.5</v>
      </c>
      <c r="F88" s="30">
        <v>1</v>
      </c>
      <c r="G88" s="30">
        <f t="shared" si="11"/>
        <v>1</v>
      </c>
      <c r="H88" s="30">
        <f t="shared" si="10"/>
        <v>7</v>
      </c>
    </row>
    <row r="89" spans="1:8" x14ac:dyDescent="0.2">
      <c r="G89" s="73" t="s">
        <v>126</v>
      </c>
      <c r="H89" s="48">
        <f>SUM(H80:H88)</f>
        <v>298.66660000000002</v>
      </c>
    </row>
    <row r="90" spans="1:8" x14ac:dyDescent="0.2">
      <c r="A90" s="73"/>
      <c r="B90" s="74" t="s">
        <v>222</v>
      </c>
    </row>
    <row r="91" spans="1:8" x14ac:dyDescent="0.2">
      <c r="B91" t="s">
        <v>21</v>
      </c>
      <c r="C91">
        <v>1</v>
      </c>
      <c r="D91">
        <f>88.75-(6*1)-(21/12)-(21/12)-1</f>
        <v>78.25</v>
      </c>
      <c r="E91" s="30">
        <v>0.5</v>
      </c>
      <c r="F91" s="30">
        <v>8</v>
      </c>
      <c r="G91">
        <f>$D91*$E91*$F91</f>
        <v>313</v>
      </c>
      <c r="H91">
        <f>$G91*$C91</f>
        <v>313</v>
      </c>
    </row>
    <row r="92" spans="1:8" x14ac:dyDescent="0.2">
      <c r="B92" t="s">
        <v>22</v>
      </c>
      <c r="C92">
        <v>1</v>
      </c>
      <c r="D92">
        <f>88.75-(10*1)</f>
        <v>78.75</v>
      </c>
      <c r="E92" s="30">
        <v>0.5</v>
      </c>
      <c r="F92" s="30">
        <v>8</v>
      </c>
      <c r="G92">
        <f t="shared" ref="G92:G94" si="12">$D92*$E92*$F92</f>
        <v>315</v>
      </c>
      <c r="H92">
        <f t="shared" ref="H92:H94" si="13">$G92*$C92</f>
        <v>315</v>
      </c>
    </row>
    <row r="93" spans="1:8" x14ac:dyDescent="0.2">
      <c r="B93" t="s">
        <v>23</v>
      </c>
      <c r="C93">
        <v>1</v>
      </c>
      <c r="D93">
        <f>50-(2*0.5)-(4*1)</f>
        <v>45</v>
      </c>
      <c r="E93" s="30">
        <v>0.5</v>
      </c>
      <c r="F93" s="30">
        <v>8</v>
      </c>
      <c r="G93">
        <f t="shared" si="12"/>
        <v>180</v>
      </c>
      <c r="H93">
        <f t="shared" si="13"/>
        <v>180</v>
      </c>
    </row>
    <row r="94" spans="1:8" x14ac:dyDescent="0.2">
      <c r="B94" t="s">
        <v>24</v>
      </c>
      <c r="C94">
        <v>1</v>
      </c>
      <c r="D94">
        <f>50-3-1-1-0.5-12.5</f>
        <v>32</v>
      </c>
      <c r="E94" s="30">
        <v>0.5</v>
      </c>
      <c r="F94" s="30">
        <v>8</v>
      </c>
      <c r="G94">
        <f t="shared" si="12"/>
        <v>128</v>
      </c>
      <c r="H94">
        <f t="shared" si="13"/>
        <v>128</v>
      </c>
    </row>
    <row r="95" spans="1:8" x14ac:dyDescent="0.2">
      <c r="G95" s="73" t="s">
        <v>126</v>
      </c>
      <c r="H95" s="73">
        <f>SUM(H91:H94)</f>
        <v>936</v>
      </c>
    </row>
    <row r="96" spans="1:8" x14ac:dyDescent="0.2">
      <c r="B96" s="73" t="s">
        <v>223</v>
      </c>
      <c r="C96" s="78">
        <f>H33-H49</f>
        <v>1345.4513999999999</v>
      </c>
      <c r="D96" s="73" t="s">
        <v>224</v>
      </c>
    </row>
    <row r="97" spans="2:4" x14ac:dyDescent="0.2">
      <c r="B97" s="73" t="s">
        <v>225</v>
      </c>
      <c r="C97" s="73">
        <f>H79-H89</f>
        <v>1393.2013999999999</v>
      </c>
      <c r="D97" s="73" t="s">
        <v>224</v>
      </c>
    </row>
    <row r="98" spans="2:4" x14ac:dyDescent="0.2">
      <c r="B98" s="73" t="s">
        <v>226</v>
      </c>
      <c r="C98" s="73">
        <f>H95</f>
        <v>936</v>
      </c>
      <c r="D98" s="73" t="s">
        <v>224</v>
      </c>
    </row>
    <row r="99" spans="2:4" x14ac:dyDescent="0.2">
      <c r="B99" s="73" t="s">
        <v>227</v>
      </c>
      <c r="C99" s="78">
        <f>SUM(C96:C98)</f>
        <v>3674.6527999999998</v>
      </c>
      <c r="D99" s="73" t="s">
        <v>224</v>
      </c>
    </row>
    <row r="100" spans="2:4" x14ac:dyDescent="0.2">
      <c r="B100" s="73" t="s">
        <v>228</v>
      </c>
    </row>
    <row r="101" spans="2:4" x14ac:dyDescent="0.2">
      <c r="B101" s="73" t="s">
        <v>229</v>
      </c>
      <c r="C101" s="73">
        <f>(C99*0.8)/0.375</f>
        <v>7839.2593066666668</v>
      </c>
    </row>
    <row r="102" spans="2:4" x14ac:dyDescent="0.2">
      <c r="C102" s="73">
        <v>7840</v>
      </c>
      <c r="D102" s="73" t="s">
        <v>230</v>
      </c>
    </row>
  </sheetData>
  <mergeCells count="2">
    <mergeCell ref="A1:H1"/>
    <mergeCell ref="A4:H4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00"/>
  <sheetViews>
    <sheetView topLeftCell="D99" workbookViewId="0">
      <selection activeCell="L113" sqref="L113"/>
    </sheetView>
  </sheetViews>
  <sheetFormatPr defaultColWidth="9.01171875" defaultRowHeight="15" x14ac:dyDescent="0.2"/>
  <cols>
    <col min="1" max="1" width="21.38671875" customWidth="1"/>
    <col min="2" max="2" width="45.33203125" customWidth="1"/>
    <col min="3" max="3" width="16.94921875" customWidth="1"/>
    <col min="4" max="4" width="13.85546875" customWidth="1"/>
    <col min="5" max="5" width="14.390625" customWidth="1"/>
    <col min="6" max="6" width="15.33203125" customWidth="1"/>
    <col min="7" max="7" width="18.6953125" customWidth="1"/>
    <col min="8" max="8" width="22.46484375" customWidth="1"/>
  </cols>
  <sheetData>
    <row r="1" spans="1:9" ht="23.25" x14ac:dyDescent="0.3">
      <c r="A1" s="277" t="s">
        <v>0</v>
      </c>
      <c r="B1" s="277"/>
      <c r="C1" s="277"/>
      <c r="D1" s="277"/>
      <c r="E1" s="277"/>
      <c r="F1" s="277"/>
      <c r="G1" s="277"/>
      <c r="H1" s="277"/>
    </row>
    <row r="2" spans="1:9" ht="18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5"/>
    </row>
    <row r="3" spans="1:9" ht="18.75" x14ac:dyDescent="0.25">
      <c r="A3" s="2"/>
      <c r="B3" s="2"/>
      <c r="C3" s="2"/>
      <c r="D3" s="2"/>
      <c r="E3" s="2"/>
      <c r="F3" s="2"/>
      <c r="G3" s="2"/>
      <c r="H3" s="2"/>
    </row>
    <row r="4" spans="1:9" ht="18.75" x14ac:dyDescent="0.25">
      <c r="A4" s="278" t="s">
        <v>332</v>
      </c>
      <c r="B4" s="278"/>
      <c r="C4" s="278"/>
      <c r="D4" s="278"/>
      <c r="E4" s="278"/>
      <c r="F4" s="278"/>
      <c r="G4" s="278"/>
      <c r="H4" s="278"/>
    </row>
    <row r="5" spans="1:9" x14ac:dyDescent="0.2">
      <c r="A5" s="3"/>
      <c r="B5" s="3"/>
      <c r="C5" s="3"/>
      <c r="D5" s="3"/>
      <c r="E5" s="3"/>
      <c r="F5" s="3"/>
      <c r="G5" s="3"/>
      <c r="H5" s="3"/>
    </row>
    <row r="6" spans="1:9" ht="21" x14ac:dyDescent="0.3">
      <c r="A6" s="4" t="s">
        <v>203</v>
      </c>
      <c r="B6" s="3"/>
      <c r="C6" s="3"/>
      <c r="D6" s="3"/>
      <c r="E6" s="3"/>
      <c r="F6" s="3"/>
      <c r="G6" s="3"/>
      <c r="H6" s="3"/>
    </row>
    <row r="7" spans="1:9" x14ac:dyDescent="0.2">
      <c r="A7" s="5">
        <v>1</v>
      </c>
      <c r="B7" s="6" t="s">
        <v>333</v>
      </c>
      <c r="C7" s="3"/>
      <c r="D7" s="3"/>
      <c r="E7" s="3"/>
      <c r="F7" s="3"/>
      <c r="G7" s="3"/>
      <c r="H7" s="3"/>
    </row>
    <row r="8" spans="1:9" x14ac:dyDescent="0.2">
      <c r="A8" s="7">
        <v>1.1000000000000001</v>
      </c>
      <c r="B8" s="8" t="s">
        <v>287</v>
      </c>
      <c r="C8" s="3"/>
      <c r="D8" s="3"/>
      <c r="E8" s="3"/>
      <c r="F8" s="3"/>
      <c r="G8" s="3"/>
      <c r="H8" s="3"/>
    </row>
    <row r="9" spans="1:9" x14ac:dyDescent="0.2">
      <c r="A9" s="9"/>
      <c r="B9" s="3" t="s">
        <v>334</v>
      </c>
      <c r="C9" s="9">
        <v>1</v>
      </c>
      <c r="D9" s="9">
        <v>15.5</v>
      </c>
      <c r="E9" s="9">
        <v>16</v>
      </c>
      <c r="F9" s="9">
        <v>0</v>
      </c>
      <c r="G9" s="9">
        <f>D9*E9</f>
        <v>248</v>
      </c>
      <c r="H9" s="9">
        <f>G9</f>
        <v>248</v>
      </c>
    </row>
    <row r="10" spans="1:9" x14ac:dyDescent="0.2">
      <c r="A10" s="9"/>
      <c r="B10" s="3" t="s">
        <v>335</v>
      </c>
      <c r="C10" s="10">
        <v>0</v>
      </c>
      <c r="D10" s="9">
        <f>D9+E9+D9+E9</f>
        <v>63</v>
      </c>
      <c r="E10" s="9">
        <v>0</v>
      </c>
      <c r="F10" s="9">
        <v>0.33300000000000002</v>
      </c>
      <c r="G10" s="9">
        <f>D10*F10</f>
        <v>20.979000000000003</v>
      </c>
      <c r="H10" s="9">
        <f>G10</f>
        <v>20.979000000000003</v>
      </c>
    </row>
    <row r="11" spans="1:9" x14ac:dyDescent="0.2">
      <c r="A11" s="9">
        <v>1.2</v>
      </c>
      <c r="B11" s="8" t="s">
        <v>290</v>
      </c>
      <c r="C11" s="9"/>
      <c r="D11" s="9"/>
      <c r="E11" s="9"/>
      <c r="F11" s="9"/>
      <c r="G11" s="9"/>
      <c r="H11" s="9"/>
    </row>
    <row r="12" spans="1:9" x14ac:dyDescent="0.2">
      <c r="A12" s="9"/>
      <c r="B12" s="3" t="s">
        <v>334</v>
      </c>
      <c r="C12" s="9">
        <v>1</v>
      </c>
      <c r="D12" s="9">
        <v>7.1666999999999996</v>
      </c>
      <c r="E12" s="9">
        <v>4</v>
      </c>
      <c r="F12" s="9">
        <v>0</v>
      </c>
      <c r="G12" s="9">
        <f>D12*E12</f>
        <v>28.666799999999999</v>
      </c>
      <c r="H12" s="9">
        <f>G12</f>
        <v>28.666799999999999</v>
      </c>
    </row>
    <row r="13" spans="1:9" x14ac:dyDescent="0.2">
      <c r="A13" s="9"/>
      <c r="B13" s="3" t="s">
        <v>335</v>
      </c>
      <c r="C13" s="9">
        <v>0</v>
      </c>
      <c r="D13" s="9">
        <f>D12+E12+D12+E12</f>
        <v>22.333399999999997</v>
      </c>
      <c r="E13" s="9">
        <v>0</v>
      </c>
      <c r="F13" s="9">
        <v>0.33300000000000002</v>
      </c>
      <c r="G13" s="9">
        <f>D13*F13</f>
        <v>7.4370221999999995</v>
      </c>
      <c r="H13" s="9">
        <f>G13</f>
        <v>7.4370221999999995</v>
      </c>
    </row>
    <row r="14" spans="1:9" x14ac:dyDescent="0.2">
      <c r="A14" s="9">
        <v>1.3</v>
      </c>
      <c r="B14" s="8" t="s">
        <v>291</v>
      </c>
      <c r="C14" s="9"/>
      <c r="D14" s="9"/>
      <c r="E14" s="9"/>
      <c r="F14" s="9"/>
      <c r="G14" s="9"/>
      <c r="H14" s="9"/>
    </row>
    <row r="15" spans="1:9" x14ac:dyDescent="0.2">
      <c r="A15" s="9"/>
      <c r="B15" s="3" t="s">
        <v>334</v>
      </c>
      <c r="C15" s="9">
        <v>1</v>
      </c>
      <c r="D15" s="9">
        <v>22</v>
      </c>
      <c r="E15" s="9">
        <v>17</v>
      </c>
      <c r="F15" s="9">
        <v>0</v>
      </c>
      <c r="G15" s="9">
        <f>D15*E15</f>
        <v>374</v>
      </c>
      <c r="H15" s="9">
        <f>G15</f>
        <v>374</v>
      </c>
    </row>
    <row r="16" spans="1:9" x14ac:dyDescent="0.2">
      <c r="A16" s="9"/>
      <c r="B16" s="3" t="s">
        <v>335</v>
      </c>
      <c r="C16" s="9">
        <v>0</v>
      </c>
      <c r="D16" s="9">
        <f>D15+E15+D15+E15</f>
        <v>78</v>
      </c>
      <c r="E16" s="9">
        <v>0</v>
      </c>
      <c r="F16" s="9">
        <v>0.33300000000000002</v>
      </c>
      <c r="G16" s="9">
        <f>D16*F16</f>
        <v>25.974</v>
      </c>
      <c r="H16" s="9">
        <f>G16</f>
        <v>25.974</v>
      </c>
    </row>
    <row r="17" spans="1:8" x14ac:dyDescent="0.2">
      <c r="A17" s="9">
        <v>1.4</v>
      </c>
      <c r="B17" s="8" t="s">
        <v>336</v>
      </c>
      <c r="C17" s="9"/>
      <c r="D17" s="9"/>
      <c r="E17" s="9"/>
      <c r="F17" s="9"/>
      <c r="G17" s="9"/>
      <c r="H17" s="9"/>
    </row>
    <row r="18" spans="1:8" x14ac:dyDescent="0.2">
      <c r="A18" s="9"/>
      <c r="B18" s="3" t="s">
        <v>334</v>
      </c>
      <c r="C18" s="9">
        <v>1</v>
      </c>
      <c r="D18" s="9">
        <v>16</v>
      </c>
      <c r="E18" s="9">
        <v>13</v>
      </c>
      <c r="F18" s="9">
        <v>0</v>
      </c>
      <c r="G18" s="9">
        <f>D18*E18</f>
        <v>208</v>
      </c>
      <c r="H18" s="9">
        <f>G18</f>
        <v>208</v>
      </c>
    </row>
    <row r="19" spans="1:8" x14ac:dyDescent="0.2">
      <c r="A19" s="9"/>
      <c r="B19" s="3" t="s">
        <v>335</v>
      </c>
      <c r="C19" s="9">
        <v>0</v>
      </c>
      <c r="D19" s="9">
        <f>D18+E18+D18+E18</f>
        <v>58</v>
      </c>
      <c r="E19" s="9">
        <v>0</v>
      </c>
      <c r="F19" s="9">
        <v>0.33300000000000002</v>
      </c>
      <c r="G19" s="9">
        <f>D19*F19</f>
        <v>19.314</v>
      </c>
      <c r="H19" s="9">
        <f>G19</f>
        <v>19.314</v>
      </c>
    </row>
    <row r="20" spans="1:8" x14ac:dyDescent="0.2">
      <c r="A20" s="9">
        <v>1.5</v>
      </c>
      <c r="B20" s="8" t="s">
        <v>294</v>
      </c>
      <c r="C20" s="9"/>
      <c r="D20" s="9"/>
      <c r="E20" s="9"/>
      <c r="F20" s="9"/>
      <c r="G20" s="9"/>
      <c r="H20" s="9"/>
    </row>
    <row r="21" spans="1:8" x14ac:dyDescent="0.2">
      <c r="A21" s="9"/>
      <c r="B21" s="3" t="s">
        <v>334</v>
      </c>
      <c r="C21" s="9">
        <v>1</v>
      </c>
      <c r="D21" s="9">
        <v>6</v>
      </c>
      <c r="E21" s="9">
        <v>5.5</v>
      </c>
      <c r="F21" s="9">
        <v>0</v>
      </c>
      <c r="G21" s="9">
        <f>D21*E21</f>
        <v>33</v>
      </c>
      <c r="H21" s="9">
        <f>G21</f>
        <v>33</v>
      </c>
    </row>
    <row r="22" spans="1:8" x14ac:dyDescent="0.2">
      <c r="A22" s="9"/>
      <c r="B22" s="3" t="s">
        <v>335</v>
      </c>
      <c r="C22" s="9">
        <v>0</v>
      </c>
      <c r="D22" s="9">
        <f>D21+E21+D21+E21</f>
        <v>23</v>
      </c>
      <c r="E22" s="9">
        <v>0</v>
      </c>
      <c r="F22" s="9">
        <v>0.33300000000000002</v>
      </c>
      <c r="G22" s="9">
        <f>D22*F22</f>
        <v>7.6590000000000007</v>
      </c>
      <c r="H22" s="9">
        <f>G22</f>
        <v>7.6590000000000007</v>
      </c>
    </row>
    <row r="23" spans="1:8" x14ac:dyDescent="0.2">
      <c r="A23" s="9">
        <v>1.6</v>
      </c>
      <c r="B23" s="8" t="s">
        <v>337</v>
      </c>
      <c r="C23" s="9"/>
      <c r="D23" s="9"/>
      <c r="E23" s="9"/>
      <c r="F23" s="9"/>
      <c r="G23" s="9"/>
      <c r="H23" s="9"/>
    </row>
    <row r="24" spans="1:8" x14ac:dyDescent="0.2">
      <c r="A24" s="9"/>
      <c r="B24" s="3" t="s">
        <v>334</v>
      </c>
      <c r="C24" s="9">
        <v>1</v>
      </c>
      <c r="D24" s="9">
        <v>14</v>
      </c>
      <c r="E24" s="9">
        <v>15</v>
      </c>
      <c r="F24" s="9">
        <v>0</v>
      </c>
      <c r="G24" s="9">
        <f>D24*E24</f>
        <v>210</v>
      </c>
      <c r="H24" s="9">
        <f>G24</f>
        <v>210</v>
      </c>
    </row>
    <row r="25" spans="1:8" x14ac:dyDescent="0.2">
      <c r="A25" s="9"/>
      <c r="B25" s="3" t="s">
        <v>335</v>
      </c>
      <c r="C25" s="9">
        <v>0</v>
      </c>
      <c r="D25" s="9">
        <f>D24+E24+D24+E24</f>
        <v>58</v>
      </c>
      <c r="E25" s="9">
        <v>0</v>
      </c>
      <c r="F25" s="9">
        <v>0.33300000000000002</v>
      </c>
      <c r="G25" s="9">
        <f>D25*F25</f>
        <v>19.314</v>
      </c>
      <c r="H25" s="9">
        <f>G25</f>
        <v>19.314</v>
      </c>
    </row>
    <row r="26" spans="1:8" x14ac:dyDescent="0.2">
      <c r="A26" s="9">
        <v>1.7</v>
      </c>
      <c r="B26" s="8" t="s">
        <v>297</v>
      </c>
      <c r="C26" s="9"/>
      <c r="D26" s="9"/>
      <c r="E26" s="9"/>
      <c r="F26" s="9"/>
      <c r="G26" s="9"/>
      <c r="H26" s="9"/>
    </row>
    <row r="27" spans="1:8" x14ac:dyDescent="0.2">
      <c r="A27" s="9"/>
      <c r="B27" s="3" t="s">
        <v>334</v>
      </c>
      <c r="C27" s="9">
        <v>1</v>
      </c>
      <c r="D27" s="9">
        <v>4</v>
      </c>
      <c r="E27" s="9">
        <v>6</v>
      </c>
      <c r="F27" s="9">
        <v>0</v>
      </c>
      <c r="G27" s="9">
        <f>D27*E27</f>
        <v>24</v>
      </c>
      <c r="H27" s="9">
        <f>G27</f>
        <v>24</v>
      </c>
    </row>
    <row r="28" spans="1:8" x14ac:dyDescent="0.2">
      <c r="A28" s="9"/>
      <c r="B28" s="3" t="s">
        <v>335</v>
      </c>
      <c r="C28" s="9">
        <v>0</v>
      </c>
      <c r="D28" s="9">
        <f>D27+E27+D27+E27</f>
        <v>20</v>
      </c>
      <c r="E28" s="9">
        <v>0</v>
      </c>
      <c r="F28" s="9">
        <v>0.33300000000000002</v>
      </c>
      <c r="G28" s="9">
        <f>D28*F28</f>
        <v>6.66</v>
      </c>
      <c r="H28" s="9">
        <f>G28</f>
        <v>6.66</v>
      </c>
    </row>
    <row r="29" spans="1:8" x14ac:dyDescent="0.2">
      <c r="A29" s="9">
        <v>1.8</v>
      </c>
      <c r="B29" s="8" t="s">
        <v>298</v>
      </c>
      <c r="C29" s="9"/>
      <c r="D29" s="9"/>
      <c r="E29" s="9"/>
      <c r="F29" s="9"/>
      <c r="G29" s="9"/>
      <c r="H29" s="9"/>
    </row>
    <row r="30" spans="1:8" x14ac:dyDescent="0.2">
      <c r="A30" s="9"/>
      <c r="B30" s="11" t="s">
        <v>334</v>
      </c>
      <c r="C30" s="9">
        <v>1</v>
      </c>
      <c r="D30" s="9">
        <v>15</v>
      </c>
      <c r="E30" s="9">
        <v>13</v>
      </c>
      <c r="F30" s="9">
        <v>0</v>
      </c>
      <c r="G30" s="9">
        <f>D30*E30</f>
        <v>195</v>
      </c>
      <c r="H30" s="9">
        <f>G30</f>
        <v>195</v>
      </c>
    </row>
    <row r="31" spans="1:8" x14ac:dyDescent="0.2">
      <c r="A31" s="9"/>
      <c r="B31" s="3" t="s">
        <v>335</v>
      </c>
      <c r="C31" s="9">
        <v>0</v>
      </c>
      <c r="D31" s="9">
        <f>D30+E30+D30+E30</f>
        <v>56</v>
      </c>
      <c r="E31" s="9">
        <v>0</v>
      </c>
      <c r="F31" s="9">
        <v>0.33300000000000002</v>
      </c>
      <c r="G31" s="9">
        <f>D31*F31</f>
        <v>18.648</v>
      </c>
      <c r="H31" s="9">
        <f>G31</f>
        <v>18.648</v>
      </c>
    </row>
    <row r="32" spans="1:8" x14ac:dyDescent="0.2">
      <c r="A32" s="9">
        <v>1.9</v>
      </c>
      <c r="B32" s="8" t="s">
        <v>300</v>
      </c>
      <c r="C32" s="9"/>
      <c r="D32" s="9"/>
      <c r="E32" s="9"/>
      <c r="F32" s="9"/>
      <c r="G32" s="9"/>
      <c r="H32" s="9"/>
    </row>
    <row r="33" spans="1:8" x14ac:dyDescent="0.2">
      <c r="A33" s="9"/>
      <c r="B33" s="3" t="s">
        <v>334</v>
      </c>
      <c r="C33" s="9">
        <v>1</v>
      </c>
      <c r="D33" s="9">
        <v>6</v>
      </c>
      <c r="E33" s="9">
        <v>4</v>
      </c>
      <c r="F33" s="9">
        <v>0</v>
      </c>
      <c r="G33" s="9">
        <f>D33*E33</f>
        <v>24</v>
      </c>
      <c r="H33" s="9">
        <f>G33</f>
        <v>24</v>
      </c>
    </row>
    <row r="34" spans="1:8" x14ac:dyDescent="0.2">
      <c r="A34" s="9"/>
      <c r="B34" s="3" t="s">
        <v>335</v>
      </c>
      <c r="C34" s="9">
        <v>0</v>
      </c>
      <c r="D34" s="9">
        <f>D33+E33+D33+E33</f>
        <v>20</v>
      </c>
      <c r="E34" s="9">
        <v>0</v>
      </c>
      <c r="F34" s="9">
        <v>0.33300000000000002</v>
      </c>
      <c r="G34" s="9">
        <f>D34*F34</f>
        <v>6.66</v>
      </c>
      <c r="H34" s="9">
        <f>G34</f>
        <v>6.66</v>
      </c>
    </row>
    <row r="35" spans="1:8" x14ac:dyDescent="0.2">
      <c r="A35" s="9">
        <v>1.1000000000000001</v>
      </c>
      <c r="B35" s="8" t="s">
        <v>301</v>
      </c>
      <c r="C35" s="9"/>
      <c r="D35" s="9"/>
      <c r="E35" s="9"/>
      <c r="F35" s="9"/>
      <c r="G35" s="9"/>
      <c r="H35" s="9"/>
    </row>
    <row r="36" spans="1:8" x14ac:dyDescent="0.2">
      <c r="A36" s="9"/>
      <c r="B36" s="3" t="s">
        <v>334</v>
      </c>
      <c r="C36" s="9">
        <v>1</v>
      </c>
      <c r="D36" s="9">
        <v>12</v>
      </c>
      <c r="E36" s="9">
        <v>8</v>
      </c>
      <c r="F36" s="9">
        <v>0</v>
      </c>
      <c r="G36" s="9">
        <f>D36*E36</f>
        <v>96</v>
      </c>
      <c r="H36" s="9">
        <f>G36</f>
        <v>96</v>
      </c>
    </row>
    <row r="37" spans="1:8" x14ac:dyDescent="0.2">
      <c r="A37" s="9"/>
      <c r="B37" s="3" t="s">
        <v>335</v>
      </c>
      <c r="C37" s="9">
        <v>0</v>
      </c>
      <c r="D37" s="9">
        <f>D36+E36+D36+E36</f>
        <v>40</v>
      </c>
      <c r="E37" s="9">
        <v>0</v>
      </c>
      <c r="F37" s="9">
        <v>0.33300000000000002</v>
      </c>
      <c r="G37" s="9">
        <f>D37*F37</f>
        <v>13.32</v>
      </c>
      <c r="H37" s="9">
        <f>G37</f>
        <v>13.32</v>
      </c>
    </row>
    <row r="38" spans="1:8" x14ac:dyDescent="0.2">
      <c r="A38" s="9">
        <v>1.1100000000000001</v>
      </c>
      <c r="B38" s="8" t="s">
        <v>303</v>
      </c>
      <c r="C38" s="9"/>
      <c r="D38" s="9"/>
      <c r="E38" s="9"/>
      <c r="F38" s="9"/>
      <c r="G38" s="9"/>
      <c r="H38" s="9"/>
    </row>
    <row r="39" spans="1:8" x14ac:dyDescent="0.2">
      <c r="A39" s="9"/>
      <c r="B39" s="3" t="s">
        <v>334</v>
      </c>
      <c r="C39" s="9">
        <v>1</v>
      </c>
      <c r="D39" s="9">
        <v>10.75</v>
      </c>
      <c r="E39" s="9">
        <v>13.5</v>
      </c>
      <c r="F39" s="9">
        <v>0</v>
      </c>
      <c r="G39" s="9">
        <f>D39*E39</f>
        <v>145.125</v>
      </c>
      <c r="H39" s="9">
        <f>G39</f>
        <v>145.125</v>
      </c>
    </row>
    <row r="40" spans="1:8" x14ac:dyDescent="0.2">
      <c r="A40" s="9"/>
      <c r="B40" s="3" t="s">
        <v>335</v>
      </c>
      <c r="C40" s="9">
        <v>0</v>
      </c>
      <c r="D40" s="9">
        <f>D39+E39+D39+E39</f>
        <v>48.5</v>
      </c>
      <c r="E40" s="9">
        <v>0</v>
      </c>
      <c r="F40" s="9">
        <v>0.33300000000000002</v>
      </c>
      <c r="G40" s="9">
        <f>D40*F40</f>
        <v>16.150500000000001</v>
      </c>
      <c r="H40" s="9">
        <f>G40</f>
        <v>16.150500000000001</v>
      </c>
    </row>
    <row r="41" spans="1:8" x14ac:dyDescent="0.2">
      <c r="A41" s="9">
        <v>1.1200000000000001</v>
      </c>
      <c r="B41" s="8" t="s">
        <v>338</v>
      </c>
      <c r="C41" s="9"/>
      <c r="D41" s="9"/>
      <c r="E41" s="9"/>
      <c r="F41" s="9"/>
      <c r="G41" s="9"/>
      <c r="H41" s="9"/>
    </row>
    <row r="42" spans="1:8" x14ac:dyDescent="0.2">
      <c r="A42" s="9"/>
      <c r="B42" s="3" t="s">
        <v>334</v>
      </c>
      <c r="C42" s="9">
        <v>1</v>
      </c>
      <c r="D42" s="9">
        <v>14.5</v>
      </c>
      <c r="E42" s="9">
        <v>9.5</v>
      </c>
      <c r="F42" s="9">
        <v>0</v>
      </c>
      <c r="G42" s="9">
        <f>D42*E42</f>
        <v>137.75</v>
      </c>
      <c r="H42" s="9">
        <f>G42</f>
        <v>137.75</v>
      </c>
    </row>
    <row r="43" spans="1:8" x14ac:dyDescent="0.2">
      <c r="A43" s="9"/>
      <c r="B43" s="3" t="s">
        <v>335</v>
      </c>
      <c r="C43" s="9">
        <v>0</v>
      </c>
      <c r="D43" s="9">
        <f>D42+E42+D42+E42</f>
        <v>48</v>
      </c>
      <c r="E43" s="9">
        <v>0</v>
      </c>
      <c r="F43" s="9">
        <v>0.33300000000000002</v>
      </c>
      <c r="G43" s="9">
        <f>D43*F43</f>
        <v>15.984000000000002</v>
      </c>
      <c r="H43" s="9">
        <f>G43</f>
        <v>15.984000000000002</v>
      </c>
    </row>
    <row r="44" spans="1:8" x14ac:dyDescent="0.2">
      <c r="A44" s="9">
        <v>1.1299999999999999</v>
      </c>
      <c r="B44" s="8" t="s">
        <v>306</v>
      </c>
      <c r="C44" s="9"/>
      <c r="D44" s="9"/>
      <c r="E44" s="9"/>
      <c r="F44" s="9"/>
      <c r="G44" s="9"/>
      <c r="H44" s="9"/>
    </row>
    <row r="45" spans="1:8" x14ac:dyDescent="0.2">
      <c r="A45" s="9"/>
      <c r="B45" s="3" t="s">
        <v>334</v>
      </c>
      <c r="C45" s="9">
        <v>1</v>
      </c>
      <c r="D45" s="9">
        <v>19</v>
      </c>
      <c r="E45" s="9">
        <v>5</v>
      </c>
      <c r="F45" s="9">
        <v>0</v>
      </c>
      <c r="G45" s="9">
        <f>D45*E45</f>
        <v>95</v>
      </c>
      <c r="H45" s="9">
        <f>G45</f>
        <v>95</v>
      </c>
    </row>
    <row r="46" spans="1:8" x14ac:dyDescent="0.2">
      <c r="A46" s="9"/>
      <c r="B46" s="3" t="s">
        <v>335</v>
      </c>
      <c r="C46" s="9">
        <v>0</v>
      </c>
      <c r="D46" s="9">
        <f>D45+E45+D45+E45</f>
        <v>48</v>
      </c>
      <c r="E46" s="9">
        <v>0</v>
      </c>
      <c r="F46" s="9">
        <v>0.33300000000000002</v>
      </c>
      <c r="G46" s="9">
        <f>D46*F46</f>
        <v>15.984000000000002</v>
      </c>
      <c r="H46" s="9">
        <f>G46</f>
        <v>15.984000000000002</v>
      </c>
    </row>
    <row r="47" spans="1:8" x14ac:dyDescent="0.2">
      <c r="A47" s="9">
        <v>1.1399999999999999</v>
      </c>
      <c r="B47" s="8" t="s">
        <v>339</v>
      </c>
      <c r="C47" s="9"/>
      <c r="D47" s="9"/>
      <c r="E47" s="9"/>
      <c r="F47" s="9"/>
      <c r="G47" s="9"/>
      <c r="H47" s="9"/>
    </row>
    <row r="48" spans="1:8" x14ac:dyDescent="0.2">
      <c r="A48" s="9"/>
      <c r="B48" s="3" t="s">
        <v>334</v>
      </c>
      <c r="C48" s="9">
        <v>1</v>
      </c>
      <c r="D48" s="9">
        <v>21.582999999999998</v>
      </c>
      <c r="E48" s="9">
        <v>21.5</v>
      </c>
      <c r="F48" s="9">
        <v>0</v>
      </c>
      <c r="G48" s="9">
        <f>D48*E48</f>
        <v>464.03449999999998</v>
      </c>
      <c r="H48" s="9">
        <f>G48</f>
        <v>464.03449999999998</v>
      </c>
    </row>
    <row r="49" spans="1:8" x14ac:dyDescent="0.2">
      <c r="A49" s="9"/>
      <c r="B49" s="3" t="s">
        <v>335</v>
      </c>
      <c r="C49" s="9">
        <v>0</v>
      </c>
      <c r="D49" s="9">
        <f>D48+E48+D48+E48</f>
        <v>86.165999999999997</v>
      </c>
      <c r="E49" s="9">
        <v>0</v>
      </c>
      <c r="F49" s="9">
        <v>0.33300000000000002</v>
      </c>
      <c r="G49" s="9">
        <f>D49*F49</f>
        <v>28.693277999999999</v>
      </c>
      <c r="H49" s="9">
        <f>G49</f>
        <v>28.693277999999999</v>
      </c>
    </row>
    <row r="50" spans="1:8" x14ac:dyDescent="0.2">
      <c r="A50" s="9">
        <v>1.1499999999999999</v>
      </c>
      <c r="B50" s="8" t="s">
        <v>340</v>
      </c>
      <c r="C50" s="9"/>
      <c r="D50" s="9"/>
      <c r="E50" s="9"/>
      <c r="F50" s="9"/>
      <c r="G50" s="9"/>
      <c r="H50" s="9"/>
    </row>
    <row r="51" spans="1:8" x14ac:dyDescent="0.2">
      <c r="A51" s="9"/>
      <c r="B51" s="12" t="s">
        <v>205</v>
      </c>
      <c r="C51" s="9">
        <v>2</v>
      </c>
      <c r="D51" s="9">
        <v>4.5</v>
      </c>
      <c r="E51" s="9">
        <v>0.5</v>
      </c>
      <c r="F51" s="9">
        <v>0</v>
      </c>
      <c r="G51" s="9">
        <f>E51*D51*C51</f>
        <v>4.5</v>
      </c>
      <c r="H51" s="9">
        <f>G51</f>
        <v>4.5</v>
      </c>
    </row>
    <row r="52" spans="1:8" x14ac:dyDescent="0.2">
      <c r="A52" s="9"/>
      <c r="B52" s="12" t="s">
        <v>206</v>
      </c>
      <c r="C52" s="9">
        <v>5</v>
      </c>
      <c r="D52" s="9">
        <v>3.5</v>
      </c>
      <c r="E52" s="9">
        <v>0.5</v>
      </c>
      <c r="F52" s="9">
        <v>0</v>
      </c>
      <c r="G52" s="9">
        <f>E52*D52*C52</f>
        <v>8.75</v>
      </c>
      <c r="H52" s="9">
        <f>G52</f>
        <v>8.75</v>
      </c>
    </row>
    <row r="53" spans="1:8" x14ac:dyDescent="0.2">
      <c r="A53" s="9"/>
      <c r="B53" s="12" t="s">
        <v>207</v>
      </c>
      <c r="C53" s="9">
        <v>6</v>
      </c>
      <c r="D53" s="9">
        <v>2.5</v>
      </c>
      <c r="E53" s="9">
        <v>0.5</v>
      </c>
      <c r="F53" s="9">
        <v>0</v>
      </c>
      <c r="G53" s="9">
        <f>E53*D53*C53</f>
        <v>7.5</v>
      </c>
      <c r="H53" s="9">
        <f>G53</f>
        <v>7.5</v>
      </c>
    </row>
    <row r="54" spans="1:8" x14ac:dyDescent="0.2">
      <c r="A54" s="9"/>
      <c r="B54" s="12" t="s">
        <v>208</v>
      </c>
      <c r="C54" s="9">
        <v>1</v>
      </c>
      <c r="D54" s="9">
        <v>5</v>
      </c>
      <c r="E54" s="9">
        <v>0.5</v>
      </c>
      <c r="F54" s="9">
        <v>0</v>
      </c>
      <c r="G54" s="9">
        <f>E54*D54*C54</f>
        <v>2.5</v>
      </c>
      <c r="H54" s="9">
        <f>G54</f>
        <v>2.5</v>
      </c>
    </row>
    <row r="55" spans="1:8" x14ac:dyDescent="0.2">
      <c r="A55" s="9">
        <v>1.1599999999999999</v>
      </c>
      <c r="B55" s="13" t="s">
        <v>341</v>
      </c>
      <c r="C55" s="9"/>
      <c r="D55" s="9"/>
      <c r="E55" s="9"/>
      <c r="F55" s="9"/>
      <c r="G55" s="9"/>
      <c r="H55" s="9"/>
    </row>
    <row r="56" spans="1:8" x14ac:dyDescent="0.2">
      <c r="A56" s="9"/>
      <c r="B56" s="12" t="s">
        <v>205</v>
      </c>
      <c r="C56" s="9">
        <v>4</v>
      </c>
      <c r="D56" s="9">
        <v>4.5</v>
      </c>
      <c r="E56" s="9">
        <v>0</v>
      </c>
      <c r="F56" s="9">
        <v>0.33300000000000002</v>
      </c>
      <c r="G56" s="9">
        <f>C56*D56*F56</f>
        <v>5.9940000000000007</v>
      </c>
      <c r="H56" s="9">
        <f>G56</f>
        <v>5.9940000000000007</v>
      </c>
    </row>
    <row r="57" spans="1:8" x14ac:dyDescent="0.2">
      <c r="A57" s="9"/>
      <c r="B57" s="12" t="s">
        <v>206</v>
      </c>
      <c r="C57" s="9">
        <v>10</v>
      </c>
      <c r="D57" s="9">
        <v>3.5</v>
      </c>
      <c r="E57" s="9">
        <v>0</v>
      </c>
      <c r="F57" s="9">
        <v>0.33300000000000002</v>
      </c>
      <c r="G57" s="9">
        <f>C57*D57*F57</f>
        <v>11.655000000000001</v>
      </c>
      <c r="H57" s="9">
        <f>G57</f>
        <v>11.655000000000001</v>
      </c>
    </row>
    <row r="58" spans="1:8" x14ac:dyDescent="0.2">
      <c r="A58" s="9"/>
      <c r="B58" s="12" t="s">
        <v>207</v>
      </c>
      <c r="C58" s="9">
        <v>7</v>
      </c>
      <c r="D58" s="9">
        <v>2.5</v>
      </c>
      <c r="E58" s="9">
        <v>0</v>
      </c>
      <c r="F58" s="9">
        <v>0.33300000000000002</v>
      </c>
      <c r="G58" s="9">
        <f>C58*D58*F58</f>
        <v>5.8275000000000006</v>
      </c>
      <c r="H58" s="9">
        <f>G58</f>
        <v>5.8275000000000006</v>
      </c>
    </row>
    <row r="59" spans="1:8" x14ac:dyDescent="0.2">
      <c r="A59" s="9"/>
      <c r="B59" s="12" t="s">
        <v>208</v>
      </c>
      <c r="C59" s="9">
        <v>2</v>
      </c>
      <c r="D59" s="9">
        <v>5</v>
      </c>
      <c r="E59" s="9">
        <v>0</v>
      </c>
      <c r="F59" s="9">
        <v>0.33300000000000002</v>
      </c>
      <c r="G59" s="9">
        <f>C59*D59*F59</f>
        <v>3.33</v>
      </c>
      <c r="H59" s="9">
        <f>G59</f>
        <v>3.33</v>
      </c>
    </row>
    <row r="60" spans="1:8" x14ac:dyDescent="0.2">
      <c r="A60" s="9">
        <v>1.17</v>
      </c>
      <c r="B60" s="13" t="s">
        <v>342</v>
      </c>
      <c r="C60" s="9"/>
      <c r="D60" s="9"/>
      <c r="E60" s="9"/>
      <c r="F60" s="9"/>
      <c r="G60" s="9"/>
      <c r="H60" s="9"/>
    </row>
    <row r="61" spans="1:8" x14ac:dyDescent="0.2">
      <c r="A61" s="3"/>
      <c r="B61" s="12" t="s">
        <v>343</v>
      </c>
      <c r="C61" s="9">
        <v>17</v>
      </c>
      <c r="D61" s="9">
        <v>3.5830000000000002</v>
      </c>
      <c r="E61" s="9">
        <v>1</v>
      </c>
      <c r="F61" s="9">
        <v>0</v>
      </c>
      <c r="G61" s="9">
        <f>C61*D61*E61</f>
        <v>60.911000000000001</v>
      </c>
      <c r="H61" s="9">
        <f>G61</f>
        <v>60.911000000000001</v>
      </c>
    </row>
    <row r="62" spans="1:8" x14ac:dyDescent="0.2">
      <c r="A62" s="3"/>
      <c r="B62" s="12" t="s">
        <v>344</v>
      </c>
      <c r="C62" s="9">
        <v>34</v>
      </c>
      <c r="D62" s="9">
        <v>3.5830000000000002</v>
      </c>
      <c r="E62" s="9">
        <v>0</v>
      </c>
      <c r="F62" s="9">
        <v>0.5</v>
      </c>
      <c r="G62" s="9">
        <f>C62*D62*F62</f>
        <v>60.911000000000001</v>
      </c>
      <c r="H62" s="9">
        <f>G62</f>
        <v>60.911000000000001</v>
      </c>
    </row>
    <row r="63" spans="1:8" x14ac:dyDescent="0.2">
      <c r="A63" s="3"/>
      <c r="B63" s="3"/>
      <c r="C63" s="3"/>
      <c r="D63" s="3"/>
      <c r="E63" s="3"/>
      <c r="F63" s="3"/>
      <c r="G63" s="3"/>
      <c r="H63" s="3"/>
    </row>
    <row r="64" spans="1:8" x14ac:dyDescent="0.2">
      <c r="B64" s="14" t="s">
        <v>345</v>
      </c>
      <c r="C64" s="14">
        <f>H9+H12+H15+H18+H21+H24+H27+H30+H33+H36+H39+H42+H45+H51+H52+H53+H54+H48</f>
        <v>2305.8262999999997</v>
      </c>
      <c r="D64" s="14" t="s">
        <v>346</v>
      </c>
    </row>
    <row r="65" spans="1:8" x14ac:dyDescent="0.2">
      <c r="B65" s="14" t="s">
        <v>347</v>
      </c>
      <c r="C65" s="14">
        <f>H10+H13+H16+H19+H22+H25+H28+H31+H34+H40+H37+H43+H46+H49</f>
        <v>222.7768002</v>
      </c>
      <c r="D65" s="14" t="s">
        <v>346</v>
      </c>
    </row>
    <row r="66" spans="1:8" x14ac:dyDescent="0.2">
      <c r="B66" s="14" t="s">
        <v>348</v>
      </c>
      <c r="C66" s="14">
        <f>C65-(H56+H57+H58+H59)</f>
        <v>195.9703002</v>
      </c>
      <c r="D66" s="14" t="s">
        <v>346</v>
      </c>
    </row>
    <row r="67" spans="1:8" x14ac:dyDescent="0.2">
      <c r="B67" s="14" t="s">
        <v>349</v>
      </c>
      <c r="C67" s="14">
        <f>H61+H62</f>
        <v>121.822</v>
      </c>
      <c r="D67" s="14" t="s">
        <v>346</v>
      </c>
    </row>
    <row r="69" spans="1:8" x14ac:dyDescent="0.2">
      <c r="A69" s="5">
        <v>2</v>
      </c>
      <c r="B69" s="6" t="s">
        <v>350</v>
      </c>
      <c r="C69" s="3"/>
      <c r="D69" s="3"/>
      <c r="E69" s="3"/>
      <c r="F69" s="3"/>
      <c r="G69" s="3"/>
      <c r="H69" s="3"/>
    </row>
    <row r="70" spans="1:8" x14ac:dyDescent="0.2">
      <c r="A70" s="9">
        <v>2.1</v>
      </c>
      <c r="B70" s="8" t="s">
        <v>351</v>
      </c>
      <c r="C70" s="3"/>
      <c r="D70" s="3"/>
      <c r="E70" s="3"/>
      <c r="F70" s="3"/>
      <c r="G70" s="3"/>
      <c r="H70" s="3"/>
    </row>
    <row r="71" spans="1:8" x14ac:dyDescent="0.2">
      <c r="A71" s="9"/>
      <c r="B71" s="3" t="s">
        <v>352</v>
      </c>
      <c r="C71" s="9">
        <v>1</v>
      </c>
      <c r="D71" s="9">
        <v>10</v>
      </c>
      <c r="E71" s="9">
        <v>6</v>
      </c>
      <c r="F71" s="9">
        <v>0</v>
      </c>
      <c r="G71" s="9">
        <f>C71*D71*E71</f>
        <v>60</v>
      </c>
      <c r="H71" s="9">
        <f>G71</f>
        <v>60</v>
      </c>
    </row>
    <row r="72" spans="1:8" x14ac:dyDescent="0.2">
      <c r="A72" s="9"/>
      <c r="B72" s="3" t="s">
        <v>123</v>
      </c>
      <c r="C72" s="9">
        <v>2</v>
      </c>
      <c r="D72" s="9">
        <v>10</v>
      </c>
      <c r="E72" s="9">
        <v>0</v>
      </c>
      <c r="F72" s="9">
        <v>5</v>
      </c>
      <c r="G72" s="9">
        <f>C72*D72*F72</f>
        <v>100</v>
      </c>
      <c r="H72" s="9">
        <f>G72</f>
        <v>100</v>
      </c>
    </row>
    <row r="73" spans="1:8" x14ac:dyDescent="0.2">
      <c r="A73" s="9"/>
      <c r="B73" s="3" t="s">
        <v>124</v>
      </c>
      <c r="C73" s="9">
        <v>2</v>
      </c>
      <c r="D73" s="9">
        <v>6</v>
      </c>
      <c r="E73" s="9">
        <v>0</v>
      </c>
      <c r="F73" s="9">
        <v>5</v>
      </c>
      <c r="G73" s="9">
        <f>C73*D73*F73</f>
        <v>60</v>
      </c>
      <c r="H73" s="9">
        <f>G73</f>
        <v>60</v>
      </c>
    </row>
    <row r="74" spans="1:8" x14ac:dyDescent="0.2">
      <c r="A74" s="9"/>
      <c r="B74" s="3" t="s">
        <v>353</v>
      </c>
      <c r="C74" s="9">
        <v>1</v>
      </c>
      <c r="D74" s="9">
        <v>2.5</v>
      </c>
      <c r="E74" s="9">
        <v>0</v>
      </c>
      <c r="F74" s="9">
        <v>5</v>
      </c>
      <c r="G74" s="9">
        <f>C74*D74*F74</f>
        <v>12.5</v>
      </c>
      <c r="H74" s="9">
        <f>G74</f>
        <v>12.5</v>
      </c>
    </row>
    <row r="75" spans="1:8" x14ac:dyDescent="0.2">
      <c r="A75" s="9"/>
      <c r="B75" s="16" t="s">
        <v>354</v>
      </c>
      <c r="C75" s="17">
        <f>(H71+H72+H73)-(H74)</f>
        <v>207.5</v>
      </c>
      <c r="D75" s="17" t="s">
        <v>346</v>
      </c>
      <c r="E75" s="9"/>
      <c r="F75" s="9"/>
      <c r="G75" s="9"/>
      <c r="H75" s="9"/>
    </row>
    <row r="76" spans="1:8" x14ac:dyDescent="0.2">
      <c r="A76" s="9"/>
      <c r="B76" s="3" t="s">
        <v>355</v>
      </c>
      <c r="C76" s="9"/>
      <c r="D76" s="9"/>
      <c r="E76" s="9"/>
      <c r="F76" s="9"/>
      <c r="G76" s="9"/>
      <c r="H76" s="9"/>
    </row>
    <row r="77" spans="1:8" x14ac:dyDescent="0.2">
      <c r="A77" s="9"/>
      <c r="B77" s="3" t="s">
        <v>356</v>
      </c>
      <c r="C77" s="9">
        <f>C75/0.44</f>
        <v>471.59090909090907</v>
      </c>
      <c r="D77" s="9"/>
      <c r="E77" s="9"/>
      <c r="F77" s="9"/>
      <c r="G77" s="9"/>
      <c r="H77" s="9"/>
    </row>
    <row r="78" spans="1:8" x14ac:dyDescent="0.2">
      <c r="A78" s="9"/>
      <c r="B78" s="16" t="s">
        <v>356</v>
      </c>
      <c r="C78" s="17">
        <v>472</v>
      </c>
      <c r="D78" s="17" t="s">
        <v>357</v>
      </c>
      <c r="E78" s="9"/>
      <c r="F78" s="9"/>
      <c r="G78" s="9"/>
      <c r="H78" s="9"/>
    </row>
    <row r="79" spans="1:8" x14ac:dyDescent="0.2">
      <c r="A79" s="9">
        <v>2.2000000000000002</v>
      </c>
      <c r="B79" s="8" t="s">
        <v>358</v>
      </c>
      <c r="C79" s="9"/>
      <c r="D79" s="9"/>
      <c r="E79" s="9"/>
      <c r="F79" s="9"/>
      <c r="G79" s="9"/>
      <c r="H79" s="9"/>
    </row>
    <row r="80" spans="1:8" x14ac:dyDescent="0.2">
      <c r="A80" s="9"/>
      <c r="B80" s="3" t="s">
        <v>352</v>
      </c>
      <c r="C80" s="9">
        <v>1</v>
      </c>
      <c r="D80" s="9">
        <v>9</v>
      </c>
      <c r="E80" s="9">
        <v>6</v>
      </c>
      <c r="F80" s="9">
        <v>0</v>
      </c>
      <c r="G80" s="9">
        <f>C80*D80*E80</f>
        <v>54</v>
      </c>
      <c r="H80" s="9">
        <f>G80</f>
        <v>54</v>
      </c>
    </row>
    <row r="81" spans="1:8" x14ac:dyDescent="0.2">
      <c r="A81" s="9"/>
      <c r="B81" s="3" t="s">
        <v>123</v>
      </c>
      <c r="C81" s="9">
        <v>2</v>
      </c>
      <c r="D81" s="9">
        <v>9</v>
      </c>
      <c r="E81" s="9">
        <v>0</v>
      </c>
      <c r="F81" s="9">
        <v>5</v>
      </c>
      <c r="G81" s="9">
        <f>C81*D81*F81</f>
        <v>90</v>
      </c>
      <c r="H81" s="9">
        <f>G81</f>
        <v>90</v>
      </c>
    </row>
    <row r="82" spans="1:8" x14ac:dyDescent="0.2">
      <c r="A82" s="9"/>
      <c r="B82" s="3" t="s">
        <v>124</v>
      </c>
      <c r="C82" s="9">
        <v>2</v>
      </c>
      <c r="D82" s="9">
        <v>6</v>
      </c>
      <c r="E82" s="9">
        <v>0</v>
      </c>
      <c r="F82" s="9">
        <v>5</v>
      </c>
      <c r="G82" s="9">
        <f>C82*D82*F82</f>
        <v>60</v>
      </c>
      <c r="H82" s="9">
        <f>G82</f>
        <v>60</v>
      </c>
    </row>
    <row r="83" spans="1:8" x14ac:dyDescent="0.2">
      <c r="A83" s="9"/>
      <c r="B83" s="3" t="s">
        <v>353</v>
      </c>
      <c r="C83" s="9">
        <v>1</v>
      </c>
      <c r="D83" s="9">
        <v>2.5</v>
      </c>
      <c r="E83" s="9">
        <v>0</v>
      </c>
      <c r="F83" s="9">
        <v>5</v>
      </c>
      <c r="G83" s="9">
        <f>C83*D83*F83</f>
        <v>12.5</v>
      </c>
      <c r="H83" s="9">
        <f>G83</f>
        <v>12.5</v>
      </c>
    </row>
    <row r="84" spans="1:8" x14ac:dyDescent="0.2">
      <c r="A84" s="9"/>
      <c r="B84" s="16" t="s">
        <v>354</v>
      </c>
      <c r="C84" s="17">
        <f>(H80+H81+H82)-(H83)</f>
        <v>191.5</v>
      </c>
      <c r="D84" s="17" t="s">
        <v>346</v>
      </c>
      <c r="E84" s="9"/>
      <c r="F84" s="9"/>
      <c r="G84" s="9"/>
      <c r="H84" s="9"/>
    </row>
    <row r="85" spans="1:8" x14ac:dyDescent="0.2">
      <c r="A85" s="9"/>
      <c r="B85" s="3" t="s">
        <v>355</v>
      </c>
      <c r="C85" s="9"/>
      <c r="D85" s="9"/>
      <c r="E85" s="9"/>
      <c r="F85" s="9"/>
      <c r="G85" s="9"/>
      <c r="H85" s="9"/>
    </row>
    <row r="86" spans="1:8" x14ac:dyDescent="0.2">
      <c r="A86" s="9"/>
      <c r="B86" s="3" t="s">
        <v>356</v>
      </c>
      <c r="C86" s="9">
        <f>C84/0.44</f>
        <v>435.22727272727275</v>
      </c>
      <c r="D86" s="9"/>
      <c r="E86" s="9"/>
      <c r="F86" s="9"/>
      <c r="G86" s="9"/>
      <c r="H86" s="9"/>
    </row>
    <row r="87" spans="1:8" x14ac:dyDescent="0.2">
      <c r="A87" s="9"/>
      <c r="B87" s="16" t="s">
        <v>356</v>
      </c>
      <c r="C87" s="17">
        <v>436</v>
      </c>
      <c r="D87" s="17" t="s">
        <v>357</v>
      </c>
      <c r="E87" s="9"/>
      <c r="F87" s="9"/>
      <c r="G87" s="9"/>
      <c r="H87" s="9"/>
    </row>
    <row r="88" spans="1:8" x14ac:dyDescent="0.2">
      <c r="A88" s="9">
        <v>2.2999999999999998</v>
      </c>
      <c r="B88" s="8" t="s">
        <v>359</v>
      </c>
      <c r="C88" s="9"/>
      <c r="D88" s="9"/>
      <c r="E88" s="9"/>
      <c r="F88" s="9"/>
      <c r="G88" s="9"/>
      <c r="H88" s="9"/>
    </row>
    <row r="89" spans="1:8" x14ac:dyDescent="0.2">
      <c r="A89" s="9"/>
      <c r="B89" s="3" t="s">
        <v>352</v>
      </c>
      <c r="C89" s="9">
        <v>1</v>
      </c>
      <c r="D89" s="9">
        <v>8.5</v>
      </c>
      <c r="E89" s="9">
        <v>6</v>
      </c>
      <c r="F89" s="9">
        <v>0</v>
      </c>
      <c r="G89" s="9">
        <f>C89*D89*E89</f>
        <v>51</v>
      </c>
      <c r="H89" s="9">
        <f>G89</f>
        <v>51</v>
      </c>
    </row>
    <row r="90" spans="1:8" x14ac:dyDescent="0.2">
      <c r="A90" s="9"/>
      <c r="B90" s="3" t="s">
        <v>123</v>
      </c>
      <c r="C90" s="9">
        <v>2</v>
      </c>
      <c r="D90" s="9">
        <v>8.5</v>
      </c>
      <c r="E90" s="9">
        <v>0</v>
      </c>
      <c r="F90" s="9">
        <v>5</v>
      </c>
      <c r="G90" s="9">
        <f>C90*D90*F90</f>
        <v>85</v>
      </c>
      <c r="H90" s="9">
        <f>G90</f>
        <v>85</v>
      </c>
    </row>
    <row r="91" spans="1:8" x14ac:dyDescent="0.2">
      <c r="A91" s="9"/>
      <c r="B91" s="3" t="s">
        <v>124</v>
      </c>
      <c r="C91" s="9">
        <v>2</v>
      </c>
      <c r="D91" s="9">
        <v>6</v>
      </c>
      <c r="E91" s="9">
        <v>0</v>
      </c>
      <c r="F91" s="9">
        <v>5</v>
      </c>
      <c r="G91" s="9">
        <f>C91*D91*F91</f>
        <v>60</v>
      </c>
      <c r="H91" s="9">
        <f>G91</f>
        <v>60</v>
      </c>
    </row>
    <row r="92" spans="1:8" x14ac:dyDescent="0.2">
      <c r="A92" s="9"/>
      <c r="B92" s="3" t="s">
        <v>353</v>
      </c>
      <c r="C92" s="9">
        <v>1</v>
      </c>
      <c r="D92" s="9">
        <v>2.5</v>
      </c>
      <c r="E92" s="9">
        <v>0</v>
      </c>
      <c r="F92" s="9">
        <v>5</v>
      </c>
      <c r="G92" s="9">
        <f>C92*D92*F92</f>
        <v>12.5</v>
      </c>
      <c r="H92" s="9">
        <f>G92</f>
        <v>12.5</v>
      </c>
    </row>
    <row r="93" spans="1:8" x14ac:dyDescent="0.2">
      <c r="A93" s="9"/>
      <c r="B93" s="16" t="s">
        <v>354</v>
      </c>
      <c r="C93" s="17">
        <f>(H89+H90+H91)-(H92)</f>
        <v>183.5</v>
      </c>
      <c r="D93" s="17" t="s">
        <v>346</v>
      </c>
      <c r="E93" s="9"/>
      <c r="F93" s="9"/>
      <c r="G93" s="9"/>
      <c r="H93" s="9"/>
    </row>
    <row r="94" spans="1:8" x14ac:dyDescent="0.2">
      <c r="A94" s="9"/>
      <c r="B94" s="3" t="s">
        <v>355</v>
      </c>
      <c r="C94" s="9"/>
      <c r="D94" s="9"/>
      <c r="E94" s="9"/>
      <c r="F94" s="9"/>
      <c r="G94" s="9"/>
      <c r="H94" s="9"/>
    </row>
    <row r="95" spans="1:8" x14ac:dyDescent="0.2">
      <c r="A95" s="9"/>
      <c r="B95" s="3" t="s">
        <v>356</v>
      </c>
      <c r="C95" s="9">
        <f>C93/0.44</f>
        <v>417.04545454545456</v>
      </c>
      <c r="D95" s="9"/>
      <c r="E95" s="9"/>
      <c r="F95" s="9"/>
      <c r="G95" s="9"/>
      <c r="H95" s="9"/>
    </row>
    <row r="96" spans="1:8" x14ac:dyDescent="0.2">
      <c r="A96" s="9"/>
      <c r="B96" s="16" t="s">
        <v>356</v>
      </c>
      <c r="C96" s="17">
        <v>418</v>
      </c>
      <c r="D96" s="17" t="s">
        <v>357</v>
      </c>
      <c r="E96" s="9"/>
      <c r="F96" s="9"/>
      <c r="G96" s="9"/>
      <c r="H96" s="9"/>
    </row>
    <row r="97" spans="1:8" x14ac:dyDescent="0.2">
      <c r="A97" s="9">
        <v>2.4</v>
      </c>
      <c r="B97" s="8" t="s">
        <v>360</v>
      </c>
      <c r="C97" s="9"/>
      <c r="D97" s="9"/>
      <c r="E97" s="9"/>
      <c r="F97" s="9"/>
      <c r="G97" s="9"/>
      <c r="H97" s="9"/>
    </row>
    <row r="98" spans="1:8" x14ac:dyDescent="0.2">
      <c r="A98" s="3"/>
      <c r="B98" s="3" t="s">
        <v>352</v>
      </c>
      <c r="C98" s="9">
        <v>1</v>
      </c>
      <c r="D98" s="9">
        <v>6</v>
      </c>
      <c r="E98" s="9">
        <v>5</v>
      </c>
      <c r="F98" s="9">
        <v>0</v>
      </c>
      <c r="G98" s="9">
        <f>C98*D98*E98</f>
        <v>30</v>
      </c>
      <c r="H98" s="9">
        <f>G98</f>
        <v>30</v>
      </c>
    </row>
    <row r="99" spans="1:8" x14ac:dyDescent="0.2">
      <c r="A99" s="3"/>
      <c r="B99" s="3" t="s">
        <v>123</v>
      </c>
      <c r="C99" s="9">
        <v>2</v>
      </c>
      <c r="D99" s="9">
        <v>6</v>
      </c>
      <c r="E99" s="9">
        <v>0</v>
      </c>
      <c r="F99" s="9">
        <v>5</v>
      </c>
      <c r="G99" s="9">
        <f>C99*D99*F99</f>
        <v>60</v>
      </c>
      <c r="H99" s="9">
        <f>G99</f>
        <v>60</v>
      </c>
    </row>
    <row r="100" spans="1:8" x14ac:dyDescent="0.2">
      <c r="A100" s="3"/>
      <c r="B100" s="3" t="s">
        <v>124</v>
      </c>
      <c r="C100" s="9">
        <v>2</v>
      </c>
      <c r="D100" s="9">
        <v>5</v>
      </c>
      <c r="E100" s="9">
        <v>0</v>
      </c>
      <c r="F100" s="9">
        <v>5</v>
      </c>
      <c r="G100" s="9">
        <f>C100*D100*F100</f>
        <v>50</v>
      </c>
      <c r="H100" s="9">
        <f>G100</f>
        <v>50</v>
      </c>
    </row>
    <row r="101" spans="1:8" x14ac:dyDescent="0.2">
      <c r="A101" s="3"/>
      <c r="B101" s="3" t="s">
        <v>353</v>
      </c>
      <c r="C101" s="9">
        <v>1</v>
      </c>
      <c r="D101" s="9">
        <v>2.5</v>
      </c>
      <c r="E101" s="9">
        <v>0</v>
      </c>
      <c r="F101" s="9">
        <v>5</v>
      </c>
      <c r="G101" s="9">
        <f>C101*D101*F101</f>
        <v>12.5</v>
      </c>
      <c r="H101" s="9">
        <f>G101</f>
        <v>12.5</v>
      </c>
    </row>
    <row r="102" spans="1:8" x14ac:dyDescent="0.2">
      <c r="A102" s="3"/>
      <c r="B102" s="16" t="s">
        <v>354</v>
      </c>
      <c r="C102" s="17">
        <f>(H98+H99+H100)-(H101)</f>
        <v>127.5</v>
      </c>
      <c r="D102" s="17" t="s">
        <v>346</v>
      </c>
      <c r="E102" s="9"/>
      <c r="F102" s="9"/>
      <c r="G102" s="9"/>
      <c r="H102" s="9"/>
    </row>
    <row r="103" spans="1:8" x14ac:dyDescent="0.2">
      <c r="A103" s="3"/>
      <c r="B103" s="3" t="s">
        <v>355</v>
      </c>
      <c r="C103" s="9"/>
      <c r="D103" s="9"/>
      <c r="E103" s="9"/>
      <c r="F103" s="9"/>
      <c r="G103" s="9"/>
      <c r="H103" s="9"/>
    </row>
    <row r="104" spans="1:8" x14ac:dyDescent="0.2">
      <c r="A104" s="3"/>
      <c r="B104" s="3" t="s">
        <v>356</v>
      </c>
      <c r="C104" s="9">
        <f>C102/0.44</f>
        <v>289.77272727272725</v>
      </c>
      <c r="D104" s="9"/>
      <c r="E104" s="9"/>
      <c r="F104" s="9"/>
      <c r="G104" s="9"/>
      <c r="H104" s="9"/>
    </row>
    <row r="105" spans="1:8" x14ac:dyDescent="0.2">
      <c r="A105" s="3"/>
      <c r="B105" s="16" t="s">
        <v>356</v>
      </c>
      <c r="C105" s="17">
        <v>290</v>
      </c>
      <c r="D105" s="17" t="s">
        <v>357</v>
      </c>
      <c r="E105" s="9"/>
      <c r="F105" s="9"/>
      <c r="G105" s="9"/>
      <c r="H105" s="9"/>
    </row>
    <row r="107" spans="1:8" ht="21" x14ac:dyDescent="0.3">
      <c r="A107" s="18" t="s">
        <v>218</v>
      </c>
    </row>
    <row r="108" spans="1:8" x14ac:dyDescent="0.2">
      <c r="A108" s="5">
        <v>1</v>
      </c>
      <c r="B108" s="6" t="s">
        <v>333</v>
      </c>
      <c r="C108" s="3"/>
      <c r="D108" s="3"/>
      <c r="E108" s="3"/>
      <c r="F108" s="3"/>
      <c r="G108" s="3"/>
      <c r="H108" s="3"/>
    </row>
    <row r="109" spans="1:8" x14ac:dyDescent="0.2">
      <c r="A109" s="9">
        <v>1.1000000000000001</v>
      </c>
      <c r="B109" s="8" t="s">
        <v>287</v>
      </c>
      <c r="C109" s="3"/>
      <c r="D109" s="3"/>
      <c r="E109" s="3"/>
      <c r="F109" s="3"/>
      <c r="G109" s="3"/>
      <c r="H109" s="3"/>
    </row>
    <row r="110" spans="1:8" x14ac:dyDescent="0.2">
      <c r="A110" s="9"/>
      <c r="B110" s="11" t="s">
        <v>334</v>
      </c>
      <c r="C110" s="9">
        <v>1</v>
      </c>
      <c r="D110" s="9">
        <v>15.5</v>
      </c>
      <c r="E110" s="9">
        <v>14</v>
      </c>
      <c r="F110" s="9">
        <v>0</v>
      </c>
      <c r="G110" s="9">
        <f>D110*E110</f>
        <v>217</v>
      </c>
      <c r="H110" s="9">
        <f>G110</f>
        <v>217</v>
      </c>
    </row>
    <row r="111" spans="1:8" x14ac:dyDescent="0.2">
      <c r="A111" s="9"/>
      <c r="B111" s="3" t="s">
        <v>335</v>
      </c>
      <c r="C111" s="9">
        <v>0</v>
      </c>
      <c r="D111" s="9">
        <f>D110+E110+D110+E110</f>
        <v>59</v>
      </c>
      <c r="E111" s="9">
        <v>0</v>
      </c>
      <c r="F111" s="9">
        <v>0.33300000000000002</v>
      </c>
      <c r="G111" s="9">
        <f>D111*F111</f>
        <v>19.647000000000002</v>
      </c>
      <c r="H111" s="9">
        <f>G111</f>
        <v>19.647000000000002</v>
      </c>
    </row>
    <row r="112" spans="1:8" x14ac:dyDescent="0.2">
      <c r="A112" s="9">
        <v>1.2</v>
      </c>
      <c r="B112" s="8" t="s">
        <v>290</v>
      </c>
      <c r="C112" s="9"/>
      <c r="D112" s="9"/>
      <c r="E112" s="9"/>
      <c r="F112" s="9"/>
      <c r="G112" s="9"/>
      <c r="H112" s="9"/>
    </row>
    <row r="113" spans="1:8" x14ac:dyDescent="0.2">
      <c r="A113" s="9"/>
      <c r="B113" s="3" t="s">
        <v>334</v>
      </c>
      <c r="C113" s="9">
        <v>1</v>
      </c>
      <c r="D113" s="9">
        <v>6.25</v>
      </c>
      <c r="E113" s="9">
        <v>4</v>
      </c>
      <c r="F113" s="9">
        <v>0</v>
      </c>
      <c r="G113" s="9">
        <f>D113*E113</f>
        <v>25</v>
      </c>
      <c r="H113" s="9">
        <f>G113</f>
        <v>25</v>
      </c>
    </row>
    <row r="114" spans="1:8" x14ac:dyDescent="0.2">
      <c r="A114" s="9"/>
      <c r="B114" s="3" t="s">
        <v>335</v>
      </c>
      <c r="C114" s="9">
        <v>0</v>
      </c>
      <c r="D114" s="9">
        <f>D113+E113+D113+E113</f>
        <v>20.5</v>
      </c>
      <c r="E114" s="9">
        <v>0</v>
      </c>
      <c r="F114" s="9">
        <v>0.33300000000000002</v>
      </c>
      <c r="G114" s="9">
        <f>D114*F114</f>
        <v>6.8265000000000002</v>
      </c>
      <c r="H114" s="9">
        <f>G114</f>
        <v>6.8265000000000002</v>
      </c>
    </row>
    <row r="115" spans="1:8" x14ac:dyDescent="0.2">
      <c r="A115" s="9">
        <v>1.3</v>
      </c>
      <c r="B115" s="8" t="s">
        <v>291</v>
      </c>
      <c r="C115" s="9"/>
      <c r="D115" s="9"/>
      <c r="E115" s="9"/>
      <c r="F115" s="9"/>
      <c r="G115" s="9"/>
      <c r="H115" s="9"/>
    </row>
    <row r="116" spans="1:8" x14ac:dyDescent="0.2">
      <c r="A116" s="9"/>
      <c r="B116" s="3" t="s">
        <v>334</v>
      </c>
      <c r="C116" s="9">
        <v>1</v>
      </c>
      <c r="D116" s="9">
        <v>22</v>
      </c>
      <c r="E116" s="9">
        <v>17</v>
      </c>
      <c r="F116" s="9">
        <v>0</v>
      </c>
      <c r="G116" s="9">
        <f>D116*E116</f>
        <v>374</v>
      </c>
      <c r="H116" s="9">
        <f>G116</f>
        <v>374</v>
      </c>
    </row>
    <row r="117" spans="1:8" x14ac:dyDescent="0.2">
      <c r="A117" s="9"/>
      <c r="B117" s="3" t="s">
        <v>335</v>
      </c>
      <c r="C117" s="9">
        <v>0</v>
      </c>
      <c r="D117" s="9">
        <f>D116+E116+D116+E116</f>
        <v>78</v>
      </c>
      <c r="E117" s="9">
        <v>0</v>
      </c>
      <c r="F117" s="9">
        <v>0.33300000000000002</v>
      </c>
      <c r="G117" s="9">
        <f>D117*F117</f>
        <v>25.974</v>
      </c>
      <c r="H117" s="9">
        <f>G117</f>
        <v>25.974</v>
      </c>
    </row>
    <row r="118" spans="1:8" x14ac:dyDescent="0.2">
      <c r="A118" s="9">
        <v>1.4</v>
      </c>
      <c r="B118" s="8" t="s">
        <v>336</v>
      </c>
      <c r="C118" s="9"/>
      <c r="D118" s="9"/>
      <c r="E118" s="9"/>
      <c r="F118" s="9"/>
      <c r="G118" s="9"/>
      <c r="H118" s="9"/>
    </row>
    <row r="119" spans="1:8" x14ac:dyDescent="0.2">
      <c r="A119" s="9"/>
      <c r="B119" s="3" t="s">
        <v>334</v>
      </c>
      <c r="C119" s="9">
        <v>1</v>
      </c>
      <c r="D119" s="9">
        <v>16</v>
      </c>
      <c r="E119" s="9">
        <v>13</v>
      </c>
      <c r="F119" s="9">
        <v>0</v>
      </c>
      <c r="G119" s="9">
        <f>D119*E119</f>
        <v>208</v>
      </c>
      <c r="H119" s="9">
        <f>G119</f>
        <v>208</v>
      </c>
    </row>
    <row r="120" spans="1:8" x14ac:dyDescent="0.2">
      <c r="A120" s="9"/>
      <c r="B120" s="3" t="s">
        <v>335</v>
      </c>
      <c r="C120" s="9">
        <v>0</v>
      </c>
      <c r="D120" s="9">
        <f>D119+E119+D119+E119</f>
        <v>58</v>
      </c>
      <c r="E120" s="9">
        <v>0</v>
      </c>
      <c r="F120" s="9">
        <v>0.33300000000000002</v>
      </c>
      <c r="G120" s="9">
        <f>D120*F120</f>
        <v>19.314</v>
      </c>
      <c r="H120" s="9">
        <f>G120</f>
        <v>19.314</v>
      </c>
    </row>
    <row r="121" spans="1:8" x14ac:dyDescent="0.2">
      <c r="A121" s="9">
        <v>1.5</v>
      </c>
      <c r="B121" s="8" t="s">
        <v>294</v>
      </c>
      <c r="C121" s="9"/>
      <c r="D121" s="9"/>
      <c r="E121" s="9"/>
      <c r="F121" s="9"/>
      <c r="G121" s="9"/>
      <c r="H121" s="9"/>
    </row>
    <row r="122" spans="1:8" x14ac:dyDescent="0.2">
      <c r="A122" s="9"/>
      <c r="B122" s="3" t="s">
        <v>334</v>
      </c>
      <c r="C122" s="9">
        <v>1</v>
      </c>
      <c r="D122" s="9">
        <v>6</v>
      </c>
      <c r="E122" s="9">
        <v>5.5</v>
      </c>
      <c r="F122" s="9">
        <v>0</v>
      </c>
      <c r="G122" s="9">
        <f>D122*E122</f>
        <v>33</v>
      </c>
      <c r="H122" s="9">
        <f>G122</f>
        <v>33</v>
      </c>
    </row>
    <row r="123" spans="1:8" x14ac:dyDescent="0.2">
      <c r="A123" s="9"/>
      <c r="B123" s="3" t="s">
        <v>335</v>
      </c>
      <c r="C123" s="9">
        <v>0</v>
      </c>
      <c r="D123" s="9">
        <f>D122+E122+D122+E122</f>
        <v>23</v>
      </c>
      <c r="E123" s="9">
        <v>0</v>
      </c>
      <c r="F123" s="9">
        <v>0.33300000000000002</v>
      </c>
      <c r="G123" s="9">
        <f>D123*F123</f>
        <v>7.6590000000000007</v>
      </c>
      <c r="H123" s="9">
        <f>G123</f>
        <v>7.6590000000000007</v>
      </c>
    </row>
    <row r="124" spans="1:8" x14ac:dyDescent="0.2">
      <c r="A124" s="9">
        <v>1.6</v>
      </c>
      <c r="B124" s="8" t="s">
        <v>337</v>
      </c>
      <c r="C124" s="9"/>
      <c r="D124" s="9"/>
      <c r="E124" s="9"/>
      <c r="F124" s="9"/>
      <c r="G124" s="9"/>
      <c r="H124" s="9"/>
    </row>
    <row r="125" spans="1:8" x14ac:dyDescent="0.2">
      <c r="A125" s="9"/>
      <c r="B125" s="3" t="s">
        <v>334</v>
      </c>
      <c r="C125" s="9">
        <v>1</v>
      </c>
      <c r="D125" s="9">
        <v>14</v>
      </c>
      <c r="E125" s="9">
        <v>15</v>
      </c>
      <c r="F125" s="9">
        <v>0</v>
      </c>
      <c r="G125" s="9">
        <f>D125*E125</f>
        <v>210</v>
      </c>
      <c r="H125" s="9">
        <f>G125</f>
        <v>210</v>
      </c>
    </row>
    <row r="126" spans="1:8" x14ac:dyDescent="0.2">
      <c r="A126" s="9"/>
      <c r="B126" s="3" t="s">
        <v>335</v>
      </c>
      <c r="C126" s="9">
        <v>0</v>
      </c>
      <c r="D126" s="9">
        <f>D125+E125+D125+E125</f>
        <v>58</v>
      </c>
      <c r="E126" s="9">
        <v>0</v>
      </c>
      <c r="F126" s="9">
        <v>0.33300000000000002</v>
      </c>
      <c r="G126" s="9">
        <f>D126*F126</f>
        <v>19.314</v>
      </c>
      <c r="H126" s="9">
        <f>G126</f>
        <v>19.314</v>
      </c>
    </row>
    <row r="127" spans="1:8" x14ac:dyDescent="0.2">
      <c r="A127" s="9">
        <v>1.7</v>
      </c>
      <c r="B127" s="8" t="s">
        <v>297</v>
      </c>
      <c r="C127" s="9"/>
      <c r="D127" s="9"/>
      <c r="E127" s="9"/>
      <c r="F127" s="9"/>
      <c r="G127" s="9"/>
      <c r="H127" s="9"/>
    </row>
    <row r="128" spans="1:8" x14ac:dyDescent="0.2">
      <c r="A128" s="9"/>
      <c r="B128" s="3" t="s">
        <v>334</v>
      </c>
      <c r="C128" s="9">
        <v>1</v>
      </c>
      <c r="D128" s="9">
        <v>4</v>
      </c>
      <c r="E128" s="9">
        <v>6</v>
      </c>
      <c r="F128" s="9">
        <v>0</v>
      </c>
      <c r="G128" s="9">
        <f>D128*E128</f>
        <v>24</v>
      </c>
      <c r="H128" s="9">
        <f>G128</f>
        <v>24</v>
      </c>
    </row>
    <row r="129" spans="1:8" x14ac:dyDescent="0.2">
      <c r="A129" s="9"/>
      <c r="B129" s="3" t="s">
        <v>335</v>
      </c>
      <c r="C129" s="9">
        <v>0</v>
      </c>
      <c r="D129" s="9">
        <f>D128+E128+D128+E128</f>
        <v>20</v>
      </c>
      <c r="E129" s="9">
        <v>0</v>
      </c>
      <c r="F129" s="9">
        <v>0.33300000000000002</v>
      </c>
      <c r="G129" s="9">
        <f>D129*F129</f>
        <v>6.66</v>
      </c>
      <c r="H129" s="9">
        <f>G129</f>
        <v>6.66</v>
      </c>
    </row>
    <row r="130" spans="1:8" x14ac:dyDescent="0.2">
      <c r="A130" s="9">
        <v>1.8</v>
      </c>
      <c r="B130" s="8" t="s">
        <v>298</v>
      </c>
      <c r="C130" s="9"/>
      <c r="D130" s="9"/>
      <c r="E130" s="9"/>
      <c r="F130" s="9"/>
      <c r="G130" s="9"/>
      <c r="H130" s="9"/>
    </row>
    <row r="131" spans="1:8" x14ac:dyDescent="0.2">
      <c r="A131" s="9"/>
      <c r="B131" s="3" t="s">
        <v>334</v>
      </c>
      <c r="C131" s="9">
        <v>1</v>
      </c>
      <c r="D131" s="9">
        <v>15</v>
      </c>
      <c r="E131" s="9">
        <v>13</v>
      </c>
      <c r="F131" s="9">
        <v>0</v>
      </c>
      <c r="G131" s="9">
        <f>D131*E131</f>
        <v>195</v>
      </c>
      <c r="H131" s="9">
        <f>G131</f>
        <v>195</v>
      </c>
    </row>
    <row r="132" spans="1:8" x14ac:dyDescent="0.2">
      <c r="A132" s="9"/>
      <c r="B132" s="3" t="s">
        <v>335</v>
      </c>
      <c r="C132" s="9">
        <v>0</v>
      </c>
      <c r="D132" s="9">
        <f>D131+E131+D131+E131</f>
        <v>56</v>
      </c>
      <c r="E132" s="9">
        <v>0</v>
      </c>
      <c r="F132" s="9">
        <v>0.33300000000000002</v>
      </c>
      <c r="G132" s="9">
        <f>D132*F132</f>
        <v>18.648</v>
      </c>
      <c r="H132" s="9">
        <f>G132</f>
        <v>18.648</v>
      </c>
    </row>
    <row r="133" spans="1:8" x14ac:dyDescent="0.2">
      <c r="A133" s="9">
        <v>1.9</v>
      </c>
      <c r="B133" s="8" t="s">
        <v>300</v>
      </c>
      <c r="C133" s="9"/>
      <c r="D133" s="9"/>
      <c r="E133" s="9"/>
      <c r="F133" s="9"/>
      <c r="G133" s="9"/>
      <c r="H133" s="9"/>
    </row>
    <row r="134" spans="1:8" x14ac:dyDescent="0.2">
      <c r="A134" s="9"/>
      <c r="B134" s="3" t="s">
        <v>334</v>
      </c>
      <c r="C134" s="9">
        <v>1</v>
      </c>
      <c r="D134" s="9">
        <v>6</v>
      </c>
      <c r="E134" s="9">
        <v>4</v>
      </c>
      <c r="F134" s="9">
        <v>0</v>
      </c>
      <c r="G134" s="9">
        <f>D134*E134</f>
        <v>24</v>
      </c>
      <c r="H134" s="9">
        <f>G134</f>
        <v>24</v>
      </c>
    </row>
    <row r="135" spans="1:8" x14ac:dyDescent="0.2">
      <c r="A135" s="9"/>
      <c r="B135" s="3" t="s">
        <v>335</v>
      </c>
      <c r="C135" s="9">
        <v>0</v>
      </c>
      <c r="D135" s="9">
        <f>D134+E134+D134+E134</f>
        <v>20</v>
      </c>
      <c r="E135" s="9">
        <v>0</v>
      </c>
      <c r="F135" s="9">
        <v>0.33300000000000002</v>
      </c>
      <c r="G135" s="9">
        <f>D135*F135</f>
        <v>6.66</v>
      </c>
      <c r="H135" s="9">
        <f>G135</f>
        <v>6.66</v>
      </c>
    </row>
    <row r="136" spans="1:8" x14ac:dyDescent="0.2">
      <c r="A136" s="9">
        <v>1.1000000000000001</v>
      </c>
      <c r="B136" s="8" t="s">
        <v>361</v>
      </c>
      <c r="C136" s="9"/>
      <c r="D136" s="9"/>
      <c r="E136" s="9"/>
      <c r="F136" s="9"/>
      <c r="G136" s="9"/>
      <c r="H136" s="9"/>
    </row>
    <row r="137" spans="1:8" x14ac:dyDescent="0.2">
      <c r="A137" s="9"/>
      <c r="B137" s="3" t="s">
        <v>334</v>
      </c>
      <c r="C137" s="9">
        <v>2</v>
      </c>
      <c r="D137" s="9">
        <v>8</v>
      </c>
      <c r="E137" s="9">
        <v>6</v>
      </c>
      <c r="F137" s="9">
        <v>0</v>
      </c>
      <c r="G137" s="9">
        <f>C137*D137*E137</f>
        <v>96</v>
      </c>
      <c r="H137" s="9">
        <f>G137</f>
        <v>96</v>
      </c>
    </row>
    <row r="138" spans="1:8" x14ac:dyDescent="0.2">
      <c r="A138" s="9"/>
      <c r="B138" s="3" t="s">
        <v>335</v>
      </c>
      <c r="C138" s="9">
        <v>0</v>
      </c>
      <c r="D138" s="9">
        <f>D137+D137+D137+D137+E137+E137+E137+E137</f>
        <v>56</v>
      </c>
      <c r="E138" s="9">
        <v>0</v>
      </c>
      <c r="F138" s="9">
        <v>0.33300000000000002</v>
      </c>
      <c r="G138" s="9">
        <f>D138*F138</f>
        <v>18.648</v>
      </c>
      <c r="H138" s="9">
        <f>G138</f>
        <v>18.648</v>
      </c>
    </row>
    <row r="139" spans="1:8" x14ac:dyDescent="0.2">
      <c r="A139" s="9">
        <v>1.1100000000000001</v>
      </c>
      <c r="B139" s="8" t="s">
        <v>362</v>
      </c>
      <c r="C139" s="9"/>
      <c r="D139" s="9"/>
      <c r="E139" s="9"/>
      <c r="F139" s="9"/>
      <c r="G139" s="9"/>
      <c r="H139" s="9"/>
    </row>
    <row r="140" spans="1:8" x14ac:dyDescent="0.2">
      <c r="A140" s="9"/>
      <c r="B140" s="3" t="s">
        <v>334</v>
      </c>
      <c r="C140" s="9">
        <v>1</v>
      </c>
      <c r="D140" s="9">
        <v>6</v>
      </c>
      <c r="E140" s="9">
        <v>5</v>
      </c>
      <c r="F140" s="9">
        <v>0</v>
      </c>
      <c r="G140" s="9">
        <f>D140*E140</f>
        <v>30</v>
      </c>
      <c r="H140" s="9">
        <f>G140</f>
        <v>30</v>
      </c>
    </row>
    <row r="141" spans="1:8" x14ac:dyDescent="0.2">
      <c r="A141" s="9"/>
      <c r="B141" s="3" t="s">
        <v>335</v>
      </c>
      <c r="C141" s="9"/>
      <c r="D141" s="9">
        <f>D140+E140+D140+E140</f>
        <v>22</v>
      </c>
      <c r="E141" s="9">
        <v>0</v>
      </c>
      <c r="F141" s="9">
        <v>0.33300000000000002</v>
      </c>
      <c r="G141" s="9">
        <f>D141*F141</f>
        <v>7.3260000000000005</v>
      </c>
      <c r="H141" s="9">
        <f>G141</f>
        <v>7.3260000000000005</v>
      </c>
    </row>
    <row r="142" spans="1:8" x14ac:dyDescent="0.2">
      <c r="A142" s="9">
        <v>1.1200000000000001</v>
      </c>
      <c r="B142" s="8" t="s">
        <v>303</v>
      </c>
      <c r="C142" s="9"/>
      <c r="D142" s="9"/>
      <c r="E142" s="9"/>
      <c r="F142" s="9"/>
      <c r="G142" s="9"/>
      <c r="H142" s="9"/>
    </row>
    <row r="143" spans="1:8" x14ac:dyDescent="0.2">
      <c r="A143" s="9"/>
      <c r="B143" s="3" t="s">
        <v>334</v>
      </c>
      <c r="C143" s="9">
        <v>1</v>
      </c>
      <c r="D143" s="9">
        <v>10.75</v>
      </c>
      <c r="E143" s="9">
        <v>13.5</v>
      </c>
      <c r="F143" s="9">
        <v>0</v>
      </c>
      <c r="G143" s="9">
        <f>D143*E143</f>
        <v>145.125</v>
      </c>
      <c r="H143" s="9">
        <f>G143</f>
        <v>145.125</v>
      </c>
    </row>
    <row r="144" spans="1:8" x14ac:dyDescent="0.2">
      <c r="A144" s="9"/>
      <c r="B144" s="3" t="s">
        <v>335</v>
      </c>
      <c r="C144" s="9">
        <v>0</v>
      </c>
      <c r="D144" s="9">
        <f>D143+E143+D143+E143</f>
        <v>48.5</v>
      </c>
      <c r="E144" s="9">
        <v>0</v>
      </c>
      <c r="F144" s="9">
        <v>0.33300000000000002</v>
      </c>
      <c r="G144" s="9">
        <f>D144*F144</f>
        <v>16.150500000000001</v>
      </c>
      <c r="H144" s="9">
        <f>G144</f>
        <v>16.150500000000001</v>
      </c>
    </row>
    <row r="145" spans="1:8" x14ac:dyDescent="0.2">
      <c r="A145" s="9">
        <v>1.1299999999999999</v>
      </c>
      <c r="B145" s="8" t="s">
        <v>338</v>
      </c>
      <c r="C145" s="9"/>
      <c r="D145" s="9"/>
      <c r="E145" s="9"/>
      <c r="F145" s="9"/>
      <c r="G145" s="9"/>
      <c r="H145" s="9"/>
    </row>
    <row r="146" spans="1:8" x14ac:dyDescent="0.2">
      <c r="A146" s="9"/>
      <c r="B146" s="3" t="s">
        <v>334</v>
      </c>
      <c r="C146" s="9">
        <v>1</v>
      </c>
      <c r="D146" s="9">
        <v>14.5</v>
      </c>
      <c r="E146" s="9">
        <v>9.5</v>
      </c>
      <c r="F146" s="9">
        <v>0</v>
      </c>
      <c r="G146" s="9">
        <f>D146*E146</f>
        <v>137.75</v>
      </c>
      <c r="H146" s="9">
        <f>G146</f>
        <v>137.75</v>
      </c>
    </row>
    <row r="147" spans="1:8" x14ac:dyDescent="0.2">
      <c r="A147" s="9"/>
      <c r="B147" s="3" t="s">
        <v>335</v>
      </c>
      <c r="C147" s="9">
        <v>0</v>
      </c>
      <c r="D147" s="9">
        <f>D146+E146+D146+E146</f>
        <v>48</v>
      </c>
      <c r="E147" s="9">
        <v>0</v>
      </c>
      <c r="F147" s="9">
        <v>0.33300000000000002</v>
      </c>
      <c r="G147" s="9">
        <f>D147*F147</f>
        <v>15.984000000000002</v>
      </c>
      <c r="H147" s="9">
        <f>G147</f>
        <v>15.984000000000002</v>
      </c>
    </row>
    <row r="148" spans="1:8" x14ac:dyDescent="0.2">
      <c r="A148" s="9">
        <v>1.1399999999999999</v>
      </c>
      <c r="B148" s="8" t="s">
        <v>306</v>
      </c>
      <c r="C148" s="9"/>
      <c r="D148" s="9"/>
      <c r="E148" s="9"/>
      <c r="F148" s="9"/>
      <c r="G148" s="9"/>
      <c r="H148" s="9"/>
    </row>
    <row r="149" spans="1:8" x14ac:dyDescent="0.2">
      <c r="A149" s="9"/>
      <c r="B149" s="3" t="s">
        <v>334</v>
      </c>
      <c r="C149" s="9">
        <v>1</v>
      </c>
      <c r="D149" s="9">
        <v>19</v>
      </c>
      <c r="E149" s="9">
        <v>5</v>
      </c>
      <c r="F149" s="9">
        <v>0</v>
      </c>
      <c r="G149" s="9">
        <f>D149*E149</f>
        <v>95</v>
      </c>
      <c r="H149" s="9">
        <f>G149</f>
        <v>95</v>
      </c>
    </row>
    <row r="150" spans="1:8" x14ac:dyDescent="0.2">
      <c r="A150" s="9"/>
      <c r="B150" s="3" t="s">
        <v>335</v>
      </c>
      <c r="C150" s="9">
        <v>0</v>
      </c>
      <c r="D150" s="9">
        <f>D149+E149+D149+E149</f>
        <v>48</v>
      </c>
      <c r="E150" s="9">
        <v>0</v>
      </c>
      <c r="F150" s="9">
        <v>0.33300000000000002</v>
      </c>
      <c r="G150" s="9">
        <f>D150*F150</f>
        <v>15.984000000000002</v>
      </c>
      <c r="H150" s="9">
        <f>G150</f>
        <v>15.984000000000002</v>
      </c>
    </row>
    <row r="151" spans="1:8" x14ac:dyDescent="0.2">
      <c r="A151" s="9">
        <v>1.1499999999999999</v>
      </c>
      <c r="B151" s="8" t="s">
        <v>363</v>
      </c>
      <c r="C151" s="9"/>
      <c r="D151" s="9"/>
      <c r="E151" s="9"/>
      <c r="F151" s="9"/>
      <c r="G151" s="9"/>
      <c r="H151" s="9"/>
    </row>
    <row r="152" spans="1:8" x14ac:dyDescent="0.2">
      <c r="A152" s="9"/>
      <c r="B152" s="3" t="s">
        <v>334</v>
      </c>
      <c r="C152" s="9">
        <v>1</v>
      </c>
      <c r="D152" s="9">
        <v>14.5</v>
      </c>
      <c r="E152" s="9">
        <v>11.5</v>
      </c>
      <c r="F152" s="9">
        <v>0</v>
      </c>
      <c r="G152" s="9">
        <f>D152*E152</f>
        <v>166.75</v>
      </c>
      <c r="H152" s="9">
        <f>G152</f>
        <v>166.75</v>
      </c>
    </row>
    <row r="153" spans="1:8" x14ac:dyDescent="0.2">
      <c r="A153" s="9"/>
      <c r="B153" s="3" t="s">
        <v>335</v>
      </c>
      <c r="C153" s="9">
        <v>0</v>
      </c>
      <c r="D153" s="9">
        <f>D152+E152+D152+E152</f>
        <v>52</v>
      </c>
      <c r="E153" s="9">
        <v>0</v>
      </c>
      <c r="F153" s="9">
        <v>0.33300000000000002</v>
      </c>
      <c r="G153" s="9">
        <f>D153*F153</f>
        <v>17.316000000000003</v>
      </c>
      <c r="H153" s="9">
        <f>G153</f>
        <v>17.316000000000003</v>
      </c>
    </row>
    <row r="154" spans="1:8" x14ac:dyDescent="0.2">
      <c r="A154" s="9">
        <v>1.1599999999999999</v>
      </c>
      <c r="B154" s="8" t="s">
        <v>340</v>
      </c>
      <c r="C154" s="9"/>
      <c r="D154" s="9"/>
      <c r="E154" s="9"/>
      <c r="F154" s="9"/>
      <c r="G154" s="9"/>
      <c r="H154" s="9"/>
    </row>
    <row r="155" spans="1:8" x14ac:dyDescent="0.2">
      <c r="A155" s="9"/>
      <c r="B155" s="3" t="s">
        <v>205</v>
      </c>
      <c r="C155" s="9">
        <v>1</v>
      </c>
      <c r="D155" s="9">
        <v>4.5</v>
      </c>
      <c r="E155" s="9">
        <v>0.5</v>
      </c>
      <c r="F155" s="9">
        <v>0</v>
      </c>
      <c r="G155" s="9">
        <f>E155*D155*C155</f>
        <v>2.25</v>
      </c>
      <c r="H155" s="9">
        <f>G155</f>
        <v>2.25</v>
      </c>
    </row>
    <row r="156" spans="1:8" x14ac:dyDescent="0.2">
      <c r="A156" s="9"/>
      <c r="B156" s="3" t="s">
        <v>206</v>
      </c>
      <c r="C156" s="9">
        <v>5</v>
      </c>
      <c r="D156" s="9">
        <v>3.5</v>
      </c>
      <c r="E156" s="9">
        <v>0.5</v>
      </c>
      <c r="F156" s="9">
        <v>0</v>
      </c>
      <c r="G156" s="9">
        <f>E156*D156*C156</f>
        <v>8.75</v>
      </c>
      <c r="H156" s="9">
        <f>G156</f>
        <v>8.75</v>
      </c>
    </row>
    <row r="157" spans="1:8" x14ac:dyDescent="0.2">
      <c r="A157" s="9"/>
      <c r="B157" s="3" t="s">
        <v>207</v>
      </c>
      <c r="C157" s="9">
        <v>6</v>
      </c>
      <c r="D157" s="9">
        <v>2.5</v>
      </c>
      <c r="E157" s="9">
        <v>0.5</v>
      </c>
      <c r="F157" s="9">
        <v>0</v>
      </c>
      <c r="G157" s="9">
        <f>E157*D157*C157</f>
        <v>7.5</v>
      </c>
      <c r="H157" s="9">
        <f>G157</f>
        <v>7.5</v>
      </c>
    </row>
    <row r="158" spans="1:8" x14ac:dyDescent="0.2">
      <c r="A158" s="9"/>
      <c r="B158" s="3" t="s">
        <v>208</v>
      </c>
      <c r="C158" s="9">
        <v>1</v>
      </c>
      <c r="D158" s="9">
        <v>5</v>
      </c>
      <c r="E158" s="9">
        <v>0.5</v>
      </c>
      <c r="F158" s="9">
        <v>0</v>
      </c>
      <c r="G158" s="9">
        <f>E158*D158*C158</f>
        <v>2.5</v>
      </c>
      <c r="H158" s="9">
        <f>G158</f>
        <v>2.5</v>
      </c>
    </row>
    <row r="159" spans="1:8" x14ac:dyDescent="0.2">
      <c r="A159" s="9">
        <v>1.17</v>
      </c>
      <c r="B159" s="8" t="s">
        <v>341</v>
      </c>
      <c r="C159" s="9"/>
      <c r="D159" s="9"/>
      <c r="E159" s="9"/>
      <c r="F159" s="9"/>
      <c r="G159" s="9"/>
      <c r="H159" s="9"/>
    </row>
    <row r="160" spans="1:8" x14ac:dyDescent="0.2">
      <c r="A160" s="9"/>
      <c r="B160" s="3" t="s">
        <v>205</v>
      </c>
      <c r="C160" s="9">
        <v>2</v>
      </c>
      <c r="D160" s="9">
        <v>4.5</v>
      </c>
      <c r="E160" s="9">
        <v>0</v>
      </c>
      <c r="F160" s="9">
        <v>0.33300000000000002</v>
      </c>
      <c r="G160" s="9">
        <f>C160*D160*F160</f>
        <v>2.9970000000000003</v>
      </c>
      <c r="H160" s="9">
        <f>G160</f>
        <v>2.9970000000000003</v>
      </c>
    </row>
    <row r="161" spans="1:8" x14ac:dyDescent="0.2">
      <c r="A161" s="9"/>
      <c r="B161" s="3" t="s">
        <v>206</v>
      </c>
      <c r="C161" s="9">
        <v>10</v>
      </c>
      <c r="D161" s="9">
        <v>3.5</v>
      </c>
      <c r="E161" s="9">
        <v>0</v>
      </c>
      <c r="F161" s="9">
        <v>0.33300000000000002</v>
      </c>
      <c r="G161" s="9">
        <f>C161*D161*F161</f>
        <v>11.655000000000001</v>
      </c>
      <c r="H161" s="9">
        <f>G161</f>
        <v>11.655000000000001</v>
      </c>
    </row>
    <row r="162" spans="1:8" x14ac:dyDescent="0.2">
      <c r="A162" s="9"/>
      <c r="B162" s="3" t="s">
        <v>207</v>
      </c>
      <c r="C162" s="9">
        <v>9</v>
      </c>
      <c r="D162" s="9">
        <v>2.5</v>
      </c>
      <c r="E162" s="9">
        <v>0</v>
      </c>
      <c r="F162" s="9">
        <v>0.33300000000000002</v>
      </c>
      <c r="G162" s="9">
        <f>C162*D162*F162</f>
        <v>7.4925000000000006</v>
      </c>
      <c r="H162" s="9">
        <f>G162</f>
        <v>7.4925000000000006</v>
      </c>
    </row>
    <row r="163" spans="1:8" x14ac:dyDescent="0.2">
      <c r="A163" s="9"/>
      <c r="B163" s="3" t="s">
        <v>208</v>
      </c>
      <c r="C163" s="9">
        <v>2</v>
      </c>
      <c r="D163" s="9">
        <v>5</v>
      </c>
      <c r="E163" s="9">
        <v>0</v>
      </c>
      <c r="F163" s="9">
        <v>0.33300000000000002</v>
      </c>
      <c r="G163" s="9">
        <f>C163*D163*F163</f>
        <v>3.33</v>
      </c>
      <c r="H163" s="9">
        <f>G163</f>
        <v>3.33</v>
      </c>
    </row>
    <row r="164" spans="1:8" x14ac:dyDescent="0.2">
      <c r="A164" s="9">
        <v>1.18</v>
      </c>
      <c r="B164" s="8" t="s">
        <v>342</v>
      </c>
      <c r="C164" s="9"/>
      <c r="D164" s="9"/>
      <c r="E164" s="9"/>
      <c r="F164" s="9"/>
      <c r="G164" s="9"/>
      <c r="H164" s="9"/>
    </row>
    <row r="165" spans="1:8" x14ac:dyDescent="0.2">
      <c r="A165" s="9"/>
      <c r="B165" s="3" t="s">
        <v>343</v>
      </c>
      <c r="C165" s="9">
        <v>17</v>
      </c>
      <c r="D165" s="9">
        <v>3.5830000000000002</v>
      </c>
      <c r="E165" s="9">
        <v>1</v>
      </c>
      <c r="F165" s="9">
        <v>0</v>
      </c>
      <c r="G165" s="9">
        <f>C165*D165*E165</f>
        <v>60.911000000000001</v>
      </c>
      <c r="H165" s="9">
        <f>G165</f>
        <v>60.911000000000001</v>
      </c>
    </row>
    <row r="166" spans="1:8" x14ac:dyDescent="0.2">
      <c r="A166" s="9"/>
      <c r="B166" s="3" t="s">
        <v>344</v>
      </c>
      <c r="C166" s="9">
        <v>34</v>
      </c>
      <c r="D166" s="9">
        <v>3.5830000000000002</v>
      </c>
      <c r="E166" s="9">
        <v>0</v>
      </c>
      <c r="F166" s="9">
        <v>0.5</v>
      </c>
      <c r="G166" s="9">
        <f>C166*D166*F166</f>
        <v>60.911000000000001</v>
      </c>
      <c r="H166" s="9">
        <f>G166</f>
        <v>60.911000000000001</v>
      </c>
    </row>
    <row r="168" spans="1:8" x14ac:dyDescent="0.2">
      <c r="B168" s="14" t="s">
        <v>345</v>
      </c>
      <c r="C168" s="14">
        <f>H113+H116+H119+H122+H125+H128+H131+H134+H137+H140+H143+H146+H149+H155+H156+H157+H158+H152+H110</f>
        <v>2001.625</v>
      </c>
      <c r="D168" s="14" t="s">
        <v>346</v>
      </c>
    </row>
    <row r="169" spans="1:8" x14ac:dyDescent="0.2">
      <c r="B169" s="14" t="s">
        <v>347</v>
      </c>
      <c r="C169" s="14">
        <f>H114+H117+H120+H123+H126+H129+H132+H135+H138+H144+H141+H147+H150+H153+H111</f>
        <v>222.11099999999999</v>
      </c>
      <c r="D169" s="14" t="s">
        <v>346</v>
      </c>
    </row>
    <row r="170" spans="1:8" x14ac:dyDescent="0.2">
      <c r="B170" s="14" t="s">
        <v>348</v>
      </c>
      <c r="C170" s="14">
        <f>C169-(H160+H161+H162+H163)</f>
        <v>196.63649999999998</v>
      </c>
      <c r="D170" s="14" t="s">
        <v>346</v>
      </c>
    </row>
    <row r="171" spans="1:8" x14ac:dyDescent="0.2">
      <c r="B171" s="14" t="s">
        <v>349</v>
      </c>
      <c r="C171" s="14">
        <f>H165+H166</f>
        <v>121.822</v>
      </c>
      <c r="D171" s="14" t="s">
        <v>346</v>
      </c>
    </row>
    <row r="173" spans="1:8" x14ac:dyDescent="0.2">
      <c r="A173" s="19">
        <v>2</v>
      </c>
      <c r="B173" s="20" t="s">
        <v>350</v>
      </c>
      <c r="C173" s="3"/>
      <c r="D173" s="3"/>
      <c r="E173" s="3"/>
      <c r="F173" s="3"/>
      <c r="G173" s="3"/>
      <c r="H173" s="3"/>
    </row>
    <row r="174" spans="1:8" x14ac:dyDescent="0.2">
      <c r="A174" s="9">
        <v>2.1</v>
      </c>
      <c r="B174" s="8" t="s">
        <v>351</v>
      </c>
      <c r="C174" s="3"/>
      <c r="D174" s="3"/>
      <c r="E174" s="3"/>
      <c r="F174" s="3"/>
      <c r="G174" s="3"/>
      <c r="H174" s="3"/>
    </row>
    <row r="175" spans="1:8" x14ac:dyDescent="0.2">
      <c r="A175" s="9"/>
      <c r="B175" s="3" t="s">
        <v>352</v>
      </c>
      <c r="C175" s="9">
        <v>1</v>
      </c>
      <c r="D175" s="9">
        <v>10</v>
      </c>
      <c r="E175" s="9">
        <v>6</v>
      </c>
      <c r="F175" s="9">
        <v>0</v>
      </c>
      <c r="G175" s="9">
        <f>C175*D175*E175</f>
        <v>60</v>
      </c>
      <c r="H175" s="9">
        <f>G175</f>
        <v>60</v>
      </c>
    </row>
    <row r="176" spans="1:8" x14ac:dyDescent="0.2">
      <c r="A176" s="9"/>
      <c r="B176" s="3" t="s">
        <v>123</v>
      </c>
      <c r="C176" s="9">
        <v>2</v>
      </c>
      <c r="D176" s="9">
        <v>10</v>
      </c>
      <c r="E176" s="9">
        <v>0</v>
      </c>
      <c r="F176" s="9">
        <v>5</v>
      </c>
      <c r="G176" s="9">
        <f>C176*D176*F176</f>
        <v>100</v>
      </c>
      <c r="H176" s="9">
        <f>G176</f>
        <v>100</v>
      </c>
    </row>
    <row r="177" spans="1:8" x14ac:dyDescent="0.2">
      <c r="A177" s="9"/>
      <c r="B177" s="3" t="s">
        <v>124</v>
      </c>
      <c r="C177" s="9">
        <v>2</v>
      </c>
      <c r="D177" s="9">
        <v>6</v>
      </c>
      <c r="E177" s="9">
        <v>0</v>
      </c>
      <c r="F177" s="9">
        <v>5</v>
      </c>
      <c r="G177" s="9">
        <f>C177*D177*F177</f>
        <v>60</v>
      </c>
      <c r="H177" s="9">
        <f>G177</f>
        <v>60</v>
      </c>
    </row>
    <row r="178" spans="1:8" x14ac:dyDescent="0.2">
      <c r="A178" s="9"/>
      <c r="B178" s="3" t="s">
        <v>353</v>
      </c>
      <c r="C178" s="9">
        <v>1</v>
      </c>
      <c r="D178" s="9">
        <v>2.5</v>
      </c>
      <c r="E178" s="9">
        <v>0</v>
      </c>
      <c r="F178" s="9">
        <v>5</v>
      </c>
      <c r="G178" s="9">
        <f>C178*D178*F178</f>
        <v>12.5</v>
      </c>
      <c r="H178" s="9">
        <f>G178</f>
        <v>12.5</v>
      </c>
    </row>
    <row r="179" spans="1:8" x14ac:dyDescent="0.2">
      <c r="A179" s="9"/>
      <c r="B179" s="16" t="s">
        <v>354</v>
      </c>
      <c r="C179" s="17">
        <f>(H175+H176+H177)-(H178)</f>
        <v>207.5</v>
      </c>
      <c r="D179" s="17" t="s">
        <v>346</v>
      </c>
      <c r="E179" s="9"/>
      <c r="F179" s="9"/>
      <c r="G179" s="9"/>
      <c r="H179" s="9"/>
    </row>
    <row r="180" spans="1:8" x14ac:dyDescent="0.2">
      <c r="A180" s="9"/>
      <c r="B180" s="3" t="s">
        <v>355</v>
      </c>
      <c r="C180" s="9"/>
      <c r="D180" s="9"/>
      <c r="E180" s="9"/>
      <c r="F180" s="9"/>
      <c r="G180" s="9"/>
      <c r="H180" s="9"/>
    </row>
    <row r="181" spans="1:8" x14ac:dyDescent="0.2">
      <c r="A181" s="9"/>
      <c r="B181" s="3" t="s">
        <v>356</v>
      </c>
      <c r="C181" s="9">
        <f>C179/0.44</f>
        <v>471.59090909090907</v>
      </c>
      <c r="D181" s="9"/>
      <c r="E181" s="9"/>
      <c r="F181" s="9"/>
      <c r="G181" s="9"/>
      <c r="H181" s="9"/>
    </row>
    <row r="182" spans="1:8" x14ac:dyDescent="0.2">
      <c r="A182" s="9"/>
      <c r="B182" s="16" t="s">
        <v>356</v>
      </c>
      <c r="C182" s="17">
        <v>472</v>
      </c>
      <c r="D182" s="17" t="s">
        <v>357</v>
      </c>
      <c r="E182" s="9"/>
      <c r="F182" s="9"/>
      <c r="G182" s="9"/>
      <c r="H182" s="9"/>
    </row>
    <row r="183" spans="1:8" x14ac:dyDescent="0.2">
      <c r="A183" s="9">
        <v>2.2000000000000002</v>
      </c>
      <c r="B183" s="8" t="s">
        <v>358</v>
      </c>
      <c r="C183" s="9"/>
      <c r="D183" s="9"/>
      <c r="E183" s="9"/>
      <c r="F183" s="9"/>
      <c r="G183" s="9"/>
      <c r="H183" s="9"/>
    </row>
    <row r="184" spans="1:8" x14ac:dyDescent="0.2">
      <c r="A184" s="9"/>
      <c r="B184" s="3" t="s">
        <v>352</v>
      </c>
      <c r="C184" s="9">
        <v>1</v>
      </c>
      <c r="D184" s="9">
        <v>9</v>
      </c>
      <c r="E184" s="9">
        <v>6</v>
      </c>
      <c r="F184" s="9">
        <v>0</v>
      </c>
      <c r="G184" s="9">
        <f>C184*D184*E184</f>
        <v>54</v>
      </c>
      <c r="H184" s="9">
        <f>G184</f>
        <v>54</v>
      </c>
    </row>
    <row r="185" spans="1:8" x14ac:dyDescent="0.2">
      <c r="A185" s="9"/>
      <c r="B185" s="3" t="s">
        <v>123</v>
      </c>
      <c r="C185" s="9">
        <v>2</v>
      </c>
      <c r="D185" s="9">
        <v>9</v>
      </c>
      <c r="E185" s="9">
        <v>0</v>
      </c>
      <c r="F185" s="9">
        <v>5</v>
      </c>
      <c r="G185" s="9">
        <f>C185*D185*F185</f>
        <v>90</v>
      </c>
      <c r="H185" s="9">
        <f>G185</f>
        <v>90</v>
      </c>
    </row>
    <row r="186" spans="1:8" x14ac:dyDescent="0.2">
      <c r="A186" s="9"/>
      <c r="B186" s="3" t="s">
        <v>124</v>
      </c>
      <c r="C186" s="9">
        <v>2</v>
      </c>
      <c r="D186" s="9">
        <v>6</v>
      </c>
      <c r="E186" s="9">
        <v>0</v>
      </c>
      <c r="F186" s="9">
        <v>5</v>
      </c>
      <c r="G186" s="9">
        <f>C186*D186*F186</f>
        <v>60</v>
      </c>
      <c r="H186" s="9">
        <f>G186</f>
        <v>60</v>
      </c>
    </row>
    <row r="187" spans="1:8" x14ac:dyDescent="0.2">
      <c r="A187" s="9"/>
      <c r="B187" s="3" t="s">
        <v>353</v>
      </c>
      <c r="C187" s="9">
        <v>1</v>
      </c>
      <c r="D187" s="9">
        <v>2.5</v>
      </c>
      <c r="E187" s="9">
        <v>0</v>
      </c>
      <c r="F187" s="9">
        <v>5</v>
      </c>
      <c r="G187" s="9">
        <f>C187*D187*F187</f>
        <v>12.5</v>
      </c>
      <c r="H187" s="9">
        <f>G187</f>
        <v>12.5</v>
      </c>
    </row>
    <row r="188" spans="1:8" x14ac:dyDescent="0.2">
      <c r="A188" s="9"/>
      <c r="B188" s="16" t="s">
        <v>354</v>
      </c>
      <c r="C188" s="17">
        <f>(H184+H185+H186)-(H187)</f>
        <v>191.5</v>
      </c>
      <c r="D188" s="17" t="s">
        <v>346</v>
      </c>
      <c r="E188" s="9"/>
      <c r="F188" s="9"/>
      <c r="G188" s="9"/>
      <c r="H188" s="9"/>
    </row>
    <row r="189" spans="1:8" x14ac:dyDescent="0.2">
      <c r="A189" s="9"/>
      <c r="B189" s="3" t="s">
        <v>355</v>
      </c>
      <c r="C189" s="9"/>
      <c r="D189" s="9"/>
      <c r="E189" s="9"/>
      <c r="F189" s="9"/>
      <c r="G189" s="9"/>
      <c r="H189" s="9"/>
    </row>
    <row r="190" spans="1:8" x14ac:dyDescent="0.2">
      <c r="A190" s="9"/>
      <c r="B190" s="3" t="s">
        <v>356</v>
      </c>
      <c r="C190" s="9">
        <f>C188/0.44</f>
        <v>435.22727272727275</v>
      </c>
      <c r="D190" s="9"/>
      <c r="E190" s="9"/>
      <c r="F190" s="9"/>
      <c r="G190" s="9"/>
      <c r="H190" s="9"/>
    </row>
    <row r="191" spans="1:8" x14ac:dyDescent="0.2">
      <c r="A191" s="9"/>
      <c r="B191" s="16" t="s">
        <v>356</v>
      </c>
      <c r="C191" s="17">
        <v>436</v>
      </c>
      <c r="D191" s="17" t="s">
        <v>357</v>
      </c>
      <c r="E191" s="9"/>
      <c r="F191" s="9"/>
      <c r="G191" s="9"/>
      <c r="H191" s="9"/>
    </row>
    <row r="192" spans="1:8" x14ac:dyDescent="0.2">
      <c r="A192" s="9">
        <v>2.2999999999999998</v>
      </c>
      <c r="B192" s="8" t="s">
        <v>359</v>
      </c>
      <c r="C192" s="9"/>
      <c r="D192" s="9"/>
      <c r="E192" s="9"/>
      <c r="F192" s="9"/>
      <c r="G192" s="9"/>
      <c r="H192" s="9"/>
    </row>
    <row r="193" spans="1:8" x14ac:dyDescent="0.2">
      <c r="A193" s="3"/>
      <c r="B193" s="3" t="s">
        <v>352</v>
      </c>
      <c r="C193" s="9">
        <v>1</v>
      </c>
      <c r="D193" s="9">
        <v>8.5</v>
      </c>
      <c r="E193" s="9">
        <v>6</v>
      </c>
      <c r="F193" s="9">
        <v>0</v>
      </c>
      <c r="G193" s="9">
        <f>C193*D193*E193</f>
        <v>51</v>
      </c>
      <c r="H193" s="9">
        <f>G193</f>
        <v>51</v>
      </c>
    </row>
    <row r="194" spans="1:8" x14ac:dyDescent="0.2">
      <c r="A194" s="3"/>
      <c r="B194" s="3" t="s">
        <v>123</v>
      </c>
      <c r="C194" s="9">
        <v>2</v>
      </c>
      <c r="D194" s="9">
        <v>8.5</v>
      </c>
      <c r="E194" s="9">
        <v>0</v>
      </c>
      <c r="F194" s="9">
        <v>5</v>
      </c>
      <c r="G194" s="9">
        <f>C194*D194*F194</f>
        <v>85</v>
      </c>
      <c r="H194" s="9">
        <f>G194</f>
        <v>85</v>
      </c>
    </row>
    <row r="195" spans="1:8" x14ac:dyDescent="0.2">
      <c r="A195" s="3"/>
      <c r="B195" s="3" t="s">
        <v>124</v>
      </c>
      <c r="C195" s="9">
        <v>2</v>
      </c>
      <c r="D195" s="9">
        <v>6</v>
      </c>
      <c r="E195" s="9">
        <v>0</v>
      </c>
      <c r="F195" s="9">
        <v>5</v>
      </c>
      <c r="G195" s="9">
        <f>C195*D195*F195</f>
        <v>60</v>
      </c>
      <c r="H195" s="9">
        <f>G195</f>
        <v>60</v>
      </c>
    </row>
    <row r="196" spans="1:8" x14ac:dyDescent="0.2">
      <c r="A196" s="3"/>
      <c r="B196" s="3" t="s">
        <v>353</v>
      </c>
      <c r="C196" s="9">
        <v>1</v>
      </c>
      <c r="D196" s="9">
        <v>2.5</v>
      </c>
      <c r="E196" s="9">
        <v>0</v>
      </c>
      <c r="F196" s="9">
        <v>5</v>
      </c>
      <c r="G196" s="9">
        <f>C196*D196*F196</f>
        <v>12.5</v>
      </c>
      <c r="H196" s="9">
        <f>G196</f>
        <v>12.5</v>
      </c>
    </row>
    <row r="197" spans="1:8" x14ac:dyDescent="0.2">
      <c r="A197" s="3"/>
      <c r="B197" s="16" t="s">
        <v>354</v>
      </c>
      <c r="C197" s="17">
        <f>(H193+H194+H195)-(H196)</f>
        <v>183.5</v>
      </c>
      <c r="D197" s="17" t="s">
        <v>346</v>
      </c>
      <c r="E197" s="9"/>
      <c r="F197" s="9"/>
      <c r="G197" s="9"/>
      <c r="H197" s="9"/>
    </row>
    <row r="198" spans="1:8" x14ac:dyDescent="0.2">
      <c r="A198" s="3"/>
      <c r="B198" s="3" t="s">
        <v>355</v>
      </c>
      <c r="C198" s="9"/>
      <c r="D198" s="9"/>
      <c r="E198" s="9"/>
      <c r="F198" s="9"/>
      <c r="G198" s="9"/>
      <c r="H198" s="9"/>
    </row>
    <row r="199" spans="1:8" x14ac:dyDescent="0.2">
      <c r="A199" s="3"/>
      <c r="B199" s="3" t="s">
        <v>356</v>
      </c>
      <c r="C199" s="9">
        <f>C197/0.44</f>
        <v>417.04545454545456</v>
      </c>
      <c r="D199" s="9"/>
      <c r="E199" s="9"/>
      <c r="F199" s="9"/>
      <c r="G199" s="9"/>
      <c r="H199" s="9"/>
    </row>
    <row r="200" spans="1:8" x14ac:dyDescent="0.2">
      <c r="A200" s="3"/>
      <c r="B200" s="16" t="s">
        <v>356</v>
      </c>
      <c r="C200" s="17">
        <v>418</v>
      </c>
      <c r="D200" s="17" t="s">
        <v>357</v>
      </c>
      <c r="E200" s="9"/>
      <c r="F200" s="9"/>
      <c r="G200" s="9"/>
      <c r="H200" s="9"/>
    </row>
  </sheetData>
  <mergeCells count="2">
    <mergeCell ref="A1:H1"/>
    <mergeCell ref="A4:H4"/>
  </mergeCell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37"/>
  <sheetViews>
    <sheetView topLeftCell="A248" workbookViewId="0">
      <selection activeCell="B262" sqref="B262:H263"/>
    </sheetView>
  </sheetViews>
  <sheetFormatPr defaultColWidth="9.01171875" defaultRowHeight="15" x14ac:dyDescent="0.2"/>
  <cols>
    <col min="1" max="1" width="9.68359375" customWidth="1"/>
    <col min="2" max="2" width="34.70703125" customWidth="1"/>
    <col min="3" max="3" width="12.375" customWidth="1"/>
    <col min="4" max="4" width="14.390625" customWidth="1"/>
    <col min="5" max="5" width="13.046875" customWidth="1"/>
    <col min="6" max="7" width="13.71875" customWidth="1"/>
    <col min="8" max="8" width="16.41015625" customWidth="1"/>
  </cols>
  <sheetData>
    <row r="1" spans="1:11" ht="14.65" customHeight="1" x14ac:dyDescent="0.2">
      <c r="A1" s="282" t="s">
        <v>231</v>
      </c>
      <c r="B1" s="283"/>
      <c r="C1" s="283"/>
      <c r="D1" s="283"/>
      <c r="E1" s="283"/>
      <c r="F1" s="283"/>
      <c r="G1" s="283"/>
      <c r="H1" s="283"/>
      <c r="I1" s="42"/>
      <c r="J1" s="42"/>
      <c r="K1" s="42"/>
    </row>
    <row r="2" spans="1:11" x14ac:dyDescent="0.2">
      <c r="A2" s="284"/>
      <c r="B2" s="285"/>
      <c r="C2" s="285"/>
      <c r="D2" s="285"/>
      <c r="E2" s="285"/>
      <c r="F2" s="285"/>
      <c r="G2" s="285"/>
      <c r="H2" s="285"/>
      <c r="I2" s="42"/>
      <c r="J2" s="42"/>
      <c r="K2" s="42"/>
    </row>
    <row r="3" spans="1:11" x14ac:dyDescent="0.2">
      <c r="A3" s="21" t="s">
        <v>1</v>
      </c>
      <c r="B3" s="21" t="s">
        <v>232</v>
      </c>
      <c r="C3" s="21" t="s">
        <v>233</v>
      </c>
      <c r="D3" s="21" t="s">
        <v>4</v>
      </c>
      <c r="E3" s="21" t="s">
        <v>5</v>
      </c>
      <c r="F3" s="21" t="s">
        <v>6</v>
      </c>
      <c r="G3" s="21" t="s">
        <v>234</v>
      </c>
      <c r="H3" s="21" t="s">
        <v>235</v>
      </c>
    </row>
    <row r="5" spans="1:11" x14ac:dyDescent="0.2">
      <c r="A5" s="310" t="s">
        <v>236</v>
      </c>
      <c r="B5" s="311"/>
      <c r="C5" s="311"/>
      <c r="D5" s="311"/>
      <c r="E5" s="311"/>
      <c r="F5" s="311"/>
      <c r="G5" s="311"/>
      <c r="H5" s="311"/>
    </row>
    <row r="6" spans="1:11" x14ac:dyDescent="0.2">
      <c r="A6" s="22">
        <v>1</v>
      </c>
      <c r="B6" s="23" t="s">
        <v>237</v>
      </c>
    </row>
    <row r="7" spans="1:11" x14ac:dyDescent="0.2">
      <c r="A7" s="24">
        <v>1.1000000000000001</v>
      </c>
      <c r="B7" s="25" t="s">
        <v>238</v>
      </c>
    </row>
    <row r="8" spans="1:11" x14ac:dyDescent="0.2">
      <c r="A8" s="26"/>
      <c r="B8" s="27" t="s">
        <v>239</v>
      </c>
      <c r="C8" s="28">
        <v>1</v>
      </c>
      <c r="D8" s="9">
        <v>88.75</v>
      </c>
      <c r="E8" s="9" t="s">
        <v>240</v>
      </c>
      <c r="F8" s="9">
        <v>8</v>
      </c>
      <c r="G8" s="9">
        <f>F8*D8</f>
        <v>710</v>
      </c>
      <c r="H8" s="9">
        <f>F8*D8*C8</f>
        <v>710</v>
      </c>
    </row>
    <row r="9" spans="1:11" x14ac:dyDescent="0.2">
      <c r="A9" s="26"/>
      <c r="B9" s="29" t="s">
        <v>241</v>
      </c>
      <c r="C9" s="9">
        <v>1</v>
      </c>
      <c r="D9" s="9">
        <v>88.75</v>
      </c>
      <c r="E9" s="9" t="s">
        <v>240</v>
      </c>
      <c r="F9" s="9">
        <v>8</v>
      </c>
      <c r="G9" s="9">
        <f>F9*D9</f>
        <v>710</v>
      </c>
      <c r="H9" s="9">
        <f>F9*D9*C9</f>
        <v>710</v>
      </c>
    </row>
    <row r="10" spans="1:11" x14ac:dyDescent="0.2">
      <c r="A10" s="24">
        <v>1.2</v>
      </c>
      <c r="B10" s="25" t="s">
        <v>242</v>
      </c>
      <c r="E10" s="30"/>
      <c r="G10" s="30"/>
      <c r="H10" s="30"/>
    </row>
    <row r="11" spans="1:11" x14ac:dyDescent="0.2">
      <c r="A11" s="26"/>
      <c r="B11" s="27" t="s">
        <v>243</v>
      </c>
      <c r="C11" s="9">
        <v>1</v>
      </c>
      <c r="D11" s="9">
        <v>50</v>
      </c>
      <c r="E11" s="9" t="s">
        <v>240</v>
      </c>
      <c r="F11" s="9">
        <v>8</v>
      </c>
      <c r="G11" s="9">
        <f>F11*D11</f>
        <v>400</v>
      </c>
      <c r="H11" s="9">
        <f>F11*D11*C11</f>
        <v>400</v>
      </c>
    </row>
    <row r="12" spans="1:11" x14ac:dyDescent="0.2">
      <c r="A12" s="26"/>
      <c r="B12" s="3" t="s">
        <v>244</v>
      </c>
      <c r="C12" s="9">
        <v>1</v>
      </c>
      <c r="D12" s="9">
        <v>50</v>
      </c>
      <c r="E12" s="9" t="s">
        <v>240</v>
      </c>
      <c r="F12" s="9">
        <v>8</v>
      </c>
      <c r="G12" s="9">
        <f>F12*D12</f>
        <v>400</v>
      </c>
      <c r="H12" s="9">
        <f>F12*D12*C12</f>
        <v>400</v>
      </c>
    </row>
    <row r="13" spans="1:11" x14ac:dyDescent="0.2">
      <c r="A13" s="26"/>
      <c r="G13" s="31" t="s">
        <v>126</v>
      </c>
      <c r="H13" s="32">
        <f>H9+H8+H11+H12</f>
        <v>2220</v>
      </c>
    </row>
    <row r="14" spans="1:11" x14ac:dyDescent="0.2">
      <c r="A14" s="24">
        <v>1.3</v>
      </c>
      <c r="B14" s="25" t="s">
        <v>245</v>
      </c>
    </row>
    <row r="15" spans="1:11" x14ac:dyDescent="0.2">
      <c r="B15" s="33" t="s">
        <v>246</v>
      </c>
      <c r="C15" s="9">
        <v>1</v>
      </c>
      <c r="D15" s="9">
        <v>13.25</v>
      </c>
      <c r="E15" s="9" t="s">
        <v>240</v>
      </c>
      <c r="F15" s="9">
        <v>8</v>
      </c>
      <c r="G15" s="9">
        <f>F15*D15</f>
        <v>106</v>
      </c>
      <c r="H15" s="9">
        <f>F15*D15*C15</f>
        <v>106</v>
      </c>
    </row>
    <row r="16" spans="1:11" x14ac:dyDescent="0.2">
      <c r="B16" s="3" t="s">
        <v>247</v>
      </c>
      <c r="C16" s="9">
        <v>1</v>
      </c>
      <c r="D16" s="9">
        <v>4.25</v>
      </c>
      <c r="E16" s="9" t="s">
        <v>240</v>
      </c>
      <c r="F16" s="9">
        <v>8</v>
      </c>
      <c r="G16" s="9">
        <f>F16*D16</f>
        <v>34</v>
      </c>
      <c r="H16" s="9">
        <f>F16*D16*C16</f>
        <v>34</v>
      </c>
    </row>
    <row r="17" spans="1:8" x14ac:dyDescent="0.2">
      <c r="C17" s="30"/>
      <c r="D17" s="30"/>
      <c r="E17" s="30"/>
      <c r="F17" s="30"/>
      <c r="G17" s="34" t="s">
        <v>126</v>
      </c>
      <c r="H17" s="32">
        <f>H15+H16</f>
        <v>140</v>
      </c>
    </row>
    <row r="18" spans="1:8" x14ac:dyDescent="0.2">
      <c r="B18" s="312" t="s">
        <v>248</v>
      </c>
      <c r="C18" s="313"/>
      <c r="D18" s="313"/>
      <c r="E18" s="313"/>
      <c r="F18" s="313"/>
      <c r="G18" s="313"/>
    </row>
    <row r="20" spans="1:8" ht="15.4" customHeight="1" x14ac:dyDescent="0.25">
      <c r="A20" s="35"/>
      <c r="B20" s="36"/>
      <c r="C20" s="314" t="s">
        <v>203</v>
      </c>
      <c r="D20" s="314"/>
      <c r="E20" s="314"/>
      <c r="F20" s="314"/>
      <c r="G20" s="36"/>
      <c r="H20" s="36"/>
    </row>
    <row r="21" spans="1:8" x14ac:dyDescent="0.2">
      <c r="A21" s="22">
        <v>2</v>
      </c>
      <c r="B21" s="23" t="s">
        <v>249</v>
      </c>
    </row>
    <row r="22" spans="1:8" x14ac:dyDescent="0.2">
      <c r="A22" s="37">
        <v>2.1</v>
      </c>
      <c r="B22" s="38" t="s">
        <v>250</v>
      </c>
    </row>
    <row r="23" spans="1:8" x14ac:dyDescent="0.2">
      <c r="B23" s="27" t="s">
        <v>186</v>
      </c>
      <c r="C23" s="9">
        <v>2</v>
      </c>
      <c r="D23" s="9">
        <v>68.5</v>
      </c>
      <c r="E23" s="9" t="s">
        <v>240</v>
      </c>
      <c r="F23" s="9">
        <v>10</v>
      </c>
      <c r="G23" s="9">
        <f>F23*D23</f>
        <v>685</v>
      </c>
      <c r="H23" s="9">
        <f>F23*D23*C23</f>
        <v>1370</v>
      </c>
    </row>
    <row r="24" spans="1:8" x14ac:dyDescent="0.2">
      <c r="B24" s="3" t="s">
        <v>192</v>
      </c>
      <c r="C24" s="9">
        <v>2</v>
      </c>
      <c r="D24" s="9">
        <v>36</v>
      </c>
      <c r="E24" s="9" t="s">
        <v>240</v>
      </c>
      <c r="F24" s="9">
        <v>10</v>
      </c>
      <c r="G24" s="9">
        <f>F24*D24</f>
        <v>360</v>
      </c>
      <c r="H24" s="9">
        <f>F24*D24*C24</f>
        <v>720</v>
      </c>
    </row>
    <row r="25" spans="1:8" x14ac:dyDescent="0.2">
      <c r="C25" s="30"/>
      <c r="D25" s="30"/>
      <c r="E25" s="30"/>
      <c r="F25" s="30"/>
      <c r="G25" s="39" t="s">
        <v>126</v>
      </c>
      <c r="H25" s="39">
        <f>H23+H24</f>
        <v>2090</v>
      </c>
    </row>
    <row r="26" spans="1:8" x14ac:dyDescent="0.2">
      <c r="A26" s="37">
        <v>2.2000000000000002</v>
      </c>
      <c r="B26" s="38" t="s">
        <v>251</v>
      </c>
    </row>
    <row r="27" spans="1:8" x14ac:dyDescent="0.2">
      <c r="A27" s="39" t="s">
        <v>252</v>
      </c>
      <c r="B27" s="40" t="s">
        <v>253</v>
      </c>
    </row>
    <row r="28" spans="1:8" x14ac:dyDescent="0.2">
      <c r="B28" s="3" t="s">
        <v>254</v>
      </c>
      <c r="C28" s="9">
        <v>2</v>
      </c>
      <c r="D28" s="9">
        <v>6</v>
      </c>
      <c r="E28" s="9">
        <v>2</v>
      </c>
      <c r="F28" s="9" t="s">
        <v>240</v>
      </c>
      <c r="G28" s="9">
        <f t="shared" ref="G28:G34" si="0">E28*D28</f>
        <v>12</v>
      </c>
      <c r="H28" s="9">
        <f t="shared" ref="H28:H34" si="1">E28*D28*C28</f>
        <v>24</v>
      </c>
    </row>
    <row r="29" spans="1:8" x14ac:dyDescent="0.2">
      <c r="B29" s="3" t="s">
        <v>255</v>
      </c>
      <c r="C29" s="9">
        <v>2</v>
      </c>
      <c r="D29" s="9">
        <v>6</v>
      </c>
      <c r="E29" s="9">
        <v>2</v>
      </c>
      <c r="F29" s="9" t="s">
        <v>240</v>
      </c>
      <c r="G29" s="9">
        <f t="shared" si="0"/>
        <v>12</v>
      </c>
      <c r="H29" s="9">
        <f t="shared" si="1"/>
        <v>24</v>
      </c>
    </row>
    <row r="30" spans="1:8" x14ac:dyDescent="0.2">
      <c r="B30" s="3" t="s">
        <v>256</v>
      </c>
      <c r="C30" s="9">
        <v>2</v>
      </c>
      <c r="D30" s="9">
        <v>5.6669999999999998</v>
      </c>
      <c r="E30" s="9">
        <v>2</v>
      </c>
      <c r="F30" s="9" t="s">
        <v>240</v>
      </c>
      <c r="G30" s="9">
        <f t="shared" si="0"/>
        <v>11.334</v>
      </c>
      <c r="H30" s="9">
        <f t="shared" si="1"/>
        <v>22.667999999999999</v>
      </c>
    </row>
    <row r="31" spans="1:8" x14ac:dyDescent="0.2">
      <c r="B31" s="3" t="s">
        <v>257</v>
      </c>
      <c r="C31" s="9">
        <v>2</v>
      </c>
      <c r="D31" s="9">
        <v>4.5</v>
      </c>
      <c r="E31" s="9">
        <v>2</v>
      </c>
      <c r="F31" s="9" t="s">
        <v>240</v>
      </c>
      <c r="G31" s="9">
        <f t="shared" si="0"/>
        <v>9</v>
      </c>
      <c r="H31" s="9">
        <f t="shared" si="1"/>
        <v>18</v>
      </c>
    </row>
    <row r="32" spans="1:8" x14ac:dyDescent="0.2">
      <c r="B32" s="3" t="s">
        <v>258</v>
      </c>
      <c r="C32" s="9">
        <v>2</v>
      </c>
      <c r="D32" s="9">
        <v>6</v>
      </c>
      <c r="E32" s="9">
        <v>2</v>
      </c>
      <c r="F32" s="9" t="s">
        <v>240</v>
      </c>
      <c r="G32" s="9">
        <f t="shared" si="0"/>
        <v>12</v>
      </c>
      <c r="H32" s="9">
        <f t="shared" si="1"/>
        <v>24</v>
      </c>
    </row>
    <row r="33" spans="1:8" x14ac:dyDescent="0.2">
      <c r="B33" s="3" t="s">
        <v>259</v>
      </c>
      <c r="C33" s="9">
        <v>2</v>
      </c>
      <c r="D33" s="9">
        <v>10</v>
      </c>
      <c r="E33" s="9">
        <v>2</v>
      </c>
      <c r="F33" s="9" t="s">
        <v>240</v>
      </c>
      <c r="G33" s="9">
        <f t="shared" si="0"/>
        <v>20</v>
      </c>
      <c r="H33" s="9">
        <f t="shared" si="1"/>
        <v>40</v>
      </c>
    </row>
    <row r="34" spans="1:8" x14ac:dyDescent="0.2">
      <c r="B34" s="3" t="s">
        <v>260</v>
      </c>
      <c r="C34" s="9">
        <v>2</v>
      </c>
      <c r="D34" s="9">
        <v>4</v>
      </c>
      <c r="E34" s="9">
        <v>2</v>
      </c>
      <c r="F34" s="9" t="s">
        <v>240</v>
      </c>
      <c r="G34" s="9">
        <f t="shared" si="0"/>
        <v>8</v>
      </c>
      <c r="H34" s="9">
        <f t="shared" si="1"/>
        <v>16</v>
      </c>
    </row>
    <row r="35" spans="1:8" x14ac:dyDescent="0.2">
      <c r="B35" s="3" t="s">
        <v>261</v>
      </c>
      <c r="C35" s="9">
        <v>2</v>
      </c>
      <c r="D35" s="9">
        <v>2</v>
      </c>
      <c r="E35" s="9" t="s">
        <v>240</v>
      </c>
      <c r="F35" s="9">
        <v>0.5</v>
      </c>
      <c r="G35" s="9">
        <f t="shared" ref="G35:G41" si="2">F35*D35</f>
        <v>1</v>
      </c>
      <c r="H35" s="9">
        <f t="shared" ref="H35:H41" si="3">F35*D35*C35</f>
        <v>2</v>
      </c>
    </row>
    <row r="36" spans="1:8" x14ac:dyDescent="0.2">
      <c r="B36" s="3" t="s">
        <v>262</v>
      </c>
      <c r="C36" s="9">
        <v>2</v>
      </c>
      <c r="D36" s="9">
        <v>2</v>
      </c>
      <c r="E36" s="9" t="s">
        <v>240</v>
      </c>
      <c r="F36" s="9">
        <v>0.5</v>
      </c>
      <c r="G36" s="9">
        <f t="shared" si="2"/>
        <v>1</v>
      </c>
      <c r="H36" s="9">
        <f t="shared" si="3"/>
        <v>2</v>
      </c>
    </row>
    <row r="37" spans="1:8" x14ac:dyDescent="0.2">
      <c r="B37" s="3" t="s">
        <v>263</v>
      </c>
      <c r="C37" s="9">
        <v>2</v>
      </c>
      <c r="D37" s="9">
        <v>2</v>
      </c>
      <c r="E37" s="9" t="s">
        <v>240</v>
      </c>
      <c r="F37" s="9">
        <v>0.5</v>
      </c>
      <c r="G37" s="9">
        <f t="shared" si="2"/>
        <v>1</v>
      </c>
      <c r="H37" s="9">
        <f t="shared" si="3"/>
        <v>2</v>
      </c>
    </row>
    <row r="38" spans="1:8" x14ac:dyDescent="0.2">
      <c r="B38" s="3" t="s">
        <v>264</v>
      </c>
      <c r="C38" s="9">
        <v>2</v>
      </c>
      <c r="D38" s="9">
        <v>2</v>
      </c>
      <c r="E38" s="9" t="s">
        <v>240</v>
      </c>
      <c r="F38" s="9">
        <v>0.5</v>
      </c>
      <c r="G38" s="9">
        <f t="shared" si="2"/>
        <v>1</v>
      </c>
      <c r="H38" s="9">
        <f t="shared" si="3"/>
        <v>2</v>
      </c>
    </row>
    <row r="39" spans="1:8" x14ac:dyDescent="0.2">
      <c r="B39" s="3" t="s">
        <v>265</v>
      </c>
      <c r="C39" s="9">
        <v>2</v>
      </c>
      <c r="D39" s="9">
        <v>2</v>
      </c>
      <c r="E39" s="9" t="s">
        <v>240</v>
      </c>
      <c r="F39" s="9">
        <v>0.5</v>
      </c>
      <c r="G39" s="9">
        <f t="shared" si="2"/>
        <v>1</v>
      </c>
      <c r="H39" s="9">
        <f t="shared" si="3"/>
        <v>2</v>
      </c>
    </row>
    <row r="40" spans="1:8" x14ac:dyDescent="0.2">
      <c r="B40" s="3" t="s">
        <v>266</v>
      </c>
      <c r="C40" s="9">
        <v>2</v>
      </c>
      <c r="D40" s="9">
        <v>2</v>
      </c>
      <c r="E40" s="9" t="s">
        <v>240</v>
      </c>
      <c r="F40" s="9">
        <v>0.5</v>
      </c>
      <c r="G40" s="9">
        <f t="shared" si="2"/>
        <v>1</v>
      </c>
      <c r="H40" s="9">
        <f t="shared" si="3"/>
        <v>2</v>
      </c>
    </row>
    <row r="41" spans="1:8" x14ac:dyDescent="0.2">
      <c r="B41" s="3" t="s">
        <v>267</v>
      </c>
      <c r="C41" s="9">
        <v>2</v>
      </c>
      <c r="D41" s="9">
        <v>2</v>
      </c>
      <c r="E41" s="9" t="s">
        <v>240</v>
      </c>
      <c r="F41" s="9">
        <v>0.5</v>
      </c>
      <c r="G41" s="9">
        <f t="shared" si="2"/>
        <v>1</v>
      </c>
      <c r="H41" s="9">
        <f t="shared" si="3"/>
        <v>2</v>
      </c>
    </row>
    <row r="42" spans="1:8" x14ac:dyDescent="0.2">
      <c r="C42" s="30"/>
      <c r="D42" s="30"/>
      <c r="E42" s="30"/>
      <c r="F42" s="30"/>
      <c r="G42" s="39" t="s">
        <v>126</v>
      </c>
      <c r="H42" s="39">
        <f>H28+H29+H30+H31+H32+H33+H34+H35+H36+H37+H38+H39+H40+H41</f>
        <v>182.66800000000001</v>
      </c>
    </row>
    <row r="43" spans="1:8" x14ac:dyDescent="0.2">
      <c r="A43" s="39" t="s">
        <v>268</v>
      </c>
      <c r="B43" s="41" t="s">
        <v>269</v>
      </c>
    </row>
    <row r="44" spans="1:8" x14ac:dyDescent="0.2">
      <c r="B44" s="3" t="s">
        <v>254</v>
      </c>
      <c r="C44" s="9">
        <v>2</v>
      </c>
      <c r="D44" s="9">
        <v>12</v>
      </c>
      <c r="E44" s="9">
        <v>2</v>
      </c>
      <c r="F44" s="9" t="s">
        <v>240</v>
      </c>
      <c r="G44" s="9">
        <f t="shared" ref="G44:G49" si="4">E44*D44</f>
        <v>24</v>
      </c>
      <c r="H44" s="9">
        <f t="shared" ref="H44:H49" si="5">E44*D44*C44</f>
        <v>48</v>
      </c>
    </row>
    <row r="45" spans="1:8" x14ac:dyDescent="0.2">
      <c r="B45" s="3" t="s">
        <v>256</v>
      </c>
      <c r="C45" s="9">
        <v>2</v>
      </c>
      <c r="D45" s="9">
        <v>8.08</v>
      </c>
      <c r="E45" s="9">
        <v>2</v>
      </c>
      <c r="F45" s="9" t="s">
        <v>240</v>
      </c>
      <c r="G45" s="9">
        <f t="shared" si="4"/>
        <v>16.16</v>
      </c>
      <c r="H45" s="9">
        <f t="shared" si="5"/>
        <v>32.32</v>
      </c>
    </row>
    <row r="46" spans="1:8" x14ac:dyDescent="0.2">
      <c r="B46" s="3" t="s">
        <v>259</v>
      </c>
      <c r="C46" s="9">
        <v>2</v>
      </c>
      <c r="D46" s="9">
        <v>6.8330000000000002</v>
      </c>
      <c r="E46" s="9">
        <v>2</v>
      </c>
      <c r="F46" s="9" t="s">
        <v>240</v>
      </c>
      <c r="G46" s="9">
        <f t="shared" si="4"/>
        <v>13.666</v>
      </c>
      <c r="H46" s="9">
        <f t="shared" si="5"/>
        <v>27.332000000000001</v>
      </c>
    </row>
    <row r="47" spans="1:8" x14ac:dyDescent="0.2">
      <c r="B47" s="3" t="s">
        <v>270</v>
      </c>
      <c r="C47" s="9">
        <v>2</v>
      </c>
      <c r="D47" s="9">
        <v>10</v>
      </c>
      <c r="E47" s="9">
        <v>2</v>
      </c>
      <c r="F47" s="9" t="s">
        <v>240</v>
      </c>
      <c r="G47" s="9">
        <f t="shared" si="4"/>
        <v>20</v>
      </c>
      <c r="H47" s="9">
        <f t="shared" si="5"/>
        <v>40</v>
      </c>
    </row>
    <row r="48" spans="1:8" x14ac:dyDescent="0.2">
      <c r="B48" s="3" t="s">
        <v>260</v>
      </c>
      <c r="C48" s="9">
        <v>2</v>
      </c>
      <c r="D48" s="9">
        <v>4</v>
      </c>
      <c r="E48" s="9">
        <v>2</v>
      </c>
      <c r="F48" s="9" t="s">
        <v>240</v>
      </c>
      <c r="G48" s="9">
        <f t="shared" si="4"/>
        <v>8</v>
      </c>
      <c r="H48" s="9">
        <f t="shared" si="5"/>
        <v>16</v>
      </c>
    </row>
    <row r="49" spans="1:8" x14ac:dyDescent="0.2">
      <c r="B49" s="3" t="s">
        <v>260</v>
      </c>
      <c r="C49" s="9">
        <v>2</v>
      </c>
      <c r="D49" s="9">
        <v>4</v>
      </c>
      <c r="E49" s="9">
        <v>2</v>
      </c>
      <c r="F49" s="9" t="s">
        <v>240</v>
      </c>
      <c r="G49" s="9">
        <f t="shared" si="4"/>
        <v>8</v>
      </c>
      <c r="H49" s="9">
        <f t="shared" si="5"/>
        <v>16</v>
      </c>
    </row>
    <row r="50" spans="1:8" x14ac:dyDescent="0.2">
      <c r="B50" s="3" t="s">
        <v>261</v>
      </c>
      <c r="C50" s="9">
        <v>2</v>
      </c>
      <c r="D50" s="9">
        <v>2</v>
      </c>
      <c r="E50" s="9" t="s">
        <v>240</v>
      </c>
      <c r="F50" s="9">
        <v>0.5</v>
      </c>
      <c r="G50" s="9">
        <f t="shared" ref="G50:G55" si="6">F50*D50</f>
        <v>1</v>
      </c>
      <c r="H50" s="9">
        <f t="shared" ref="H50:H55" si="7">F50*D50*C50</f>
        <v>2</v>
      </c>
    </row>
    <row r="51" spans="1:8" x14ac:dyDescent="0.2">
      <c r="B51" s="3" t="s">
        <v>263</v>
      </c>
      <c r="C51" s="9">
        <v>2</v>
      </c>
      <c r="D51" s="9">
        <v>2</v>
      </c>
      <c r="E51" s="9" t="s">
        <v>240</v>
      </c>
      <c r="F51" s="9">
        <v>0.5</v>
      </c>
      <c r="G51" s="9">
        <f t="shared" si="6"/>
        <v>1</v>
      </c>
      <c r="H51" s="9">
        <f t="shared" si="7"/>
        <v>2</v>
      </c>
    </row>
    <row r="52" spans="1:8" x14ac:dyDescent="0.2">
      <c r="B52" s="3" t="s">
        <v>266</v>
      </c>
      <c r="C52" s="9">
        <v>2</v>
      </c>
      <c r="D52" s="9">
        <v>2</v>
      </c>
      <c r="E52" s="9" t="s">
        <v>240</v>
      </c>
      <c r="F52" s="9">
        <v>0.5</v>
      </c>
      <c r="G52" s="9">
        <f t="shared" si="6"/>
        <v>1</v>
      </c>
      <c r="H52" s="9">
        <f t="shared" si="7"/>
        <v>2</v>
      </c>
    </row>
    <row r="53" spans="1:8" x14ac:dyDescent="0.2">
      <c r="B53" s="3" t="s">
        <v>271</v>
      </c>
      <c r="C53" s="9">
        <v>2</v>
      </c>
      <c r="D53" s="9">
        <v>2</v>
      </c>
      <c r="E53" s="9" t="s">
        <v>240</v>
      </c>
      <c r="F53" s="9">
        <v>0.5</v>
      </c>
      <c r="G53" s="9">
        <f t="shared" si="6"/>
        <v>1</v>
      </c>
      <c r="H53" s="9">
        <f t="shared" si="7"/>
        <v>2</v>
      </c>
    </row>
    <row r="54" spans="1:8" x14ac:dyDescent="0.2">
      <c r="B54" s="3" t="s">
        <v>267</v>
      </c>
      <c r="C54" s="9">
        <v>2</v>
      </c>
      <c r="D54" s="9">
        <v>2</v>
      </c>
      <c r="E54" s="9" t="s">
        <v>240</v>
      </c>
      <c r="F54" s="9">
        <v>0.5</v>
      </c>
      <c r="G54" s="9">
        <f t="shared" si="6"/>
        <v>1</v>
      </c>
      <c r="H54" s="9">
        <f t="shared" si="7"/>
        <v>2</v>
      </c>
    </row>
    <row r="55" spans="1:8" x14ac:dyDescent="0.2">
      <c r="B55" s="3" t="s">
        <v>267</v>
      </c>
      <c r="C55" s="9">
        <v>2</v>
      </c>
      <c r="D55" s="9">
        <v>2</v>
      </c>
      <c r="E55" s="9" t="s">
        <v>240</v>
      </c>
      <c r="F55" s="9">
        <v>0.5</v>
      </c>
      <c r="G55" s="9">
        <f t="shared" si="6"/>
        <v>1</v>
      </c>
      <c r="H55" s="9">
        <f t="shared" si="7"/>
        <v>2</v>
      </c>
    </row>
    <row r="56" spans="1:8" x14ac:dyDescent="0.2">
      <c r="C56" s="30"/>
      <c r="D56" s="30"/>
      <c r="E56" s="30"/>
      <c r="F56" s="30"/>
      <c r="G56" s="39" t="s">
        <v>126</v>
      </c>
      <c r="H56" s="39">
        <f>H44+H45+H46+H47+H48+H49+H50+H51+H52+H53+H54+H55</f>
        <v>191.65199999999999</v>
      </c>
    </row>
    <row r="57" spans="1:8" x14ac:dyDescent="0.2">
      <c r="A57" s="39" t="s">
        <v>272</v>
      </c>
      <c r="B57" s="41" t="s">
        <v>273</v>
      </c>
    </row>
    <row r="58" spans="1:8" x14ac:dyDescent="0.2">
      <c r="B58" s="3" t="s">
        <v>254</v>
      </c>
      <c r="C58" s="9">
        <v>2</v>
      </c>
      <c r="D58" s="9">
        <v>12.5</v>
      </c>
      <c r="E58" s="9">
        <v>2</v>
      </c>
      <c r="F58" s="9" t="s">
        <v>240</v>
      </c>
      <c r="G58" s="9">
        <f>E58*D58</f>
        <v>25</v>
      </c>
      <c r="H58" s="9">
        <f>E58*D58*C58</f>
        <v>50</v>
      </c>
    </row>
    <row r="59" spans="1:8" x14ac:dyDescent="0.2">
      <c r="B59" s="3" t="s">
        <v>260</v>
      </c>
      <c r="C59" s="9">
        <v>2</v>
      </c>
      <c r="D59" s="9">
        <v>4</v>
      </c>
      <c r="E59" s="9">
        <v>2</v>
      </c>
      <c r="F59" s="9" t="s">
        <v>240</v>
      </c>
      <c r="G59" s="9">
        <f>E59*D59</f>
        <v>8</v>
      </c>
      <c r="H59" s="9">
        <f>E59*D59*C59</f>
        <v>16</v>
      </c>
    </row>
    <row r="60" spans="1:8" x14ac:dyDescent="0.2">
      <c r="B60" s="3" t="s">
        <v>255</v>
      </c>
      <c r="C60" s="9">
        <v>2</v>
      </c>
      <c r="D60" s="9">
        <v>6.5</v>
      </c>
      <c r="E60" s="9">
        <v>2</v>
      </c>
      <c r="F60" s="9" t="s">
        <v>240</v>
      </c>
      <c r="G60" s="9">
        <f>E60*D60</f>
        <v>13</v>
      </c>
      <c r="H60" s="9">
        <f>E60*D60*C60</f>
        <v>26</v>
      </c>
    </row>
    <row r="61" spans="1:8" x14ac:dyDescent="0.2">
      <c r="B61" s="3" t="s">
        <v>256</v>
      </c>
      <c r="C61" s="9">
        <v>2</v>
      </c>
      <c r="D61" s="9">
        <v>6</v>
      </c>
      <c r="E61" s="9">
        <v>2</v>
      </c>
      <c r="F61" s="9" t="s">
        <v>240</v>
      </c>
      <c r="G61" s="9">
        <f>E61*D61</f>
        <v>12</v>
      </c>
      <c r="H61" s="9">
        <f>E61*D61*C61</f>
        <v>24</v>
      </c>
    </row>
    <row r="62" spans="1:8" x14ac:dyDescent="0.2">
      <c r="B62" s="3" t="s">
        <v>261</v>
      </c>
      <c r="C62" s="9">
        <v>2</v>
      </c>
      <c r="D62" s="9">
        <v>2</v>
      </c>
      <c r="E62" s="9" t="s">
        <v>240</v>
      </c>
      <c r="F62" s="9">
        <v>0.5</v>
      </c>
      <c r="G62" s="9">
        <f>F62*D62</f>
        <v>1</v>
      </c>
      <c r="H62" s="9">
        <f>F62*D62*C62</f>
        <v>2</v>
      </c>
    </row>
    <row r="63" spans="1:8" x14ac:dyDescent="0.2">
      <c r="B63" s="3" t="s">
        <v>267</v>
      </c>
      <c r="C63" s="9">
        <v>2</v>
      </c>
      <c r="D63" s="9">
        <v>2</v>
      </c>
      <c r="E63" s="9" t="s">
        <v>240</v>
      </c>
      <c r="F63" s="9">
        <v>0.5</v>
      </c>
      <c r="G63" s="9">
        <f>F63*D63</f>
        <v>1</v>
      </c>
      <c r="H63" s="9">
        <f>F63*D63*C63</f>
        <v>2</v>
      </c>
    </row>
    <row r="64" spans="1:8" x14ac:dyDescent="0.2">
      <c r="B64" s="3" t="s">
        <v>262</v>
      </c>
      <c r="C64" s="9">
        <v>2</v>
      </c>
      <c r="D64" s="9">
        <v>2</v>
      </c>
      <c r="E64" s="9" t="s">
        <v>240</v>
      </c>
      <c r="F64" s="9">
        <v>0.5</v>
      </c>
      <c r="G64" s="9">
        <f>F64*D64</f>
        <v>1</v>
      </c>
      <c r="H64" s="9">
        <f>F64*D64*C64</f>
        <v>2</v>
      </c>
    </row>
    <row r="65" spans="1:8" x14ac:dyDescent="0.2">
      <c r="B65" s="3" t="s">
        <v>263</v>
      </c>
      <c r="C65" s="9">
        <v>2</v>
      </c>
      <c r="D65" s="9">
        <v>2</v>
      </c>
      <c r="E65" s="9" t="s">
        <v>240</v>
      </c>
      <c r="F65" s="9">
        <v>0.5</v>
      </c>
      <c r="G65" s="9">
        <f>F65*D65</f>
        <v>1</v>
      </c>
      <c r="H65" s="9">
        <f>F65*D65*C65</f>
        <v>2</v>
      </c>
    </row>
    <row r="66" spans="1:8" x14ac:dyDescent="0.2">
      <c r="C66" s="30"/>
      <c r="D66" s="30"/>
      <c r="E66" s="30"/>
      <c r="F66" s="30"/>
      <c r="G66" s="39" t="s">
        <v>126</v>
      </c>
      <c r="H66" s="39">
        <f>H58+H59+H60+H61+H62+H63+H64+H65</f>
        <v>124</v>
      </c>
    </row>
    <row r="67" spans="1:8" x14ac:dyDescent="0.2">
      <c r="A67" s="39" t="s">
        <v>274</v>
      </c>
      <c r="B67" s="41" t="s">
        <v>275</v>
      </c>
    </row>
    <row r="68" spans="1:8" x14ac:dyDescent="0.2">
      <c r="B68" s="3" t="s">
        <v>254</v>
      </c>
      <c r="C68" s="9">
        <v>2</v>
      </c>
      <c r="D68" s="9">
        <v>10</v>
      </c>
      <c r="E68" s="9">
        <v>2</v>
      </c>
      <c r="F68" s="9" t="s">
        <v>240</v>
      </c>
      <c r="G68" s="9">
        <f>E68*D68</f>
        <v>20</v>
      </c>
      <c r="H68" s="9">
        <f>E68*D68*C68</f>
        <v>40</v>
      </c>
    </row>
    <row r="69" spans="1:8" x14ac:dyDescent="0.2">
      <c r="B69" s="3" t="s">
        <v>260</v>
      </c>
      <c r="C69" s="9">
        <v>2</v>
      </c>
      <c r="D69" s="9">
        <v>4</v>
      </c>
      <c r="E69" s="9">
        <v>2</v>
      </c>
      <c r="F69" s="9" t="s">
        <v>240</v>
      </c>
      <c r="G69" s="9">
        <f>E69*D69</f>
        <v>8</v>
      </c>
      <c r="H69" s="9">
        <f>E69*D69*C69</f>
        <v>16</v>
      </c>
    </row>
    <row r="70" spans="1:8" x14ac:dyDescent="0.2">
      <c r="B70" s="3" t="s">
        <v>261</v>
      </c>
      <c r="C70" s="9">
        <v>2</v>
      </c>
      <c r="D70" s="9">
        <v>2</v>
      </c>
      <c r="E70" s="9" t="s">
        <v>240</v>
      </c>
      <c r="F70" s="9">
        <v>0.5</v>
      </c>
      <c r="G70" s="9">
        <f>F70*D70</f>
        <v>1</v>
      </c>
      <c r="H70" s="9">
        <f>F70*D70*C70</f>
        <v>2</v>
      </c>
    </row>
    <row r="71" spans="1:8" x14ac:dyDescent="0.2">
      <c r="B71" s="3" t="s">
        <v>267</v>
      </c>
      <c r="C71" s="9">
        <v>2</v>
      </c>
      <c r="D71" s="9">
        <v>2</v>
      </c>
      <c r="E71" s="9" t="s">
        <v>240</v>
      </c>
      <c r="F71" s="9">
        <v>0.5</v>
      </c>
      <c r="G71" s="9">
        <f>F71*D71</f>
        <v>1</v>
      </c>
      <c r="H71" s="9">
        <f>F71*D71*C71</f>
        <v>2</v>
      </c>
    </row>
    <row r="72" spans="1:8" x14ac:dyDescent="0.2">
      <c r="C72" s="30"/>
      <c r="D72" s="30"/>
      <c r="E72" s="30"/>
      <c r="F72" s="30"/>
      <c r="G72" s="39" t="s">
        <v>126</v>
      </c>
      <c r="H72" s="39">
        <f>H68+H69+H70+H71</f>
        <v>60</v>
      </c>
    </row>
    <row r="74" spans="1:8" x14ac:dyDescent="0.2">
      <c r="B74" s="307" t="s">
        <v>276</v>
      </c>
      <c r="C74" s="308"/>
      <c r="D74" s="308"/>
      <c r="E74" s="308"/>
      <c r="F74" s="308"/>
      <c r="G74" s="308"/>
      <c r="H74" s="308"/>
    </row>
    <row r="76" spans="1:8" x14ac:dyDescent="0.2">
      <c r="A76" s="22">
        <v>2.2999999999999998</v>
      </c>
      <c r="B76" s="43" t="s">
        <v>277</v>
      </c>
    </row>
    <row r="77" spans="1:8" x14ac:dyDescent="0.2">
      <c r="A77" s="44" t="s">
        <v>278</v>
      </c>
      <c r="B77" s="45" t="s">
        <v>279</v>
      </c>
    </row>
    <row r="78" spans="1:8" x14ac:dyDescent="0.2">
      <c r="B78" s="9" t="s">
        <v>210</v>
      </c>
      <c r="C78" s="9">
        <v>1</v>
      </c>
      <c r="D78" s="9">
        <v>4</v>
      </c>
      <c r="E78" s="9" t="s">
        <v>240</v>
      </c>
      <c r="F78" s="9">
        <v>4</v>
      </c>
      <c r="G78" s="9">
        <f>D78*F78</f>
        <v>16</v>
      </c>
      <c r="H78" s="9">
        <f t="shared" ref="H78:H84" si="8">F78*D78*C78</f>
        <v>16</v>
      </c>
    </row>
    <row r="79" spans="1:8" x14ac:dyDescent="0.2">
      <c r="B79" s="9" t="s">
        <v>205</v>
      </c>
      <c r="C79" s="9">
        <v>1</v>
      </c>
      <c r="D79" s="9">
        <v>4</v>
      </c>
      <c r="E79" s="9" t="s">
        <v>240</v>
      </c>
      <c r="F79" s="9">
        <v>7</v>
      </c>
      <c r="G79" s="9">
        <f t="shared" ref="G79:G84" si="9">F79*D79</f>
        <v>28</v>
      </c>
      <c r="H79" s="9">
        <f t="shared" si="8"/>
        <v>28</v>
      </c>
    </row>
    <row r="80" spans="1:8" x14ac:dyDescent="0.2">
      <c r="B80" s="9" t="s">
        <v>211</v>
      </c>
      <c r="C80" s="9">
        <v>1</v>
      </c>
      <c r="D80" s="9">
        <v>3.6669999999999998</v>
      </c>
      <c r="E80" s="9" t="s">
        <v>240</v>
      </c>
      <c r="F80" s="9">
        <v>4</v>
      </c>
      <c r="G80" s="9">
        <f t="shared" si="9"/>
        <v>14.667999999999999</v>
      </c>
      <c r="H80" s="9">
        <f t="shared" si="8"/>
        <v>14.667999999999999</v>
      </c>
    </row>
    <row r="81" spans="1:8" x14ac:dyDescent="0.2">
      <c r="B81" s="9" t="s">
        <v>206</v>
      </c>
      <c r="C81" s="9">
        <v>1</v>
      </c>
      <c r="D81" s="9">
        <v>2.5</v>
      </c>
      <c r="E81" s="9" t="s">
        <v>240</v>
      </c>
      <c r="F81" s="9">
        <v>7</v>
      </c>
      <c r="G81" s="9">
        <f t="shared" si="9"/>
        <v>17.5</v>
      </c>
      <c r="H81" s="9">
        <f t="shared" si="8"/>
        <v>17.5</v>
      </c>
    </row>
    <row r="82" spans="1:8" x14ac:dyDescent="0.2">
      <c r="B82" s="9" t="s">
        <v>220</v>
      </c>
      <c r="C82" s="9">
        <v>1</v>
      </c>
      <c r="D82" s="9">
        <v>4</v>
      </c>
      <c r="E82" s="9" t="s">
        <v>240</v>
      </c>
      <c r="F82" s="9">
        <v>7</v>
      </c>
      <c r="G82" s="9">
        <f t="shared" si="9"/>
        <v>28</v>
      </c>
      <c r="H82" s="9">
        <f t="shared" si="8"/>
        <v>28</v>
      </c>
    </row>
    <row r="83" spans="1:8" x14ac:dyDescent="0.2">
      <c r="B83" s="9" t="s">
        <v>212</v>
      </c>
      <c r="C83" s="9">
        <v>1</v>
      </c>
      <c r="D83" s="9">
        <v>8</v>
      </c>
      <c r="E83" s="9" t="s">
        <v>240</v>
      </c>
      <c r="F83" s="9">
        <v>4</v>
      </c>
      <c r="G83" s="9">
        <f t="shared" si="9"/>
        <v>32</v>
      </c>
      <c r="H83" s="9">
        <f t="shared" si="8"/>
        <v>32</v>
      </c>
    </row>
    <row r="84" spans="1:8" ht="15" customHeight="1" x14ac:dyDescent="0.2">
      <c r="B84" s="9" t="s">
        <v>217</v>
      </c>
      <c r="C84" s="9">
        <v>1</v>
      </c>
      <c r="D84" s="9">
        <v>2</v>
      </c>
      <c r="E84" s="9" t="s">
        <v>240</v>
      </c>
      <c r="F84" s="9">
        <v>1.5</v>
      </c>
      <c r="G84" s="9">
        <f t="shared" si="9"/>
        <v>3</v>
      </c>
      <c r="H84" s="9">
        <f t="shared" si="8"/>
        <v>3</v>
      </c>
    </row>
    <row r="85" spans="1:8" x14ac:dyDescent="0.2">
      <c r="B85" s="46"/>
      <c r="C85" s="30"/>
      <c r="D85" s="30"/>
      <c r="E85" s="30"/>
      <c r="F85" s="30"/>
      <c r="G85" s="44" t="s">
        <v>126</v>
      </c>
      <c r="H85" s="44">
        <f>H78+H79+H80+H81+H82+H83+H84</f>
        <v>139.16800000000001</v>
      </c>
    </row>
    <row r="86" spans="1:8" x14ac:dyDescent="0.2">
      <c r="A86" s="44" t="s">
        <v>280</v>
      </c>
      <c r="B86" s="45" t="s">
        <v>281</v>
      </c>
    </row>
    <row r="87" spans="1:8" x14ac:dyDescent="0.2">
      <c r="B87" s="9" t="s">
        <v>210</v>
      </c>
      <c r="C87" s="9">
        <v>1</v>
      </c>
      <c r="D87" s="9">
        <v>10</v>
      </c>
      <c r="E87" s="9" t="s">
        <v>240</v>
      </c>
      <c r="F87" s="9">
        <v>4</v>
      </c>
      <c r="G87" s="9">
        <f t="shared" ref="G87:G92" si="10">F87*D87</f>
        <v>40</v>
      </c>
      <c r="H87" s="9">
        <f t="shared" ref="H87:H92" si="11">F87*D87*C87</f>
        <v>40</v>
      </c>
    </row>
    <row r="88" spans="1:8" x14ac:dyDescent="0.2">
      <c r="B88" s="9" t="s">
        <v>211</v>
      </c>
      <c r="C88" s="9">
        <v>1</v>
      </c>
      <c r="D88" s="9">
        <v>6.0830000000000002</v>
      </c>
      <c r="E88" s="9" t="s">
        <v>240</v>
      </c>
      <c r="F88" s="9">
        <v>4</v>
      </c>
      <c r="G88" s="9">
        <f t="shared" si="10"/>
        <v>24.332000000000001</v>
      </c>
      <c r="H88" s="9">
        <f t="shared" si="11"/>
        <v>24.332000000000001</v>
      </c>
    </row>
    <row r="89" spans="1:8" x14ac:dyDescent="0.2">
      <c r="B89" s="9" t="s">
        <v>212</v>
      </c>
      <c r="C89" s="9">
        <v>1</v>
      </c>
      <c r="D89" s="9">
        <v>4.8330000000000002</v>
      </c>
      <c r="E89" s="9" t="s">
        <v>240</v>
      </c>
      <c r="F89" s="9">
        <v>4</v>
      </c>
      <c r="G89" s="9">
        <f t="shared" si="10"/>
        <v>19.332000000000001</v>
      </c>
      <c r="H89" s="9">
        <f t="shared" si="11"/>
        <v>19.332000000000001</v>
      </c>
    </row>
    <row r="90" spans="1:8" x14ac:dyDescent="0.2">
      <c r="B90" s="9" t="s">
        <v>213</v>
      </c>
      <c r="C90" s="9">
        <v>1</v>
      </c>
      <c r="D90" s="9">
        <v>8</v>
      </c>
      <c r="E90" s="9" t="s">
        <v>240</v>
      </c>
      <c r="F90" s="9">
        <v>4</v>
      </c>
      <c r="G90" s="9">
        <f t="shared" si="10"/>
        <v>32</v>
      </c>
      <c r="H90" s="9">
        <f t="shared" si="11"/>
        <v>32</v>
      </c>
    </row>
    <row r="91" spans="1:8" x14ac:dyDescent="0.2">
      <c r="B91" s="9" t="s">
        <v>217</v>
      </c>
      <c r="C91" s="9">
        <v>1</v>
      </c>
      <c r="D91" s="9">
        <v>2</v>
      </c>
      <c r="E91" s="9" t="s">
        <v>240</v>
      </c>
      <c r="F91" s="9">
        <v>1.5</v>
      </c>
      <c r="G91" s="9">
        <f t="shared" si="10"/>
        <v>3</v>
      </c>
      <c r="H91" s="9">
        <f t="shared" si="11"/>
        <v>3</v>
      </c>
    </row>
    <row r="92" spans="1:8" x14ac:dyDescent="0.2">
      <c r="B92" s="9" t="s">
        <v>217</v>
      </c>
      <c r="C92" s="9">
        <v>1</v>
      </c>
      <c r="D92" s="9">
        <v>2</v>
      </c>
      <c r="E92" s="9" t="s">
        <v>240</v>
      </c>
      <c r="F92" s="9">
        <v>1.5</v>
      </c>
      <c r="G92" s="9">
        <f t="shared" si="10"/>
        <v>3</v>
      </c>
      <c r="H92" s="9">
        <f t="shared" si="11"/>
        <v>3</v>
      </c>
    </row>
    <row r="93" spans="1:8" x14ac:dyDescent="0.2">
      <c r="B93" s="30"/>
      <c r="C93" s="30"/>
      <c r="D93" s="30"/>
      <c r="E93" s="30"/>
      <c r="F93" s="30"/>
      <c r="G93" s="44" t="s">
        <v>126</v>
      </c>
      <c r="H93" s="44">
        <f>H87+H88+H89+H90+H91+H92</f>
        <v>121.66399999999999</v>
      </c>
    </row>
    <row r="94" spans="1:8" x14ac:dyDescent="0.2">
      <c r="A94" s="44" t="s">
        <v>282</v>
      </c>
      <c r="B94" s="45" t="s">
        <v>273</v>
      </c>
    </row>
    <row r="95" spans="1:8" x14ac:dyDescent="0.2">
      <c r="B95" s="9" t="s">
        <v>210</v>
      </c>
      <c r="C95" s="9">
        <v>1</v>
      </c>
      <c r="D95" s="9">
        <v>10.5</v>
      </c>
      <c r="E95" s="9" t="s">
        <v>240</v>
      </c>
      <c r="F95" s="9">
        <v>4</v>
      </c>
      <c r="G95" s="9">
        <f>F95*D95</f>
        <v>42</v>
      </c>
      <c r="H95" s="9">
        <f>F95*D95*C95</f>
        <v>42</v>
      </c>
    </row>
    <row r="96" spans="1:8" x14ac:dyDescent="0.2">
      <c r="B96" s="9" t="s">
        <v>217</v>
      </c>
      <c r="C96" s="9">
        <v>1</v>
      </c>
      <c r="D96" s="9">
        <v>2</v>
      </c>
      <c r="E96" s="9" t="s">
        <v>240</v>
      </c>
      <c r="F96" s="9">
        <v>1.5</v>
      </c>
      <c r="G96" s="9">
        <f>F96*D96</f>
        <v>3</v>
      </c>
      <c r="H96" s="9">
        <f>F96*D96*C96</f>
        <v>3</v>
      </c>
    </row>
    <row r="97" spans="1:8" x14ac:dyDescent="0.2">
      <c r="B97" s="9" t="s">
        <v>205</v>
      </c>
      <c r="C97" s="9">
        <v>1</v>
      </c>
      <c r="D97" s="9">
        <v>4.5</v>
      </c>
      <c r="E97" s="9" t="s">
        <v>240</v>
      </c>
      <c r="F97" s="9">
        <v>7</v>
      </c>
      <c r="G97" s="9">
        <f>F97*D97</f>
        <v>31.5</v>
      </c>
      <c r="H97" s="9">
        <f>F97*D97*C97</f>
        <v>31.5</v>
      </c>
    </row>
    <row r="98" spans="1:8" x14ac:dyDescent="0.2">
      <c r="B98" s="9" t="s">
        <v>211</v>
      </c>
      <c r="C98" s="9">
        <v>1</v>
      </c>
      <c r="D98" s="9">
        <v>4</v>
      </c>
      <c r="E98" s="9" t="s">
        <v>240</v>
      </c>
      <c r="F98" s="9">
        <v>4</v>
      </c>
      <c r="G98" s="9">
        <f>F98*D98</f>
        <v>16</v>
      </c>
      <c r="H98" s="9">
        <f>F98*D98*C98</f>
        <v>16</v>
      </c>
    </row>
    <row r="99" spans="1:8" x14ac:dyDescent="0.2">
      <c r="B99" s="30"/>
      <c r="C99" s="30"/>
      <c r="D99" s="30"/>
      <c r="E99" s="30"/>
      <c r="F99" s="30"/>
      <c r="G99" s="44" t="s">
        <v>126</v>
      </c>
      <c r="H99" s="44">
        <f>H95+H96+H97+H98</f>
        <v>92.5</v>
      </c>
    </row>
    <row r="100" spans="1:8" x14ac:dyDescent="0.2">
      <c r="A100" s="44" t="s">
        <v>283</v>
      </c>
      <c r="B100" s="45" t="s">
        <v>275</v>
      </c>
    </row>
    <row r="101" spans="1:8" x14ac:dyDescent="0.2">
      <c r="B101" s="9" t="s">
        <v>210</v>
      </c>
      <c r="C101" s="9">
        <v>1</v>
      </c>
      <c r="D101" s="9">
        <v>8</v>
      </c>
      <c r="E101" s="9" t="s">
        <v>240</v>
      </c>
      <c r="F101" s="9">
        <v>4</v>
      </c>
      <c r="G101" s="9">
        <f>F101*D101</f>
        <v>32</v>
      </c>
      <c r="H101" s="9">
        <f>F101*D101*C101</f>
        <v>32</v>
      </c>
    </row>
    <row r="102" spans="1:8" x14ac:dyDescent="0.2">
      <c r="B102" s="9" t="s">
        <v>217</v>
      </c>
      <c r="C102" s="9">
        <v>1</v>
      </c>
      <c r="D102" s="9">
        <v>2</v>
      </c>
      <c r="E102" s="9" t="s">
        <v>240</v>
      </c>
      <c r="F102" s="9">
        <v>1.5</v>
      </c>
      <c r="G102" s="9">
        <f>F102*D102</f>
        <v>3</v>
      </c>
      <c r="H102" s="9">
        <f>F102*D102*C102</f>
        <v>3</v>
      </c>
    </row>
    <row r="103" spans="1:8" x14ac:dyDescent="0.2">
      <c r="B103" s="30"/>
      <c r="C103" s="30"/>
      <c r="D103" s="30"/>
      <c r="E103" s="30"/>
      <c r="F103" s="30"/>
      <c r="G103" s="44" t="s">
        <v>126</v>
      </c>
      <c r="H103" s="44">
        <f>H101+H102</f>
        <v>35</v>
      </c>
    </row>
    <row r="104" spans="1:8" x14ac:dyDescent="0.2">
      <c r="B104" s="30"/>
    </row>
    <row r="105" spans="1:8" x14ac:dyDescent="0.2">
      <c r="B105" s="309" t="s">
        <v>284</v>
      </c>
      <c r="C105" s="309"/>
      <c r="D105" s="309"/>
      <c r="E105" s="309"/>
      <c r="F105" s="309"/>
      <c r="G105" s="309"/>
      <c r="H105" s="309"/>
    </row>
    <row r="106" spans="1:8" x14ac:dyDescent="0.2">
      <c r="B106" s="30"/>
    </row>
    <row r="107" spans="1:8" x14ac:dyDescent="0.2">
      <c r="B107" s="294" t="s">
        <v>285</v>
      </c>
      <c r="C107" s="295"/>
      <c r="D107" s="295"/>
      <c r="E107" s="295"/>
      <c r="F107" s="295"/>
      <c r="G107" s="295"/>
      <c r="H107" s="295"/>
    </row>
    <row r="108" spans="1:8" x14ac:dyDescent="0.2">
      <c r="B108" s="295"/>
      <c r="C108" s="295"/>
      <c r="D108" s="295"/>
      <c r="E108" s="295"/>
      <c r="F108" s="295"/>
      <c r="G108" s="295"/>
      <c r="H108" s="295"/>
    </row>
    <row r="109" spans="1:8" x14ac:dyDescent="0.2">
      <c r="B109" s="30"/>
    </row>
    <row r="110" spans="1:8" x14ac:dyDescent="0.2">
      <c r="A110" s="47">
        <v>3</v>
      </c>
      <c r="B110" s="47" t="s">
        <v>286</v>
      </c>
    </row>
    <row r="111" spans="1:8" x14ac:dyDescent="0.2">
      <c r="A111" s="48"/>
      <c r="B111" s="30"/>
    </row>
    <row r="112" spans="1:8" x14ac:dyDescent="0.2">
      <c r="A112" s="24">
        <v>3.1</v>
      </c>
      <c r="B112" s="49" t="s">
        <v>287</v>
      </c>
    </row>
    <row r="113" spans="1:8" x14ac:dyDescent="0.2">
      <c r="A113" s="30"/>
      <c r="B113" s="50" t="s">
        <v>288</v>
      </c>
      <c r="C113" s="9">
        <v>1</v>
      </c>
      <c r="D113" s="9">
        <v>16</v>
      </c>
      <c r="E113" s="9">
        <v>15.5</v>
      </c>
      <c r="F113" s="9" t="s">
        <v>240</v>
      </c>
      <c r="G113" s="9">
        <f>E113*D113</f>
        <v>248</v>
      </c>
      <c r="H113" s="9">
        <f>E113*D113*C113</f>
        <v>248</v>
      </c>
    </row>
    <row r="114" spans="1:8" x14ac:dyDescent="0.2">
      <c r="A114" s="30"/>
      <c r="B114" s="51" t="s">
        <v>289</v>
      </c>
      <c r="C114" s="9">
        <v>1</v>
      </c>
      <c r="D114" s="9">
        <v>63</v>
      </c>
      <c r="E114" s="9" t="s">
        <v>240</v>
      </c>
      <c r="F114" s="9">
        <v>10</v>
      </c>
      <c r="G114" s="9">
        <f>F114*D114</f>
        <v>630</v>
      </c>
      <c r="H114" s="9">
        <f>F114*D114*C114</f>
        <v>630</v>
      </c>
    </row>
    <row r="115" spans="1:8" x14ac:dyDescent="0.2">
      <c r="A115" s="24">
        <v>3.2</v>
      </c>
      <c r="B115" s="52" t="s">
        <v>290</v>
      </c>
      <c r="C115" s="9"/>
      <c r="D115" s="9"/>
      <c r="E115" s="9"/>
      <c r="F115" s="9"/>
      <c r="G115" s="9"/>
      <c r="H115" s="9"/>
    </row>
    <row r="116" spans="1:8" x14ac:dyDescent="0.2">
      <c r="A116" s="30"/>
      <c r="B116" s="53" t="s">
        <v>288</v>
      </c>
      <c r="C116" s="9">
        <v>1</v>
      </c>
      <c r="D116" s="9">
        <v>7.1666999999999996</v>
      </c>
      <c r="E116" s="9">
        <v>4</v>
      </c>
      <c r="F116" s="9" t="s">
        <v>240</v>
      </c>
      <c r="G116" s="9">
        <f>E116*D116</f>
        <v>28.666799999999999</v>
      </c>
      <c r="H116" s="9">
        <f>E116*D116*C116</f>
        <v>28.666799999999999</v>
      </c>
    </row>
    <row r="117" spans="1:8" x14ac:dyDescent="0.2">
      <c r="A117" s="30"/>
      <c r="B117" s="54" t="s">
        <v>289</v>
      </c>
      <c r="C117" s="9">
        <v>1</v>
      </c>
      <c r="D117" s="9">
        <v>22.33</v>
      </c>
      <c r="E117" s="9" t="s">
        <v>240</v>
      </c>
      <c r="F117" s="9">
        <v>10</v>
      </c>
      <c r="G117" s="9">
        <f>F117*D117</f>
        <v>223.29999999999998</v>
      </c>
      <c r="H117" s="9">
        <f>F117*D117*C117</f>
        <v>223.29999999999998</v>
      </c>
    </row>
    <row r="118" spans="1:8" x14ac:dyDescent="0.2">
      <c r="A118" s="24">
        <v>3.3</v>
      </c>
      <c r="B118" s="55" t="s">
        <v>291</v>
      </c>
      <c r="C118" s="9"/>
      <c r="D118" s="9"/>
      <c r="E118" s="9"/>
      <c r="F118" s="9"/>
      <c r="G118" s="9"/>
      <c r="H118" s="9"/>
    </row>
    <row r="119" spans="1:8" x14ac:dyDescent="0.2">
      <c r="A119" s="30"/>
      <c r="B119" s="53" t="s">
        <v>288</v>
      </c>
      <c r="C119" s="9">
        <v>1</v>
      </c>
      <c r="D119" s="9">
        <v>22</v>
      </c>
      <c r="E119" s="9">
        <v>17</v>
      </c>
      <c r="F119" s="9" t="s">
        <v>240</v>
      </c>
      <c r="G119" s="9">
        <f>E119*D119</f>
        <v>374</v>
      </c>
      <c r="H119" s="9">
        <f>E119*D119*C119</f>
        <v>374</v>
      </c>
    </row>
    <row r="120" spans="1:8" x14ac:dyDescent="0.2">
      <c r="A120" s="30"/>
      <c r="B120" s="54" t="s">
        <v>289</v>
      </c>
      <c r="C120" s="9">
        <v>1</v>
      </c>
      <c r="D120" s="9">
        <v>78</v>
      </c>
      <c r="E120" s="9" t="s">
        <v>240</v>
      </c>
      <c r="F120" s="9">
        <v>10</v>
      </c>
      <c r="G120" s="9">
        <f>F120*D120</f>
        <v>780</v>
      </c>
      <c r="H120" s="9">
        <f>F120*D120*C120</f>
        <v>780</v>
      </c>
    </row>
    <row r="121" spans="1:8" x14ac:dyDescent="0.2">
      <c r="A121" s="24">
        <v>3.4</v>
      </c>
      <c r="B121" s="55" t="s">
        <v>292</v>
      </c>
      <c r="C121" s="9"/>
      <c r="D121" s="9"/>
      <c r="E121" s="9"/>
      <c r="F121" s="9"/>
      <c r="G121" s="9"/>
      <c r="H121" s="9"/>
    </row>
    <row r="122" spans="1:8" x14ac:dyDescent="0.2">
      <c r="A122" s="30"/>
      <c r="B122" s="53" t="s">
        <v>288</v>
      </c>
      <c r="C122" s="9">
        <v>1</v>
      </c>
      <c r="D122" s="9">
        <v>16</v>
      </c>
      <c r="E122" s="9">
        <v>13</v>
      </c>
      <c r="F122" s="9" t="s">
        <v>240</v>
      </c>
      <c r="G122" s="9">
        <f>E122*D122</f>
        <v>208</v>
      </c>
      <c r="H122" s="9">
        <f>E122*D122*C122</f>
        <v>208</v>
      </c>
    </row>
    <row r="123" spans="1:8" x14ac:dyDescent="0.2">
      <c r="A123" s="30"/>
      <c r="B123" s="54" t="s">
        <v>289</v>
      </c>
      <c r="C123" s="9">
        <v>1</v>
      </c>
      <c r="D123" s="9">
        <v>58</v>
      </c>
      <c r="E123" s="9" t="s">
        <v>240</v>
      </c>
      <c r="F123" s="9">
        <v>10</v>
      </c>
      <c r="G123" s="9">
        <f>F123*D123</f>
        <v>580</v>
      </c>
      <c r="H123" s="9">
        <f>F123*D123*C123</f>
        <v>580</v>
      </c>
    </row>
    <row r="124" spans="1:8" x14ac:dyDescent="0.2">
      <c r="A124" s="24">
        <v>3.5</v>
      </c>
      <c r="B124" s="55" t="s">
        <v>293</v>
      </c>
      <c r="C124" s="9"/>
      <c r="D124" s="9"/>
      <c r="E124" s="9"/>
      <c r="F124" s="9"/>
      <c r="G124" s="9"/>
      <c r="H124" s="9"/>
    </row>
    <row r="125" spans="1:8" x14ac:dyDescent="0.2">
      <c r="A125" s="30"/>
      <c r="B125" s="53" t="s">
        <v>288</v>
      </c>
      <c r="C125" s="9">
        <v>1</v>
      </c>
      <c r="D125" s="9">
        <v>10</v>
      </c>
      <c r="E125" s="9">
        <v>6</v>
      </c>
      <c r="F125" s="9" t="s">
        <v>240</v>
      </c>
      <c r="G125" s="9">
        <f>E125*D125</f>
        <v>60</v>
      </c>
      <c r="H125" s="9">
        <f>E125*D125*C125</f>
        <v>60</v>
      </c>
    </row>
    <row r="126" spans="1:8" x14ac:dyDescent="0.2">
      <c r="A126" s="30"/>
      <c r="B126" s="54" t="s">
        <v>289</v>
      </c>
      <c r="C126" s="9">
        <v>1</v>
      </c>
      <c r="D126" s="9">
        <v>32</v>
      </c>
      <c r="E126" s="9" t="s">
        <v>240</v>
      </c>
      <c r="F126" s="9">
        <v>10</v>
      </c>
      <c r="G126" s="9">
        <f>F126*D126</f>
        <v>320</v>
      </c>
      <c r="H126" s="9">
        <f>F126*D126*C126</f>
        <v>320</v>
      </c>
    </row>
    <row r="127" spans="1:8" x14ac:dyDescent="0.2">
      <c r="A127" s="24">
        <v>3.6</v>
      </c>
      <c r="B127" s="55" t="s">
        <v>294</v>
      </c>
      <c r="C127" s="9"/>
      <c r="D127" s="9"/>
      <c r="E127" s="9"/>
      <c r="F127" s="9"/>
      <c r="G127" s="9"/>
      <c r="H127" s="9"/>
    </row>
    <row r="128" spans="1:8" x14ac:dyDescent="0.2">
      <c r="A128" s="30"/>
      <c r="B128" s="53" t="s">
        <v>288</v>
      </c>
      <c r="C128" s="9">
        <v>1</v>
      </c>
      <c r="D128" s="9">
        <v>6</v>
      </c>
      <c r="E128" s="9">
        <v>5.5</v>
      </c>
      <c r="F128" s="9" t="s">
        <v>240</v>
      </c>
      <c r="G128" s="9">
        <f>E128*D128</f>
        <v>33</v>
      </c>
      <c r="H128" s="9">
        <f>E128*D128*C128</f>
        <v>33</v>
      </c>
    </row>
    <row r="129" spans="1:8" x14ac:dyDescent="0.2">
      <c r="A129" s="30"/>
      <c r="B129" s="54" t="s">
        <v>289</v>
      </c>
      <c r="C129" s="9">
        <v>1</v>
      </c>
      <c r="D129" s="9">
        <v>23</v>
      </c>
      <c r="E129" s="9" t="s">
        <v>240</v>
      </c>
      <c r="F129" s="9">
        <v>10</v>
      </c>
      <c r="G129" s="9">
        <f>F129*D129</f>
        <v>230</v>
      </c>
      <c r="H129" s="9">
        <f>F129*D129*C129</f>
        <v>230</v>
      </c>
    </row>
    <row r="130" spans="1:8" x14ac:dyDescent="0.2">
      <c r="A130" s="24">
        <v>3.5</v>
      </c>
      <c r="B130" s="55" t="s">
        <v>295</v>
      </c>
      <c r="C130" s="9"/>
      <c r="D130" s="9"/>
      <c r="E130" s="9"/>
      <c r="F130" s="9"/>
      <c r="G130" s="9"/>
      <c r="H130" s="9"/>
    </row>
    <row r="131" spans="1:8" x14ac:dyDescent="0.2">
      <c r="A131" s="30"/>
      <c r="B131" s="53" t="s">
        <v>288</v>
      </c>
      <c r="C131" s="9">
        <v>1</v>
      </c>
      <c r="D131" s="9">
        <v>15</v>
      </c>
      <c r="E131" s="9">
        <v>14</v>
      </c>
      <c r="F131" s="9" t="s">
        <v>240</v>
      </c>
      <c r="G131" s="9">
        <f>E131*D131</f>
        <v>210</v>
      </c>
      <c r="H131" s="9">
        <f>E131*D131*C131</f>
        <v>210</v>
      </c>
    </row>
    <row r="132" spans="1:8" x14ac:dyDescent="0.2">
      <c r="A132" s="30"/>
      <c r="B132" s="54" t="s">
        <v>289</v>
      </c>
      <c r="C132" s="9">
        <v>1</v>
      </c>
      <c r="D132" s="9">
        <v>58</v>
      </c>
      <c r="E132" s="9" t="s">
        <v>240</v>
      </c>
      <c r="F132" s="9">
        <v>10</v>
      </c>
      <c r="G132" s="9">
        <f>F132*D132</f>
        <v>580</v>
      </c>
      <c r="H132" s="9">
        <f>F132*D132*C132</f>
        <v>580</v>
      </c>
    </row>
    <row r="133" spans="1:8" x14ac:dyDescent="0.2">
      <c r="A133" s="24">
        <v>3.6</v>
      </c>
      <c r="B133" s="55" t="s">
        <v>296</v>
      </c>
      <c r="C133" s="9"/>
      <c r="D133" s="9"/>
      <c r="E133" s="9"/>
      <c r="F133" s="9"/>
      <c r="G133" s="9"/>
      <c r="H133" s="9"/>
    </row>
    <row r="134" spans="1:8" x14ac:dyDescent="0.2">
      <c r="A134" s="30"/>
      <c r="B134" s="53" t="s">
        <v>288</v>
      </c>
      <c r="C134" s="9">
        <v>1</v>
      </c>
      <c r="D134" s="9">
        <v>9</v>
      </c>
      <c r="E134" s="9">
        <v>6</v>
      </c>
      <c r="F134" s="9" t="s">
        <v>240</v>
      </c>
      <c r="G134" s="9">
        <f>E134*D134</f>
        <v>54</v>
      </c>
      <c r="H134" s="9">
        <f>E134*D134*C134</f>
        <v>54</v>
      </c>
    </row>
    <row r="135" spans="1:8" x14ac:dyDescent="0.2">
      <c r="A135" s="30"/>
      <c r="B135" s="54" t="s">
        <v>289</v>
      </c>
      <c r="C135" s="9">
        <v>1</v>
      </c>
      <c r="D135" s="9">
        <v>30</v>
      </c>
      <c r="E135" s="9" t="s">
        <v>240</v>
      </c>
      <c r="F135" s="9">
        <v>10</v>
      </c>
      <c r="G135" s="9">
        <f>F135*D135</f>
        <v>300</v>
      </c>
      <c r="H135" s="9">
        <f>F135*D135*C135</f>
        <v>300</v>
      </c>
    </row>
    <row r="136" spans="1:8" x14ac:dyDescent="0.2">
      <c r="A136" s="24">
        <v>3.7</v>
      </c>
      <c r="B136" s="55" t="s">
        <v>297</v>
      </c>
      <c r="C136" s="9"/>
      <c r="D136" s="9"/>
      <c r="E136" s="9"/>
      <c r="F136" s="9"/>
      <c r="G136" s="9"/>
      <c r="H136" s="9"/>
    </row>
    <row r="137" spans="1:8" x14ac:dyDescent="0.2">
      <c r="A137" s="30"/>
      <c r="B137" s="53" t="s">
        <v>288</v>
      </c>
      <c r="C137" s="9">
        <v>1</v>
      </c>
      <c r="D137" s="9">
        <v>6</v>
      </c>
      <c r="E137" s="9">
        <v>4</v>
      </c>
      <c r="F137" s="9" t="s">
        <v>240</v>
      </c>
      <c r="G137" s="9">
        <f>E137*D137</f>
        <v>24</v>
      </c>
      <c r="H137" s="9">
        <f>E137*D137*C137</f>
        <v>24</v>
      </c>
    </row>
    <row r="138" spans="1:8" x14ac:dyDescent="0.2">
      <c r="A138" s="30"/>
      <c r="B138" s="54" t="s">
        <v>289</v>
      </c>
      <c r="C138" s="9">
        <v>1</v>
      </c>
      <c r="D138" s="9">
        <v>20</v>
      </c>
      <c r="E138" s="9" t="s">
        <v>240</v>
      </c>
      <c r="F138" s="9">
        <v>10</v>
      </c>
      <c r="G138" s="9">
        <f>F138*D138</f>
        <v>200</v>
      </c>
      <c r="H138" s="9">
        <f>F138*D138*C138</f>
        <v>200</v>
      </c>
    </row>
    <row r="139" spans="1:8" x14ac:dyDescent="0.2">
      <c r="A139" s="24">
        <v>3.8</v>
      </c>
      <c r="B139" s="55" t="s">
        <v>298</v>
      </c>
      <c r="C139" s="9"/>
      <c r="D139" s="9"/>
      <c r="E139" s="9"/>
      <c r="F139" s="9"/>
      <c r="G139" s="9"/>
      <c r="H139" s="9"/>
    </row>
    <row r="140" spans="1:8" x14ac:dyDescent="0.2">
      <c r="A140" s="30"/>
      <c r="B140" s="53" t="s">
        <v>288</v>
      </c>
      <c r="C140" s="9">
        <v>1</v>
      </c>
      <c r="D140" s="9">
        <v>15</v>
      </c>
      <c r="E140" s="9">
        <v>13</v>
      </c>
      <c r="F140" s="9" t="s">
        <v>240</v>
      </c>
      <c r="G140" s="9">
        <f>E140*D140</f>
        <v>195</v>
      </c>
      <c r="H140" s="9">
        <f>E140*D140*C140</f>
        <v>195</v>
      </c>
    </row>
    <row r="141" spans="1:8" x14ac:dyDescent="0.2">
      <c r="A141" s="30"/>
      <c r="B141" s="54" t="s">
        <v>289</v>
      </c>
      <c r="C141" s="9">
        <v>1</v>
      </c>
      <c r="D141" s="9">
        <v>56</v>
      </c>
      <c r="E141" s="9" t="s">
        <v>240</v>
      </c>
      <c r="F141" s="9">
        <v>10</v>
      </c>
      <c r="G141" s="9">
        <f>F141*D141</f>
        <v>560</v>
      </c>
      <c r="H141" s="9">
        <f>F141*D141*C141</f>
        <v>560</v>
      </c>
    </row>
    <row r="142" spans="1:8" x14ac:dyDescent="0.2">
      <c r="A142" s="24">
        <v>3.9</v>
      </c>
      <c r="B142" s="55" t="s">
        <v>299</v>
      </c>
      <c r="C142" s="9"/>
      <c r="D142" s="9"/>
      <c r="E142" s="9"/>
      <c r="F142" s="9"/>
      <c r="G142" s="9"/>
      <c r="H142" s="9"/>
    </row>
    <row r="143" spans="1:8" x14ac:dyDescent="0.2">
      <c r="A143" s="30"/>
      <c r="B143" s="53" t="s">
        <v>288</v>
      </c>
      <c r="C143" s="9">
        <v>1</v>
      </c>
      <c r="D143" s="9">
        <v>8.5</v>
      </c>
      <c r="E143" s="9">
        <v>6</v>
      </c>
      <c r="F143" s="9" t="s">
        <v>240</v>
      </c>
      <c r="G143" s="9">
        <f>E143*D143</f>
        <v>51</v>
      </c>
      <c r="H143" s="9">
        <f>E143*D143*C143</f>
        <v>51</v>
      </c>
    </row>
    <row r="144" spans="1:8" x14ac:dyDescent="0.2">
      <c r="A144" s="30"/>
      <c r="B144" s="54" t="s">
        <v>289</v>
      </c>
      <c r="C144" s="9">
        <v>1</v>
      </c>
      <c r="D144" s="9">
        <v>29</v>
      </c>
      <c r="E144" s="9" t="s">
        <v>240</v>
      </c>
      <c r="F144" s="9">
        <v>10</v>
      </c>
      <c r="G144" s="9">
        <f>F144*D144</f>
        <v>290</v>
      </c>
      <c r="H144" s="9">
        <f>F144*D144*C144</f>
        <v>290</v>
      </c>
    </row>
    <row r="145" spans="1:8" x14ac:dyDescent="0.2">
      <c r="A145" s="24">
        <v>3.1</v>
      </c>
      <c r="B145" s="55" t="s">
        <v>300</v>
      </c>
      <c r="C145" s="9"/>
      <c r="D145" s="9"/>
      <c r="E145" s="9"/>
      <c r="F145" s="9"/>
      <c r="G145" s="9"/>
      <c r="H145" s="9"/>
    </row>
    <row r="146" spans="1:8" x14ac:dyDescent="0.2">
      <c r="A146" s="30"/>
      <c r="B146" s="53" t="s">
        <v>288</v>
      </c>
      <c r="C146" s="9">
        <v>1</v>
      </c>
      <c r="D146" s="9">
        <v>6</v>
      </c>
      <c r="E146" s="9">
        <v>4</v>
      </c>
      <c r="F146" s="9" t="s">
        <v>240</v>
      </c>
      <c r="G146" s="9">
        <f>E146*D146</f>
        <v>24</v>
      </c>
      <c r="H146" s="9">
        <f>E146*D146*C146</f>
        <v>24</v>
      </c>
    </row>
    <row r="147" spans="1:8" x14ac:dyDescent="0.2">
      <c r="A147" s="30"/>
      <c r="B147" s="54" t="s">
        <v>289</v>
      </c>
      <c r="C147" s="9">
        <v>1</v>
      </c>
      <c r="D147" s="9">
        <v>20</v>
      </c>
      <c r="E147" s="9" t="s">
        <v>240</v>
      </c>
      <c r="F147" s="9">
        <v>10</v>
      </c>
      <c r="G147" s="9">
        <f>F147*D147</f>
        <v>200</v>
      </c>
      <c r="H147" s="9">
        <f>F147*D147*C147</f>
        <v>200</v>
      </c>
    </row>
    <row r="148" spans="1:8" x14ac:dyDescent="0.2">
      <c r="A148" s="24">
        <v>3.11</v>
      </c>
      <c r="B148" s="55" t="s">
        <v>301</v>
      </c>
      <c r="C148" s="9"/>
      <c r="D148" s="9"/>
      <c r="E148" s="9"/>
      <c r="F148" s="9"/>
      <c r="G148" s="9"/>
      <c r="H148" s="9"/>
    </row>
    <row r="149" spans="1:8" x14ac:dyDescent="0.2">
      <c r="A149" s="30"/>
      <c r="B149" s="53" t="s">
        <v>288</v>
      </c>
      <c r="C149" s="9">
        <v>1</v>
      </c>
      <c r="D149" s="9">
        <v>12</v>
      </c>
      <c r="E149" s="9">
        <v>8</v>
      </c>
      <c r="F149" s="9" t="s">
        <v>240</v>
      </c>
      <c r="G149" s="9">
        <f>E149*D149</f>
        <v>96</v>
      </c>
      <c r="H149" s="9">
        <f>E149*D149*C149</f>
        <v>96</v>
      </c>
    </row>
    <row r="150" spans="1:8" x14ac:dyDescent="0.2">
      <c r="A150" s="30"/>
      <c r="B150" s="54" t="s">
        <v>289</v>
      </c>
      <c r="C150" s="9">
        <v>1</v>
      </c>
      <c r="D150" s="9">
        <v>40</v>
      </c>
      <c r="E150" s="9" t="s">
        <v>240</v>
      </c>
      <c r="F150" s="9">
        <v>10</v>
      </c>
      <c r="G150" s="9">
        <f>F150*D150</f>
        <v>400</v>
      </c>
      <c r="H150" s="9">
        <f>F150*D150*C150</f>
        <v>400</v>
      </c>
    </row>
    <row r="151" spans="1:8" x14ac:dyDescent="0.2">
      <c r="A151" s="24">
        <v>3.12</v>
      </c>
      <c r="B151" s="55" t="s">
        <v>302</v>
      </c>
      <c r="C151" s="9"/>
      <c r="D151" s="9"/>
      <c r="E151" s="9"/>
      <c r="F151" s="9"/>
      <c r="G151" s="9"/>
      <c r="H151" s="9"/>
    </row>
    <row r="152" spans="1:8" x14ac:dyDescent="0.2">
      <c r="A152" s="30"/>
      <c r="B152" s="53" t="s">
        <v>288</v>
      </c>
      <c r="C152" s="9">
        <v>1</v>
      </c>
      <c r="D152" s="9">
        <v>6</v>
      </c>
      <c r="E152" s="9">
        <v>5</v>
      </c>
      <c r="F152" s="9" t="s">
        <v>240</v>
      </c>
      <c r="G152" s="9">
        <f>E152*D152</f>
        <v>30</v>
      </c>
      <c r="H152" s="9">
        <f>E152*D152*C152</f>
        <v>30</v>
      </c>
    </row>
    <row r="153" spans="1:8" x14ac:dyDescent="0.2">
      <c r="A153" s="30"/>
      <c r="B153" s="54" t="s">
        <v>289</v>
      </c>
      <c r="C153" s="9">
        <v>1</v>
      </c>
      <c r="D153" s="9">
        <v>22</v>
      </c>
      <c r="E153" s="9" t="s">
        <v>240</v>
      </c>
      <c r="F153" s="9">
        <v>10</v>
      </c>
      <c r="G153" s="9">
        <f>F153*D153</f>
        <v>220</v>
      </c>
      <c r="H153" s="9">
        <f>F153*D153*C153</f>
        <v>220</v>
      </c>
    </row>
    <row r="154" spans="1:8" x14ac:dyDescent="0.2">
      <c r="A154" s="24">
        <v>3.13</v>
      </c>
      <c r="B154" s="55" t="s">
        <v>303</v>
      </c>
      <c r="C154" s="9"/>
      <c r="D154" s="9"/>
      <c r="E154" s="9"/>
      <c r="F154" s="9"/>
      <c r="G154" s="9"/>
      <c r="H154" s="9"/>
    </row>
    <row r="155" spans="1:8" x14ac:dyDescent="0.2">
      <c r="A155" s="30"/>
      <c r="B155" s="53" t="s">
        <v>288</v>
      </c>
      <c r="C155" s="9">
        <v>1</v>
      </c>
      <c r="D155" s="9">
        <v>13.5</v>
      </c>
      <c r="E155" s="9">
        <v>10.75</v>
      </c>
      <c r="F155" s="9" t="s">
        <v>240</v>
      </c>
      <c r="G155" s="9">
        <f>E155*D155</f>
        <v>145.125</v>
      </c>
      <c r="H155" s="9">
        <f>E155*D155*C155</f>
        <v>145.125</v>
      </c>
    </row>
    <row r="156" spans="1:8" x14ac:dyDescent="0.2">
      <c r="A156" s="30"/>
      <c r="B156" s="54" t="s">
        <v>289</v>
      </c>
      <c r="C156" s="9">
        <v>1</v>
      </c>
      <c r="D156" s="9">
        <v>48.5</v>
      </c>
      <c r="E156" s="9" t="s">
        <v>240</v>
      </c>
      <c r="F156" s="9">
        <v>10</v>
      </c>
      <c r="G156" s="9">
        <f>F156*D156</f>
        <v>485</v>
      </c>
      <c r="H156" s="9">
        <f>F156*D156*C156</f>
        <v>485</v>
      </c>
    </row>
    <row r="157" spans="1:8" x14ac:dyDescent="0.2">
      <c r="A157" s="24">
        <v>3.14</v>
      </c>
      <c r="B157" s="55" t="s">
        <v>304</v>
      </c>
      <c r="C157" s="9"/>
      <c r="D157" s="9"/>
      <c r="E157" s="9"/>
      <c r="F157" s="9"/>
      <c r="G157" s="9"/>
      <c r="H157" s="9"/>
    </row>
    <row r="158" spans="1:8" x14ac:dyDescent="0.2">
      <c r="A158" s="30"/>
      <c r="B158" s="53" t="s">
        <v>288</v>
      </c>
      <c r="C158" s="9">
        <v>1</v>
      </c>
      <c r="D158" s="9">
        <v>14.5</v>
      </c>
      <c r="E158" s="9">
        <v>9.5</v>
      </c>
      <c r="F158" s="9" t="s">
        <v>240</v>
      </c>
      <c r="G158" s="9">
        <f>E158*D158</f>
        <v>137.75</v>
      </c>
      <c r="H158" s="9">
        <f>E158*D158*C158</f>
        <v>137.75</v>
      </c>
    </row>
    <row r="159" spans="1:8" x14ac:dyDescent="0.2">
      <c r="A159" s="30"/>
      <c r="B159" s="54" t="s">
        <v>289</v>
      </c>
      <c r="C159" s="9">
        <v>1</v>
      </c>
      <c r="D159" s="9">
        <v>48</v>
      </c>
      <c r="E159" s="9" t="s">
        <v>240</v>
      </c>
      <c r="F159" s="9">
        <v>10</v>
      </c>
      <c r="G159" s="9">
        <f>F159*D159</f>
        <v>480</v>
      </c>
      <c r="H159" s="9">
        <f>F159*D159*C159</f>
        <v>480</v>
      </c>
    </row>
    <row r="160" spans="1:8" x14ac:dyDescent="0.2">
      <c r="A160" s="24">
        <v>3.15</v>
      </c>
      <c r="B160" s="55" t="s">
        <v>305</v>
      </c>
      <c r="C160" s="9"/>
      <c r="D160" s="9"/>
      <c r="E160" s="9"/>
      <c r="F160" s="9"/>
      <c r="G160" s="9"/>
      <c r="H160" s="9"/>
    </row>
    <row r="161" spans="1:8" x14ac:dyDescent="0.2">
      <c r="A161" s="30"/>
      <c r="B161" s="53" t="s">
        <v>288</v>
      </c>
      <c r="C161" s="9">
        <v>1</v>
      </c>
      <c r="D161" s="9">
        <v>14.25</v>
      </c>
      <c r="E161" s="9">
        <v>9.3339999999999996</v>
      </c>
      <c r="F161" s="9" t="s">
        <v>240</v>
      </c>
      <c r="G161" s="9">
        <f>E161*D161</f>
        <v>133.0095</v>
      </c>
      <c r="H161" s="9">
        <f>E161*D161*C161</f>
        <v>133.0095</v>
      </c>
    </row>
    <row r="162" spans="1:8" x14ac:dyDescent="0.2">
      <c r="A162" s="30"/>
      <c r="B162" s="54" t="s">
        <v>289</v>
      </c>
      <c r="C162" s="9">
        <v>1</v>
      </c>
      <c r="D162" s="9">
        <v>47.167000000000002</v>
      </c>
      <c r="E162" s="9" t="s">
        <v>240</v>
      </c>
      <c r="F162" s="9">
        <v>10</v>
      </c>
      <c r="G162" s="9">
        <f>F162*D162</f>
        <v>471.67</v>
      </c>
      <c r="H162" s="9">
        <f>F162*D162*C162</f>
        <v>471.67</v>
      </c>
    </row>
    <row r="163" spans="1:8" x14ac:dyDescent="0.2">
      <c r="A163" s="24">
        <v>3.16</v>
      </c>
      <c r="B163" s="55" t="s">
        <v>306</v>
      </c>
      <c r="C163" s="9"/>
      <c r="D163" s="9"/>
      <c r="E163" s="9"/>
      <c r="F163" s="9"/>
      <c r="G163" s="9"/>
      <c r="H163" s="9"/>
    </row>
    <row r="164" spans="1:8" x14ac:dyDescent="0.2">
      <c r="B164" s="53" t="s">
        <v>288</v>
      </c>
      <c r="C164" s="9">
        <v>1</v>
      </c>
      <c r="D164" s="9">
        <v>19</v>
      </c>
      <c r="E164" s="9">
        <v>5</v>
      </c>
      <c r="F164" s="9" t="s">
        <v>240</v>
      </c>
      <c r="G164" s="9">
        <f>E164*D164</f>
        <v>95</v>
      </c>
      <c r="H164" s="9">
        <f>E164*D164*C164</f>
        <v>95</v>
      </c>
    </row>
    <row r="165" spans="1:8" x14ac:dyDescent="0.2">
      <c r="B165" s="53" t="s">
        <v>289</v>
      </c>
      <c r="C165" s="9">
        <v>1</v>
      </c>
      <c r="D165" s="9">
        <v>48</v>
      </c>
      <c r="E165" s="9" t="s">
        <v>240</v>
      </c>
      <c r="F165" s="9">
        <v>10</v>
      </c>
      <c r="G165" s="9">
        <f>F165*D165</f>
        <v>480</v>
      </c>
      <c r="H165" s="9">
        <f>F165*D165*C165</f>
        <v>480</v>
      </c>
    </row>
    <row r="166" spans="1:8" x14ac:dyDescent="0.2">
      <c r="C166" s="9"/>
      <c r="D166" s="9"/>
      <c r="E166" s="9"/>
      <c r="F166" s="9"/>
      <c r="G166" s="17" t="s">
        <v>307</v>
      </c>
      <c r="H166" s="17">
        <f>H113+H114+H116+H117+H119+H120+H122+H123+H125+H126+H128+H129+H131+H132+H134+H135+H137+H138+H140+H141+H143+H144+H146+H147+H149+H150+H152+H153+H155+H156+H158+H159+H161+H162+H164+H165</f>
        <v>9576.5213000000003</v>
      </c>
    </row>
    <row r="168" spans="1:8" x14ac:dyDescent="0.2">
      <c r="A168" s="22">
        <v>4</v>
      </c>
      <c r="B168" s="23" t="s">
        <v>308</v>
      </c>
    </row>
    <row r="169" spans="1:8" x14ac:dyDescent="0.2">
      <c r="A169" s="24">
        <v>4.0999999999999996</v>
      </c>
      <c r="B169" s="56" t="s">
        <v>304</v>
      </c>
      <c r="C169" s="30"/>
      <c r="D169" s="30"/>
      <c r="E169" s="30"/>
      <c r="F169" s="30"/>
      <c r="G169" s="30"/>
      <c r="H169" s="30"/>
    </row>
    <row r="170" spans="1:8" x14ac:dyDescent="0.2">
      <c r="A170" s="46"/>
      <c r="B170" s="9" t="s">
        <v>205</v>
      </c>
      <c r="C170" s="9">
        <v>1</v>
      </c>
      <c r="D170" s="9">
        <v>18.5</v>
      </c>
      <c r="E170" s="9">
        <v>0.5</v>
      </c>
      <c r="F170" s="9" t="s">
        <v>240</v>
      </c>
      <c r="G170" s="9">
        <f>E170*D170</f>
        <v>9.25</v>
      </c>
      <c r="H170" s="9">
        <f>E170*D170*C170</f>
        <v>9.25</v>
      </c>
    </row>
    <row r="171" spans="1:8" x14ac:dyDescent="0.2">
      <c r="A171" s="46"/>
      <c r="B171" s="9" t="s">
        <v>206</v>
      </c>
      <c r="C171" s="9">
        <v>1</v>
      </c>
      <c r="D171" s="9">
        <v>18.5</v>
      </c>
      <c r="E171" s="9">
        <v>0.5</v>
      </c>
      <c r="F171" s="9" t="s">
        <v>240</v>
      </c>
      <c r="G171" s="9">
        <f>E171*D171</f>
        <v>9.25</v>
      </c>
      <c r="H171" s="9">
        <f>E171*D171*C171</f>
        <v>9.25</v>
      </c>
    </row>
    <row r="172" spans="1:8" x14ac:dyDescent="0.2">
      <c r="A172" s="46"/>
      <c r="B172" s="9" t="s">
        <v>220</v>
      </c>
      <c r="C172" s="9">
        <v>1</v>
      </c>
      <c r="D172" s="9">
        <v>19</v>
      </c>
      <c r="E172" s="9">
        <v>0.5</v>
      </c>
      <c r="F172" s="9" t="s">
        <v>240</v>
      </c>
      <c r="G172" s="9">
        <f>E172*D172</f>
        <v>9.5</v>
      </c>
      <c r="H172" s="9">
        <f>E172*D172*C172</f>
        <v>9.5</v>
      </c>
    </row>
    <row r="173" spans="1:8" x14ac:dyDescent="0.2">
      <c r="A173" s="46"/>
      <c r="B173" s="57" t="s">
        <v>309</v>
      </c>
      <c r="C173" s="9">
        <v>1</v>
      </c>
      <c r="D173" s="9">
        <v>17.5</v>
      </c>
      <c r="E173" s="9">
        <v>0.5</v>
      </c>
      <c r="F173" s="9" t="s">
        <v>240</v>
      </c>
      <c r="G173" s="9">
        <f>E173*D173</f>
        <v>8.75</v>
      </c>
      <c r="H173" s="9">
        <f>E173*D173*C173</f>
        <v>8.75</v>
      </c>
    </row>
    <row r="174" spans="1:8" x14ac:dyDescent="0.2">
      <c r="A174" s="24">
        <v>4.2</v>
      </c>
      <c r="B174" s="49" t="s">
        <v>287</v>
      </c>
      <c r="C174" s="30"/>
      <c r="D174" s="30"/>
      <c r="E174" s="30"/>
      <c r="F174" s="30"/>
      <c r="G174" s="30"/>
      <c r="H174" s="30"/>
    </row>
    <row r="175" spans="1:8" x14ac:dyDescent="0.2">
      <c r="A175" s="46"/>
      <c r="B175" s="58" t="s">
        <v>210</v>
      </c>
      <c r="C175" s="9">
        <v>1</v>
      </c>
      <c r="D175" s="9">
        <v>29</v>
      </c>
      <c r="E175" s="9">
        <v>0.5</v>
      </c>
      <c r="F175" s="9" t="s">
        <v>240</v>
      </c>
      <c r="G175" s="9">
        <f>E175*D175</f>
        <v>14.5</v>
      </c>
      <c r="H175" s="9">
        <f>E175*D175*C175</f>
        <v>14.5</v>
      </c>
    </row>
    <row r="176" spans="1:8" x14ac:dyDescent="0.2">
      <c r="A176" s="46"/>
      <c r="B176" s="9" t="s">
        <v>211</v>
      </c>
      <c r="C176" s="9">
        <v>1</v>
      </c>
      <c r="D176" s="9">
        <v>28</v>
      </c>
      <c r="E176" s="9">
        <v>0.5</v>
      </c>
      <c r="F176" s="9" t="s">
        <v>240</v>
      </c>
      <c r="G176" s="9">
        <f>E176*D176</f>
        <v>14</v>
      </c>
      <c r="H176" s="9">
        <f>E176*D176*C176</f>
        <v>14</v>
      </c>
    </row>
    <row r="177" spans="1:8" x14ac:dyDescent="0.2">
      <c r="A177" s="46"/>
      <c r="B177" s="59" t="s">
        <v>246</v>
      </c>
      <c r="C177" s="9">
        <v>1</v>
      </c>
      <c r="D177" s="9">
        <v>24.5</v>
      </c>
      <c r="E177" s="9">
        <v>0.5</v>
      </c>
      <c r="F177" s="9" t="s">
        <v>240</v>
      </c>
      <c r="G177" s="60">
        <f>E177*D177</f>
        <v>12.25</v>
      </c>
      <c r="H177" s="60">
        <f>E177*D177*C177</f>
        <v>12.25</v>
      </c>
    </row>
    <row r="178" spans="1:8" x14ac:dyDescent="0.2">
      <c r="A178" s="24">
        <v>4.3</v>
      </c>
      <c r="B178" s="49" t="s">
        <v>291</v>
      </c>
      <c r="C178" s="30"/>
      <c r="D178" s="30"/>
      <c r="E178" s="30"/>
      <c r="F178" s="30"/>
      <c r="G178" s="30"/>
      <c r="H178" s="30"/>
    </row>
    <row r="179" spans="1:8" x14ac:dyDescent="0.2">
      <c r="A179" s="46"/>
      <c r="B179" s="9" t="s">
        <v>210</v>
      </c>
      <c r="C179" s="9">
        <v>1</v>
      </c>
      <c r="D179" s="9">
        <v>20.166599999999999</v>
      </c>
      <c r="E179" s="9">
        <v>0.5</v>
      </c>
      <c r="F179" s="9" t="s">
        <v>240</v>
      </c>
      <c r="G179" s="9">
        <f>E179*D179</f>
        <v>10.083299999999999</v>
      </c>
      <c r="H179" s="9">
        <f>E179*D179*C179</f>
        <v>10.083299999999999</v>
      </c>
    </row>
    <row r="180" spans="1:8" x14ac:dyDescent="0.2">
      <c r="A180" s="46"/>
      <c r="B180" s="57" t="s">
        <v>211</v>
      </c>
      <c r="C180" s="9">
        <v>1</v>
      </c>
      <c r="D180" s="9">
        <v>29.666</v>
      </c>
      <c r="E180" s="9">
        <v>0.5</v>
      </c>
      <c r="F180" s="9" t="s">
        <v>240</v>
      </c>
      <c r="G180" s="9">
        <f>E180*D180</f>
        <v>14.833</v>
      </c>
      <c r="H180" s="9">
        <f>E180*D180*C180</f>
        <v>14.833</v>
      </c>
    </row>
    <row r="181" spans="1:8" x14ac:dyDescent="0.2">
      <c r="A181" s="24">
        <v>4.4000000000000004</v>
      </c>
      <c r="B181" s="49" t="s">
        <v>292</v>
      </c>
      <c r="C181" s="30"/>
      <c r="D181" s="30"/>
      <c r="E181" s="30"/>
      <c r="F181" s="30"/>
      <c r="G181" s="30"/>
      <c r="H181" s="30"/>
    </row>
    <row r="182" spans="1:8" x14ac:dyDescent="0.2">
      <c r="A182" s="46"/>
      <c r="B182" s="9" t="s">
        <v>210</v>
      </c>
      <c r="C182" s="9">
        <v>1</v>
      </c>
      <c r="D182" s="9">
        <v>24</v>
      </c>
      <c r="E182" s="9">
        <v>0.5</v>
      </c>
      <c r="F182" s="9" t="s">
        <v>240</v>
      </c>
      <c r="G182" s="9">
        <f>E182*D182</f>
        <v>12</v>
      </c>
      <c r="H182" s="9">
        <f>E182*D182*C182</f>
        <v>12</v>
      </c>
    </row>
    <row r="183" spans="1:8" x14ac:dyDescent="0.2">
      <c r="A183" s="46"/>
      <c r="B183" s="57" t="s">
        <v>205</v>
      </c>
      <c r="C183" s="9">
        <v>1</v>
      </c>
      <c r="D183" s="9">
        <v>17.75</v>
      </c>
      <c r="E183" s="9">
        <v>0.5</v>
      </c>
      <c r="F183" s="9" t="s">
        <v>240</v>
      </c>
      <c r="G183" s="9">
        <f>E183*D183</f>
        <v>8.875</v>
      </c>
      <c r="H183" s="9">
        <f>E183*D183*C183</f>
        <v>8.875</v>
      </c>
    </row>
    <row r="184" spans="1:8" x14ac:dyDescent="0.2">
      <c r="A184" s="24">
        <v>4.5</v>
      </c>
      <c r="B184" s="49" t="s">
        <v>293</v>
      </c>
      <c r="C184" s="30"/>
      <c r="D184" s="30"/>
      <c r="E184" s="30"/>
      <c r="F184" s="30"/>
      <c r="G184" s="30"/>
      <c r="H184" s="30"/>
    </row>
    <row r="185" spans="1:8" x14ac:dyDescent="0.2">
      <c r="A185" s="46"/>
      <c r="B185" s="9" t="s">
        <v>205</v>
      </c>
      <c r="C185" s="9">
        <v>1</v>
      </c>
      <c r="D185" s="9">
        <v>16.5</v>
      </c>
      <c r="E185" s="9">
        <v>0.5</v>
      </c>
      <c r="F185" s="9" t="s">
        <v>240</v>
      </c>
      <c r="G185" s="60">
        <f>E185*D185</f>
        <v>8.25</v>
      </c>
      <c r="H185" s="60">
        <f>E185*D185*C185</f>
        <v>8.25</v>
      </c>
    </row>
    <row r="186" spans="1:8" x14ac:dyDescent="0.2">
      <c r="A186" s="46"/>
      <c r="B186" s="59" t="s">
        <v>217</v>
      </c>
      <c r="C186" s="9">
        <v>1</v>
      </c>
      <c r="D186" s="9">
        <v>8</v>
      </c>
      <c r="E186" s="9">
        <v>0.5</v>
      </c>
      <c r="F186" s="9" t="s">
        <v>240</v>
      </c>
      <c r="G186" s="9">
        <f>E186*D186</f>
        <v>4</v>
      </c>
      <c r="H186" s="9">
        <f>E186*D186*C186</f>
        <v>4</v>
      </c>
    </row>
    <row r="187" spans="1:8" x14ac:dyDescent="0.2">
      <c r="A187" s="24">
        <v>4.5999999999999996</v>
      </c>
      <c r="B187" s="49" t="s">
        <v>295</v>
      </c>
      <c r="C187" s="30"/>
      <c r="D187" s="30"/>
      <c r="E187" s="30"/>
      <c r="F187" s="30"/>
      <c r="G187" s="30"/>
      <c r="H187" s="30"/>
    </row>
    <row r="188" spans="1:8" x14ac:dyDescent="0.2">
      <c r="A188" s="46"/>
      <c r="B188" s="9" t="s">
        <v>210</v>
      </c>
      <c r="C188" s="9">
        <v>1</v>
      </c>
      <c r="D188" s="9">
        <v>24</v>
      </c>
      <c r="E188" s="9">
        <v>0.5</v>
      </c>
      <c r="F188" s="9" t="s">
        <v>240</v>
      </c>
      <c r="G188" s="9">
        <f>E188*D188</f>
        <v>12</v>
      </c>
      <c r="H188" s="9">
        <f>E188*D188*C188</f>
        <v>12</v>
      </c>
    </row>
    <row r="189" spans="1:8" x14ac:dyDescent="0.2">
      <c r="A189" s="46"/>
      <c r="B189" s="57" t="s">
        <v>205</v>
      </c>
      <c r="C189" s="9">
        <v>1</v>
      </c>
      <c r="D189" s="9">
        <v>17.5</v>
      </c>
      <c r="E189" s="9">
        <v>0.5</v>
      </c>
      <c r="F189" s="9" t="s">
        <v>240</v>
      </c>
      <c r="G189" s="9">
        <f>E189*D189</f>
        <v>8.75</v>
      </c>
      <c r="H189" s="9">
        <f>E189*D189*C189</f>
        <v>8.75</v>
      </c>
    </row>
    <row r="190" spans="1:8" x14ac:dyDescent="0.2">
      <c r="A190" s="24">
        <v>4.7</v>
      </c>
      <c r="B190" s="49" t="s">
        <v>296</v>
      </c>
      <c r="C190" s="30"/>
      <c r="D190" s="30"/>
      <c r="E190" s="30"/>
      <c r="F190" s="30"/>
      <c r="G190" s="30"/>
      <c r="H190" s="30"/>
    </row>
    <row r="191" spans="1:8" x14ac:dyDescent="0.2">
      <c r="A191" s="46"/>
      <c r="B191" s="9" t="s">
        <v>205</v>
      </c>
      <c r="C191" s="9">
        <v>1</v>
      </c>
      <c r="D191" s="9">
        <v>16.5</v>
      </c>
      <c r="E191" s="9">
        <v>0.5</v>
      </c>
      <c r="F191" s="9" t="s">
        <v>240</v>
      </c>
      <c r="G191" s="61">
        <f>E191*D191</f>
        <v>8.25</v>
      </c>
      <c r="H191" s="61">
        <f>E191*D191*C191</f>
        <v>8.25</v>
      </c>
    </row>
    <row r="192" spans="1:8" x14ac:dyDescent="0.2">
      <c r="A192" s="46"/>
      <c r="B192" s="59" t="s">
        <v>217</v>
      </c>
      <c r="C192" s="9">
        <v>1</v>
      </c>
      <c r="D192" s="9">
        <v>8</v>
      </c>
      <c r="E192" s="9">
        <v>0.5</v>
      </c>
      <c r="F192" s="9" t="s">
        <v>240</v>
      </c>
      <c r="G192" s="9">
        <f>E192*D192</f>
        <v>4</v>
      </c>
      <c r="H192" s="9">
        <f>E192*D192*C192</f>
        <v>4</v>
      </c>
    </row>
    <row r="193" spans="1:8" x14ac:dyDescent="0.2">
      <c r="A193" s="24">
        <v>4.8</v>
      </c>
      <c r="B193" s="49" t="s">
        <v>298</v>
      </c>
      <c r="C193" s="30"/>
      <c r="D193" s="30"/>
      <c r="E193" s="30"/>
      <c r="F193" s="30"/>
      <c r="G193" s="30"/>
      <c r="H193" s="30"/>
    </row>
    <row r="194" spans="1:8" x14ac:dyDescent="0.2">
      <c r="A194" s="46"/>
      <c r="B194" s="9" t="s">
        <v>210</v>
      </c>
      <c r="C194" s="9">
        <v>1</v>
      </c>
      <c r="D194" s="9">
        <v>24</v>
      </c>
      <c r="E194" s="9">
        <v>0.5</v>
      </c>
      <c r="F194" s="9" t="s">
        <v>240</v>
      </c>
      <c r="G194" s="9">
        <f>E194*D194</f>
        <v>12</v>
      </c>
      <c r="H194" s="9">
        <f>E194*D194*C194</f>
        <v>12</v>
      </c>
    </row>
    <row r="195" spans="1:8" x14ac:dyDescent="0.2">
      <c r="A195" s="46"/>
      <c r="B195" s="57" t="s">
        <v>205</v>
      </c>
      <c r="C195" s="9">
        <v>1</v>
      </c>
      <c r="D195" s="9">
        <v>17.5</v>
      </c>
      <c r="E195" s="9">
        <v>0.5</v>
      </c>
      <c r="F195" s="9" t="s">
        <v>240</v>
      </c>
      <c r="G195" s="60">
        <f>E195*D195</f>
        <v>8.75</v>
      </c>
      <c r="H195" s="60">
        <f>E195*D195*C195</f>
        <v>8.75</v>
      </c>
    </row>
    <row r="196" spans="1:8" x14ac:dyDescent="0.2">
      <c r="A196" s="24">
        <v>4.9000000000000004</v>
      </c>
      <c r="B196" s="49" t="s">
        <v>299</v>
      </c>
      <c r="C196" s="30"/>
      <c r="D196" s="30"/>
      <c r="E196" s="30"/>
      <c r="F196" s="30"/>
      <c r="G196" s="30"/>
      <c r="H196" s="30"/>
    </row>
    <row r="197" spans="1:8" x14ac:dyDescent="0.2">
      <c r="A197" s="46"/>
      <c r="B197" s="60" t="s">
        <v>205</v>
      </c>
      <c r="C197" s="60">
        <v>1</v>
      </c>
      <c r="D197" s="60">
        <v>16.5</v>
      </c>
      <c r="E197" s="60">
        <v>0.5</v>
      </c>
      <c r="F197" s="60" t="s">
        <v>240</v>
      </c>
      <c r="G197" s="60">
        <f>E197*D197</f>
        <v>8.25</v>
      </c>
      <c r="H197" s="60">
        <f>E197*D197*C197</f>
        <v>8.25</v>
      </c>
    </row>
    <row r="198" spans="1:8" x14ac:dyDescent="0.2">
      <c r="A198" s="46"/>
      <c r="B198" s="57" t="s">
        <v>217</v>
      </c>
      <c r="C198" s="9">
        <v>1</v>
      </c>
      <c r="D198" s="9">
        <v>8</v>
      </c>
      <c r="E198" s="9">
        <v>0.5</v>
      </c>
      <c r="F198" s="9" t="s">
        <v>240</v>
      </c>
      <c r="G198" s="9">
        <f>E198*D198</f>
        <v>4</v>
      </c>
      <c r="H198" s="9">
        <f>E198*D198*C198</f>
        <v>4</v>
      </c>
    </row>
    <row r="199" spans="1:8" x14ac:dyDescent="0.2">
      <c r="A199" s="24">
        <v>4.0999999999999996</v>
      </c>
      <c r="B199" s="49" t="s">
        <v>301</v>
      </c>
      <c r="C199" s="30"/>
      <c r="D199" s="30"/>
      <c r="E199" s="30"/>
      <c r="F199" s="30"/>
      <c r="G199" s="30"/>
      <c r="H199" s="30"/>
    </row>
    <row r="200" spans="1:8" x14ac:dyDescent="0.2">
      <c r="A200" s="46"/>
      <c r="B200" s="9" t="s">
        <v>205</v>
      </c>
      <c r="C200" s="9">
        <v>1</v>
      </c>
      <c r="D200" s="9">
        <v>16.5</v>
      </c>
      <c r="E200" s="9">
        <v>0.5</v>
      </c>
      <c r="F200" s="9" t="s">
        <v>240</v>
      </c>
      <c r="G200" s="9">
        <f>E200*D200</f>
        <v>8.25</v>
      </c>
      <c r="H200" s="9">
        <f>E200*D200*C200</f>
        <v>8.25</v>
      </c>
    </row>
    <row r="201" spans="1:8" x14ac:dyDescent="0.2">
      <c r="A201" s="46"/>
      <c r="B201" s="57" t="s">
        <v>210</v>
      </c>
      <c r="C201" s="9">
        <v>1</v>
      </c>
      <c r="D201" s="9">
        <v>23</v>
      </c>
      <c r="E201" s="9">
        <v>0.5</v>
      </c>
      <c r="F201" s="9" t="s">
        <v>240</v>
      </c>
      <c r="G201" s="9">
        <f>E201*D201</f>
        <v>11.5</v>
      </c>
      <c r="H201" s="9">
        <f>E201*D201*C201</f>
        <v>11.5</v>
      </c>
    </row>
    <row r="202" spans="1:8" x14ac:dyDescent="0.2">
      <c r="A202" s="24">
        <v>4.1100000000000003</v>
      </c>
      <c r="B202" s="49" t="s">
        <v>310</v>
      </c>
      <c r="C202" s="30"/>
      <c r="D202" s="30"/>
      <c r="E202" s="30"/>
      <c r="F202" s="30"/>
      <c r="G202" s="30"/>
      <c r="H202" s="30"/>
    </row>
    <row r="203" spans="1:8" x14ac:dyDescent="0.2">
      <c r="A203" s="46"/>
      <c r="B203" s="57" t="s">
        <v>205</v>
      </c>
      <c r="C203" s="9">
        <v>1</v>
      </c>
      <c r="D203" s="9">
        <v>16.5</v>
      </c>
      <c r="E203" s="9">
        <v>0.5</v>
      </c>
      <c r="F203" s="9" t="s">
        <v>240</v>
      </c>
      <c r="G203" s="9">
        <f>E203*D203</f>
        <v>8.25</v>
      </c>
      <c r="H203" s="9">
        <f>E203*D203*C203</f>
        <v>8.25</v>
      </c>
    </row>
    <row r="204" spans="1:8" x14ac:dyDescent="0.2">
      <c r="A204" s="24">
        <v>4.12</v>
      </c>
      <c r="B204" s="49" t="s">
        <v>303</v>
      </c>
      <c r="C204" s="30"/>
      <c r="D204" s="30"/>
      <c r="E204" s="30"/>
      <c r="F204" s="30"/>
      <c r="G204" s="30"/>
      <c r="H204" s="30"/>
    </row>
    <row r="205" spans="1:8" x14ac:dyDescent="0.2">
      <c r="A205" s="46"/>
      <c r="B205" s="57" t="s">
        <v>210</v>
      </c>
      <c r="C205" s="9">
        <v>1</v>
      </c>
      <c r="D205" s="9">
        <v>23</v>
      </c>
      <c r="E205" s="9">
        <v>0.5</v>
      </c>
      <c r="F205" s="9" t="s">
        <v>240</v>
      </c>
      <c r="G205" s="9">
        <f>E205*D205</f>
        <v>11.5</v>
      </c>
      <c r="H205" s="9">
        <f>E205*D205*C205</f>
        <v>11.5</v>
      </c>
    </row>
    <row r="206" spans="1:8" x14ac:dyDescent="0.2">
      <c r="A206" s="24">
        <v>4.13</v>
      </c>
      <c r="B206" s="49" t="s">
        <v>305</v>
      </c>
      <c r="C206" s="30"/>
      <c r="D206" s="30"/>
      <c r="E206" s="30"/>
      <c r="F206" s="30"/>
      <c r="G206" s="30"/>
      <c r="H206" s="30"/>
    </row>
    <row r="207" spans="1:8" x14ac:dyDescent="0.2">
      <c r="A207" s="46"/>
      <c r="B207" s="9" t="s">
        <v>205</v>
      </c>
      <c r="C207" s="9">
        <v>1</v>
      </c>
      <c r="D207" s="9">
        <v>16.5</v>
      </c>
      <c r="E207" s="9">
        <v>0.5</v>
      </c>
      <c r="F207" s="9" t="s">
        <v>240</v>
      </c>
      <c r="G207" s="9">
        <f>E207*D207</f>
        <v>8.25</v>
      </c>
      <c r="H207" s="9">
        <f>E207*D207*C207</f>
        <v>8.25</v>
      </c>
    </row>
    <row r="208" spans="1:8" x14ac:dyDescent="0.2">
      <c r="A208" s="46"/>
      <c r="B208" s="9" t="s">
        <v>210</v>
      </c>
      <c r="C208" s="9">
        <v>1</v>
      </c>
      <c r="D208" s="9">
        <v>15</v>
      </c>
      <c r="E208" s="9">
        <v>0.5</v>
      </c>
      <c r="F208" s="9" t="s">
        <v>240</v>
      </c>
      <c r="G208" s="9">
        <f>E208*D208</f>
        <v>7.5</v>
      </c>
      <c r="H208" s="9">
        <f>E208*D208*C208</f>
        <v>7.5</v>
      </c>
    </row>
    <row r="209" spans="1:8" x14ac:dyDescent="0.2">
      <c r="A209" s="46"/>
      <c r="B209" s="57" t="s">
        <v>211</v>
      </c>
      <c r="C209" s="9">
        <v>1</v>
      </c>
      <c r="D209" s="9">
        <v>16</v>
      </c>
      <c r="E209" s="9">
        <v>0.5</v>
      </c>
      <c r="F209" s="9" t="s">
        <v>240</v>
      </c>
      <c r="G209" s="9">
        <f>E209*D209</f>
        <v>8</v>
      </c>
      <c r="H209" s="9">
        <f>E209*D209*C209</f>
        <v>8</v>
      </c>
    </row>
    <row r="210" spans="1:8" x14ac:dyDescent="0.2">
      <c r="A210" s="24">
        <v>4.1399999999999997</v>
      </c>
      <c r="B210" s="49" t="s">
        <v>290</v>
      </c>
      <c r="C210" s="30"/>
      <c r="D210" s="30"/>
      <c r="E210" s="30"/>
      <c r="F210" s="30"/>
      <c r="G210" s="30"/>
      <c r="H210" s="30"/>
    </row>
    <row r="211" spans="1:8" x14ac:dyDescent="0.2">
      <c r="B211" s="9" t="s">
        <v>217</v>
      </c>
      <c r="C211" s="9">
        <v>1</v>
      </c>
      <c r="D211" s="9">
        <v>8</v>
      </c>
      <c r="E211" s="9">
        <v>0.5</v>
      </c>
      <c r="F211" s="9" t="s">
        <v>240</v>
      </c>
      <c r="G211" s="9">
        <f>E211*D211</f>
        <v>4</v>
      </c>
      <c r="H211" s="9">
        <f>E211*D211*C211</f>
        <v>4</v>
      </c>
    </row>
    <row r="212" spans="1:8" x14ac:dyDescent="0.2">
      <c r="B212" s="9" t="s">
        <v>205</v>
      </c>
      <c r="C212" s="9">
        <v>1</v>
      </c>
      <c r="D212" s="9">
        <v>16.5</v>
      </c>
      <c r="E212" s="9">
        <v>0.5</v>
      </c>
      <c r="F212" s="9" t="s">
        <v>240</v>
      </c>
      <c r="G212" s="9">
        <f>E212*D212</f>
        <v>8.25</v>
      </c>
      <c r="H212" s="9">
        <f>E212*D212*C212</f>
        <v>8.25</v>
      </c>
    </row>
    <row r="213" spans="1:8" x14ac:dyDescent="0.2">
      <c r="G213" s="62" t="s">
        <v>307</v>
      </c>
      <c r="H213" s="62">
        <f>H170+H171+H172+H173+H175+H176+H177+H179+H180+H182+H183+H185+H186+H188+H189+H191+H192+H194+H195+H197+H198+H200+H201+H203+H205+H207+H208+H209+H211+H212</f>
        <v>277.04129999999998</v>
      </c>
    </row>
    <row r="215" spans="1:8" x14ac:dyDescent="0.2">
      <c r="A215" s="22">
        <v>5</v>
      </c>
      <c r="B215" s="23" t="s">
        <v>277</v>
      </c>
    </row>
    <row r="216" spans="1:8" x14ac:dyDescent="0.2">
      <c r="A216" s="24">
        <v>5.0999999999999996</v>
      </c>
      <c r="B216" s="56" t="s">
        <v>304</v>
      </c>
      <c r="C216" s="30"/>
      <c r="D216" s="30"/>
      <c r="E216" s="30"/>
      <c r="F216" s="30"/>
      <c r="G216" s="30"/>
      <c r="H216" s="30"/>
    </row>
    <row r="217" spans="1:8" x14ac:dyDescent="0.2">
      <c r="A217" s="46"/>
      <c r="B217" s="9" t="s">
        <v>205</v>
      </c>
      <c r="C217" s="9">
        <v>1</v>
      </c>
      <c r="D217" s="9">
        <v>4.5</v>
      </c>
      <c r="E217" s="9" t="s">
        <v>240</v>
      </c>
      <c r="F217" s="9">
        <v>7</v>
      </c>
      <c r="G217" s="9">
        <f>F217*D217</f>
        <v>31.5</v>
      </c>
      <c r="H217" s="9">
        <f>F217*D217*C217</f>
        <v>31.5</v>
      </c>
    </row>
    <row r="218" spans="1:8" x14ac:dyDescent="0.2">
      <c r="A218" s="46"/>
      <c r="B218" s="9" t="s">
        <v>206</v>
      </c>
      <c r="C218" s="9">
        <v>1</v>
      </c>
      <c r="D218" s="9">
        <v>4.5</v>
      </c>
      <c r="E218" s="9" t="s">
        <v>240</v>
      </c>
      <c r="F218" s="9">
        <v>7</v>
      </c>
      <c r="G218" s="9">
        <f>F218*D218</f>
        <v>31.5</v>
      </c>
      <c r="H218" s="9">
        <f>F218*D218*C218</f>
        <v>31.5</v>
      </c>
    </row>
    <row r="219" spans="1:8" x14ac:dyDescent="0.2">
      <c r="A219" s="46"/>
      <c r="B219" s="9" t="s">
        <v>220</v>
      </c>
      <c r="C219" s="9">
        <v>1</v>
      </c>
      <c r="D219" s="9">
        <v>5</v>
      </c>
      <c r="E219" s="9" t="s">
        <v>240</v>
      </c>
      <c r="F219" s="9">
        <v>7</v>
      </c>
      <c r="G219" s="9">
        <f>F219*D219</f>
        <v>35</v>
      </c>
      <c r="H219" s="9">
        <f>F219*D219*C219</f>
        <v>35</v>
      </c>
    </row>
    <row r="220" spans="1:8" x14ac:dyDescent="0.2">
      <c r="A220" s="46"/>
      <c r="B220" s="57" t="s">
        <v>309</v>
      </c>
      <c r="C220" s="9">
        <v>1</v>
      </c>
      <c r="D220" s="9">
        <v>3.5</v>
      </c>
      <c r="E220" s="107" t="s">
        <v>240</v>
      </c>
      <c r="F220" s="9">
        <v>7</v>
      </c>
      <c r="G220" s="9">
        <f>F220*D220</f>
        <v>24.5</v>
      </c>
      <c r="H220" s="9">
        <f>F220*D220*C220</f>
        <v>24.5</v>
      </c>
    </row>
    <row r="221" spans="1:8" x14ac:dyDescent="0.2">
      <c r="A221" s="24">
        <v>5.2</v>
      </c>
      <c r="B221" s="49" t="s">
        <v>287</v>
      </c>
      <c r="C221" s="30"/>
      <c r="D221" s="30"/>
      <c r="E221" s="30"/>
      <c r="F221" s="30"/>
      <c r="G221" s="30"/>
      <c r="H221" s="30"/>
    </row>
    <row r="222" spans="1:8" x14ac:dyDescent="0.2">
      <c r="A222" s="46"/>
      <c r="B222" s="58" t="s">
        <v>210</v>
      </c>
      <c r="C222" s="9">
        <v>1</v>
      </c>
      <c r="D222" s="9">
        <v>10.5</v>
      </c>
      <c r="E222" s="9" t="s">
        <v>240</v>
      </c>
      <c r="F222" s="9">
        <v>4</v>
      </c>
      <c r="G222" s="9">
        <f>F222*D222</f>
        <v>42</v>
      </c>
      <c r="H222" s="9">
        <f>F222*D222*C222</f>
        <v>42</v>
      </c>
    </row>
    <row r="223" spans="1:8" x14ac:dyDescent="0.2">
      <c r="A223" s="46"/>
      <c r="B223" s="9" t="s">
        <v>211</v>
      </c>
      <c r="C223" s="9">
        <v>1</v>
      </c>
      <c r="D223" s="9">
        <v>10</v>
      </c>
      <c r="E223" s="9" t="s">
        <v>240</v>
      </c>
      <c r="F223" s="9">
        <v>4</v>
      </c>
      <c r="G223" s="9">
        <f>F223*D223</f>
        <v>40</v>
      </c>
      <c r="H223" s="9">
        <f>F223*D223*C223</f>
        <v>40</v>
      </c>
    </row>
    <row r="224" spans="1:8" x14ac:dyDescent="0.2">
      <c r="A224" s="46"/>
      <c r="B224" s="59" t="s">
        <v>246</v>
      </c>
      <c r="C224" s="9">
        <v>1</v>
      </c>
      <c r="D224" s="9">
        <v>10.5</v>
      </c>
      <c r="E224" s="9" t="s">
        <v>240</v>
      </c>
      <c r="F224" s="9">
        <v>7</v>
      </c>
      <c r="G224" s="60">
        <f>F224*D224</f>
        <v>73.5</v>
      </c>
      <c r="H224" s="60">
        <f>F224*D224*C224</f>
        <v>73.5</v>
      </c>
    </row>
    <row r="225" spans="1:8" x14ac:dyDescent="0.2">
      <c r="A225" s="24">
        <v>5.3</v>
      </c>
      <c r="B225" s="49" t="s">
        <v>291</v>
      </c>
      <c r="C225" s="30"/>
      <c r="D225" s="30"/>
      <c r="E225" s="30"/>
      <c r="F225" s="30"/>
      <c r="G225" s="30"/>
      <c r="H225" s="30"/>
    </row>
    <row r="226" spans="1:8" x14ac:dyDescent="0.2">
      <c r="A226" s="46"/>
      <c r="B226" s="9" t="s">
        <v>210</v>
      </c>
      <c r="C226" s="9">
        <v>1</v>
      </c>
      <c r="D226" s="9">
        <v>6.0833000000000004</v>
      </c>
      <c r="E226" s="9" t="s">
        <v>240</v>
      </c>
      <c r="F226" s="9">
        <v>4</v>
      </c>
      <c r="G226" s="9">
        <f>F226*D226</f>
        <v>24.333200000000001</v>
      </c>
      <c r="H226" s="9">
        <f>F226*D226*C226</f>
        <v>24.333200000000001</v>
      </c>
    </row>
    <row r="227" spans="1:8" x14ac:dyDescent="0.2">
      <c r="A227" s="46"/>
      <c r="B227" s="57" t="s">
        <v>211</v>
      </c>
      <c r="C227" s="9">
        <v>1</v>
      </c>
      <c r="D227" s="9">
        <v>4.8330000000000002</v>
      </c>
      <c r="E227" s="9" t="s">
        <v>240</v>
      </c>
      <c r="F227" s="9">
        <v>4</v>
      </c>
      <c r="G227" s="9">
        <f>F227*D227</f>
        <v>19.332000000000001</v>
      </c>
      <c r="H227" s="9">
        <f>F227*D227*C227</f>
        <v>19.332000000000001</v>
      </c>
    </row>
    <row r="228" spans="1:8" x14ac:dyDescent="0.2">
      <c r="A228" s="24">
        <v>5.4</v>
      </c>
      <c r="B228" s="49" t="s">
        <v>292</v>
      </c>
      <c r="C228" s="30"/>
      <c r="D228" s="30"/>
      <c r="E228" s="30"/>
      <c r="F228" s="30"/>
      <c r="G228" s="30"/>
      <c r="H228" s="30"/>
    </row>
    <row r="229" spans="1:8" x14ac:dyDescent="0.2">
      <c r="A229" s="46"/>
      <c r="B229" s="9" t="s">
        <v>210</v>
      </c>
      <c r="C229" s="9">
        <v>1</v>
      </c>
      <c r="D229" s="9">
        <v>8</v>
      </c>
      <c r="E229" s="9" t="s">
        <v>240</v>
      </c>
      <c r="F229" s="9">
        <v>4</v>
      </c>
      <c r="G229" s="9">
        <f>F229*D229</f>
        <v>32</v>
      </c>
      <c r="H229" s="9">
        <f>F229*D229*C229</f>
        <v>32</v>
      </c>
    </row>
    <row r="230" spans="1:8" x14ac:dyDescent="0.2">
      <c r="A230" s="46"/>
      <c r="B230" s="57" t="s">
        <v>205</v>
      </c>
      <c r="C230" s="9">
        <v>1</v>
      </c>
      <c r="D230" s="9">
        <v>3.75</v>
      </c>
      <c r="E230" s="9" t="s">
        <v>240</v>
      </c>
      <c r="F230" s="9">
        <v>7</v>
      </c>
      <c r="G230" s="9">
        <f>F230*D230</f>
        <v>26.25</v>
      </c>
      <c r="H230" s="9">
        <f>F230*D230*C230</f>
        <v>26.25</v>
      </c>
    </row>
    <row r="231" spans="1:8" x14ac:dyDescent="0.2">
      <c r="A231" s="24">
        <v>5.5</v>
      </c>
      <c r="B231" s="49" t="s">
        <v>293</v>
      </c>
      <c r="C231" s="30"/>
      <c r="D231" s="30"/>
      <c r="E231" s="30"/>
      <c r="F231" s="30"/>
      <c r="G231" s="30"/>
      <c r="H231" s="30"/>
    </row>
    <row r="232" spans="1:8" x14ac:dyDescent="0.2">
      <c r="A232" s="46"/>
      <c r="B232" s="9" t="s">
        <v>205</v>
      </c>
      <c r="C232" s="9">
        <v>1</v>
      </c>
      <c r="D232" s="9">
        <v>2.5</v>
      </c>
      <c r="E232" s="9" t="s">
        <v>240</v>
      </c>
      <c r="F232" s="9">
        <v>7</v>
      </c>
      <c r="G232" s="60">
        <f>F232*D232</f>
        <v>17.5</v>
      </c>
      <c r="H232" s="60">
        <f>F232*D232*C232</f>
        <v>17.5</v>
      </c>
    </row>
    <row r="233" spans="1:8" x14ac:dyDescent="0.2">
      <c r="A233" s="46"/>
      <c r="B233" s="59" t="s">
        <v>217</v>
      </c>
      <c r="C233" s="9">
        <v>1</v>
      </c>
      <c r="D233" s="9">
        <v>2</v>
      </c>
      <c r="E233" s="9" t="s">
        <v>240</v>
      </c>
      <c r="F233" s="9">
        <v>1.5</v>
      </c>
      <c r="G233" s="9">
        <f>F233*D233</f>
        <v>3</v>
      </c>
      <c r="H233" s="9">
        <f>F233*D233*C233</f>
        <v>3</v>
      </c>
    </row>
    <row r="234" spans="1:8" x14ac:dyDescent="0.2">
      <c r="A234" s="24">
        <v>5.6</v>
      </c>
      <c r="B234" s="49" t="s">
        <v>295</v>
      </c>
      <c r="C234" s="30"/>
      <c r="D234" s="30"/>
      <c r="E234" s="30"/>
      <c r="F234" s="30"/>
      <c r="G234" s="30"/>
      <c r="H234" s="30"/>
    </row>
    <row r="235" spans="1:8" x14ac:dyDescent="0.2">
      <c r="A235" s="46"/>
      <c r="B235" s="9" t="s">
        <v>210</v>
      </c>
      <c r="C235" s="9">
        <v>1</v>
      </c>
      <c r="D235" s="9">
        <v>8</v>
      </c>
      <c r="E235" s="9" t="s">
        <v>240</v>
      </c>
      <c r="F235" s="9">
        <v>4</v>
      </c>
      <c r="G235" s="9">
        <f>F235*D235</f>
        <v>32</v>
      </c>
      <c r="H235" s="9">
        <f>F235*D235*C235</f>
        <v>32</v>
      </c>
    </row>
    <row r="236" spans="1:8" x14ac:dyDescent="0.2">
      <c r="A236" s="46"/>
      <c r="B236" s="57" t="s">
        <v>205</v>
      </c>
      <c r="C236" s="9">
        <v>1</v>
      </c>
      <c r="D236" s="9">
        <v>3.5</v>
      </c>
      <c r="E236" s="9" t="s">
        <v>240</v>
      </c>
      <c r="F236" s="9">
        <v>7</v>
      </c>
      <c r="G236" s="9">
        <f>F236*D236</f>
        <v>24.5</v>
      </c>
      <c r="H236" s="9">
        <f>F236*D236*C236</f>
        <v>24.5</v>
      </c>
    </row>
    <row r="237" spans="1:8" x14ac:dyDescent="0.2">
      <c r="A237" s="24">
        <v>5.7</v>
      </c>
      <c r="B237" s="49" t="s">
        <v>296</v>
      </c>
      <c r="C237" s="30"/>
      <c r="D237" s="30"/>
      <c r="E237" s="30"/>
      <c r="F237" s="30"/>
      <c r="G237" s="30"/>
      <c r="H237" s="30"/>
    </row>
    <row r="238" spans="1:8" x14ac:dyDescent="0.2">
      <c r="A238" s="46"/>
      <c r="B238" s="9" t="s">
        <v>205</v>
      </c>
      <c r="C238" s="9">
        <v>1</v>
      </c>
      <c r="D238" s="9">
        <v>2.5</v>
      </c>
      <c r="E238" s="9" t="s">
        <v>240</v>
      </c>
      <c r="F238" s="9">
        <v>7</v>
      </c>
      <c r="G238" s="61">
        <f>F238*D238</f>
        <v>17.5</v>
      </c>
      <c r="H238" s="61">
        <f>F238*D238*C238</f>
        <v>17.5</v>
      </c>
    </row>
    <row r="239" spans="1:8" x14ac:dyDescent="0.2">
      <c r="A239" s="46"/>
      <c r="B239" s="59" t="s">
        <v>217</v>
      </c>
      <c r="C239" s="9">
        <v>1</v>
      </c>
      <c r="D239" s="9">
        <v>2</v>
      </c>
      <c r="E239" s="9" t="s">
        <v>240</v>
      </c>
      <c r="F239" s="9">
        <v>1.5</v>
      </c>
      <c r="G239" s="9">
        <f>F239*D239</f>
        <v>3</v>
      </c>
      <c r="H239" s="9">
        <f>F239*D239*C239</f>
        <v>3</v>
      </c>
    </row>
    <row r="240" spans="1:8" x14ac:dyDescent="0.2">
      <c r="A240" s="24">
        <v>5.8</v>
      </c>
      <c r="B240" s="49" t="s">
        <v>298</v>
      </c>
      <c r="C240" s="30"/>
      <c r="D240" s="30"/>
      <c r="E240" s="30"/>
      <c r="F240" s="30"/>
      <c r="G240" s="30"/>
      <c r="H240" s="30"/>
    </row>
    <row r="241" spans="1:8" x14ac:dyDescent="0.2">
      <c r="A241" s="46"/>
      <c r="B241" s="9" t="s">
        <v>210</v>
      </c>
      <c r="C241" s="9">
        <v>1</v>
      </c>
      <c r="D241" s="9">
        <v>8</v>
      </c>
      <c r="E241" s="9" t="s">
        <v>240</v>
      </c>
      <c r="F241" s="9">
        <v>4</v>
      </c>
      <c r="G241" s="9">
        <f>F241*D241</f>
        <v>32</v>
      </c>
      <c r="H241" s="9">
        <f>F241*D241*C241</f>
        <v>32</v>
      </c>
    </row>
    <row r="242" spans="1:8" x14ac:dyDescent="0.2">
      <c r="A242" s="46"/>
      <c r="B242" s="57" t="s">
        <v>205</v>
      </c>
      <c r="C242" s="9">
        <v>1</v>
      </c>
      <c r="D242" s="9">
        <v>3.5</v>
      </c>
      <c r="E242" s="9" t="s">
        <v>240</v>
      </c>
      <c r="F242" s="9">
        <v>7</v>
      </c>
      <c r="G242" s="60">
        <f>F242*D242</f>
        <v>24.5</v>
      </c>
      <c r="H242" s="60">
        <f>F242*D242*C242</f>
        <v>24.5</v>
      </c>
    </row>
    <row r="243" spans="1:8" x14ac:dyDescent="0.2">
      <c r="A243" s="24">
        <v>5.9</v>
      </c>
      <c r="B243" s="49" t="s">
        <v>299</v>
      </c>
      <c r="C243" s="30"/>
      <c r="D243" s="30"/>
      <c r="E243" s="30"/>
      <c r="F243" s="30"/>
      <c r="G243" s="30"/>
      <c r="H243" s="30"/>
    </row>
    <row r="244" spans="1:8" x14ac:dyDescent="0.2">
      <c r="A244" s="46"/>
      <c r="B244" s="60" t="s">
        <v>205</v>
      </c>
      <c r="C244" s="60">
        <v>1</v>
      </c>
      <c r="D244" s="60">
        <v>2.5</v>
      </c>
      <c r="E244" s="60" t="s">
        <v>240</v>
      </c>
      <c r="F244" s="60">
        <v>7</v>
      </c>
      <c r="G244" s="60">
        <f>F244*D244</f>
        <v>17.5</v>
      </c>
      <c r="H244" s="60">
        <f>F244*D244*C244</f>
        <v>17.5</v>
      </c>
    </row>
    <row r="245" spans="1:8" x14ac:dyDescent="0.2">
      <c r="A245" s="46"/>
      <c r="B245" s="57" t="s">
        <v>217</v>
      </c>
      <c r="C245" s="9">
        <v>1</v>
      </c>
      <c r="D245" s="9">
        <v>2</v>
      </c>
      <c r="E245" s="9" t="s">
        <v>240</v>
      </c>
      <c r="F245" s="9">
        <v>1.5</v>
      </c>
      <c r="G245" s="9">
        <f>F245*D245</f>
        <v>3</v>
      </c>
      <c r="H245" s="9">
        <f>F245*D245*C245</f>
        <v>3</v>
      </c>
    </row>
    <row r="246" spans="1:8" x14ac:dyDescent="0.2">
      <c r="A246" s="24">
        <v>5.0999999999999996</v>
      </c>
      <c r="B246" s="49" t="s">
        <v>301</v>
      </c>
      <c r="C246" s="30"/>
      <c r="D246" s="30"/>
      <c r="E246" s="30"/>
      <c r="F246" s="30"/>
      <c r="G246" s="30"/>
      <c r="H246" s="30"/>
    </row>
    <row r="247" spans="1:8" x14ac:dyDescent="0.2">
      <c r="A247" s="46"/>
      <c r="B247" s="9" t="s">
        <v>205</v>
      </c>
      <c r="C247" s="9">
        <v>1</v>
      </c>
      <c r="D247" s="9">
        <v>2.5</v>
      </c>
      <c r="E247" s="9" t="s">
        <v>240</v>
      </c>
      <c r="F247" s="9">
        <v>7</v>
      </c>
      <c r="G247" s="9">
        <f>F247*D247</f>
        <v>17.5</v>
      </c>
      <c r="H247" s="9">
        <f>F247*D247*C247</f>
        <v>17.5</v>
      </c>
    </row>
    <row r="248" spans="1:8" x14ac:dyDescent="0.2">
      <c r="A248" s="46"/>
      <c r="B248" s="57" t="s">
        <v>210</v>
      </c>
      <c r="C248" s="9">
        <v>1</v>
      </c>
      <c r="D248" s="9">
        <v>3.5</v>
      </c>
      <c r="E248" s="9" t="s">
        <v>240</v>
      </c>
      <c r="F248" s="9">
        <v>4</v>
      </c>
      <c r="G248" s="9">
        <f>F248*D248</f>
        <v>14</v>
      </c>
      <c r="H248" s="9">
        <f>F248*D248*C248</f>
        <v>14</v>
      </c>
    </row>
    <row r="249" spans="1:8" x14ac:dyDescent="0.2">
      <c r="A249" s="24">
        <v>5.1100000000000003</v>
      </c>
      <c r="B249" s="49" t="s">
        <v>310</v>
      </c>
      <c r="C249" s="30"/>
      <c r="D249" s="30"/>
      <c r="E249" s="30"/>
      <c r="F249" s="30"/>
      <c r="G249" s="30"/>
      <c r="H249" s="30"/>
    </row>
    <row r="250" spans="1:8" x14ac:dyDescent="0.2">
      <c r="A250" s="46"/>
      <c r="B250" s="57" t="s">
        <v>205</v>
      </c>
      <c r="C250" s="9">
        <v>1</v>
      </c>
      <c r="D250" s="9">
        <v>2.5</v>
      </c>
      <c r="E250" s="9" t="s">
        <v>240</v>
      </c>
      <c r="F250" s="9">
        <v>7</v>
      </c>
      <c r="G250" s="9">
        <f>F250*D250</f>
        <v>17.5</v>
      </c>
      <c r="H250" s="9">
        <f>F250*D250*C250</f>
        <v>17.5</v>
      </c>
    </row>
    <row r="251" spans="1:8" x14ac:dyDescent="0.2">
      <c r="A251" s="24">
        <v>5.12</v>
      </c>
      <c r="B251" s="49" t="s">
        <v>303</v>
      </c>
      <c r="C251" s="30"/>
      <c r="D251" s="30"/>
      <c r="E251" s="30"/>
      <c r="F251" s="30"/>
      <c r="G251" s="30"/>
      <c r="H251" s="30"/>
    </row>
    <row r="252" spans="1:8" x14ac:dyDescent="0.2">
      <c r="A252" s="46"/>
      <c r="B252" s="57" t="s">
        <v>210</v>
      </c>
      <c r="C252" s="9">
        <v>1</v>
      </c>
      <c r="D252" s="9">
        <v>3.5</v>
      </c>
      <c r="E252" s="9" t="s">
        <v>240</v>
      </c>
      <c r="F252" s="9">
        <v>4</v>
      </c>
      <c r="G252" s="9">
        <f>F252*D252</f>
        <v>14</v>
      </c>
      <c r="H252" s="9">
        <f>F252*D252*C252</f>
        <v>14</v>
      </c>
    </row>
    <row r="253" spans="1:8" x14ac:dyDescent="0.2">
      <c r="A253" s="24">
        <v>5.13</v>
      </c>
      <c r="B253" s="49" t="s">
        <v>305</v>
      </c>
      <c r="C253" s="30"/>
      <c r="D253" s="30"/>
      <c r="E253" s="30"/>
      <c r="F253" s="30"/>
      <c r="G253" s="30"/>
      <c r="H253" s="30"/>
    </row>
    <row r="254" spans="1:8" x14ac:dyDescent="0.2">
      <c r="A254" s="46"/>
      <c r="B254" s="9" t="s">
        <v>205</v>
      </c>
      <c r="C254" s="9">
        <v>1</v>
      </c>
      <c r="D254" s="9">
        <v>3.5</v>
      </c>
      <c r="E254" s="9" t="s">
        <v>240</v>
      </c>
      <c r="F254" s="9">
        <v>7</v>
      </c>
      <c r="G254" s="9">
        <f>F254*D254</f>
        <v>24.5</v>
      </c>
      <c r="H254" s="9">
        <f>F254*D254*C254</f>
        <v>24.5</v>
      </c>
    </row>
    <row r="255" spans="1:8" x14ac:dyDescent="0.2">
      <c r="A255" s="46"/>
      <c r="B255" s="9" t="s">
        <v>210</v>
      </c>
      <c r="C255" s="9">
        <v>1</v>
      </c>
      <c r="D255" s="9">
        <v>4</v>
      </c>
      <c r="E255" s="9" t="s">
        <v>240</v>
      </c>
      <c r="F255" s="9">
        <v>4</v>
      </c>
      <c r="G255" s="9">
        <f>F255*D255</f>
        <v>16</v>
      </c>
      <c r="H255" s="9">
        <f>F255*D255*C255</f>
        <v>16</v>
      </c>
    </row>
    <row r="256" spans="1:8" x14ac:dyDescent="0.2">
      <c r="A256" s="46"/>
      <c r="B256" s="57" t="s">
        <v>211</v>
      </c>
      <c r="C256" s="9">
        <v>1</v>
      </c>
      <c r="D256" s="9">
        <v>4</v>
      </c>
      <c r="E256" s="9" t="s">
        <v>240</v>
      </c>
      <c r="F256" s="9">
        <v>4</v>
      </c>
      <c r="G256" s="9">
        <f>F256*D256</f>
        <v>16</v>
      </c>
      <c r="H256" s="9">
        <f>F256*D256*C256</f>
        <v>16</v>
      </c>
    </row>
    <row r="257" spans="1:14" x14ac:dyDescent="0.2">
      <c r="A257" s="24">
        <v>5.14</v>
      </c>
      <c r="B257" s="49" t="s">
        <v>290</v>
      </c>
      <c r="C257" s="30"/>
      <c r="D257" s="30"/>
      <c r="E257" s="30"/>
      <c r="F257" s="30"/>
      <c r="G257" s="30"/>
      <c r="H257" s="30"/>
    </row>
    <row r="258" spans="1:14" x14ac:dyDescent="0.2">
      <c r="B258" s="9" t="s">
        <v>217</v>
      </c>
      <c r="C258" s="9">
        <v>1</v>
      </c>
      <c r="D258" s="9">
        <v>2</v>
      </c>
      <c r="E258" s="9" t="s">
        <v>240</v>
      </c>
      <c r="F258" s="9">
        <v>1.5</v>
      </c>
      <c r="G258" s="9">
        <f>F258*D258</f>
        <v>3</v>
      </c>
      <c r="H258" s="9">
        <f>F258*D258*C258</f>
        <v>3</v>
      </c>
    </row>
    <row r="259" spans="1:14" x14ac:dyDescent="0.2">
      <c r="B259" s="9" t="s">
        <v>205</v>
      </c>
      <c r="C259" s="9">
        <v>1</v>
      </c>
      <c r="D259" s="9">
        <v>2.5</v>
      </c>
      <c r="E259" s="9" t="s">
        <v>240</v>
      </c>
      <c r="F259" s="9">
        <v>7</v>
      </c>
      <c r="G259" s="9">
        <f>F259*D259</f>
        <v>17.5</v>
      </c>
      <c r="H259" s="9">
        <f>F259*D259*C259</f>
        <v>17.5</v>
      </c>
    </row>
    <row r="260" spans="1:14" ht="15.4" customHeight="1" x14ac:dyDescent="0.2">
      <c r="G260" s="16" t="s">
        <v>307</v>
      </c>
      <c r="H260" s="17">
        <f>H217+H218+H219+H220+H222+H223+H224+H226+H227+H229+H230+H232+H233+H235+H236+H238+H239+H241+H242+H244+H245+H247+H248+H250+H252+H254+H255+H256+H258+H259</f>
        <v>694.41519999999991</v>
      </c>
    </row>
    <row r="262" spans="1:14" x14ac:dyDescent="0.2">
      <c r="B262" s="301" t="s">
        <v>311</v>
      </c>
      <c r="C262" s="302"/>
      <c r="D262" s="302"/>
      <c r="E262" s="302"/>
      <c r="F262" s="302"/>
      <c r="G262" s="302"/>
      <c r="H262" s="302"/>
    </row>
    <row r="263" spans="1:14" x14ac:dyDescent="0.2">
      <c r="B263" s="302"/>
      <c r="C263" s="302"/>
      <c r="D263" s="302"/>
      <c r="E263" s="302"/>
      <c r="F263" s="302"/>
      <c r="G263" s="302"/>
      <c r="H263" s="302"/>
    </row>
    <row r="265" spans="1:14" x14ac:dyDescent="0.2">
      <c r="B265" s="299" t="s">
        <v>312</v>
      </c>
      <c r="C265" s="300"/>
      <c r="D265" s="300"/>
    </row>
    <row r="266" spans="1:14" x14ac:dyDescent="0.2">
      <c r="B266" s="300"/>
      <c r="C266" s="300"/>
      <c r="D266" s="300"/>
    </row>
    <row r="268" spans="1:14" x14ac:dyDescent="0.2">
      <c r="C268" s="303" t="s">
        <v>313</v>
      </c>
      <c r="D268" s="304"/>
      <c r="E268" s="304"/>
      <c r="F268" s="304"/>
      <c r="G268" s="304"/>
      <c r="H268" s="304"/>
    </row>
    <row r="269" spans="1:14" x14ac:dyDescent="0.2">
      <c r="C269" s="305" t="s">
        <v>314</v>
      </c>
      <c r="D269" s="305"/>
      <c r="E269" s="305"/>
      <c r="F269" s="305"/>
      <c r="G269" s="305"/>
      <c r="H269" s="305"/>
    </row>
    <row r="271" spans="1:14" ht="23.25" x14ac:dyDescent="0.3">
      <c r="C271" s="306" t="s">
        <v>218</v>
      </c>
      <c r="D271" s="306"/>
      <c r="E271" s="306"/>
      <c r="F271" s="306"/>
      <c r="G271" s="63"/>
      <c r="H271" s="64"/>
      <c r="I271" s="65"/>
      <c r="J271" s="65"/>
      <c r="K271" s="65"/>
      <c r="L271" s="65"/>
      <c r="M271" s="65"/>
      <c r="N271" s="65"/>
    </row>
    <row r="272" spans="1:14" x14ac:dyDescent="0.2">
      <c r="A272" s="22">
        <v>2</v>
      </c>
      <c r="B272" s="23" t="s">
        <v>249</v>
      </c>
      <c r="I272" s="65"/>
      <c r="J272" s="65"/>
      <c r="K272" s="65"/>
      <c r="L272" s="65"/>
      <c r="M272" s="65"/>
      <c r="N272" s="65"/>
    </row>
    <row r="273" spans="1:14" x14ac:dyDescent="0.2">
      <c r="A273" s="37">
        <v>2.1</v>
      </c>
      <c r="B273" s="38" t="s">
        <v>250</v>
      </c>
      <c r="I273" s="66"/>
      <c r="J273" s="66"/>
      <c r="K273" s="66"/>
      <c r="L273" s="66"/>
      <c r="M273" s="66"/>
      <c r="N273" s="66"/>
    </row>
    <row r="274" spans="1:14" x14ac:dyDescent="0.2">
      <c r="B274" s="27" t="s">
        <v>186</v>
      </c>
      <c r="C274" s="9">
        <v>2</v>
      </c>
      <c r="D274" s="9">
        <v>68.5</v>
      </c>
      <c r="E274" s="9" t="s">
        <v>240</v>
      </c>
      <c r="F274" s="9">
        <v>10</v>
      </c>
      <c r="G274" s="9">
        <f>F274*D274</f>
        <v>685</v>
      </c>
      <c r="H274" s="9">
        <f>F274*D274*C274</f>
        <v>1370</v>
      </c>
      <c r="I274" s="66"/>
      <c r="J274" s="66"/>
      <c r="K274" s="66"/>
      <c r="L274" s="66"/>
      <c r="M274" s="66"/>
      <c r="N274" s="66"/>
    </row>
    <row r="275" spans="1:14" x14ac:dyDescent="0.2">
      <c r="B275" s="3" t="s">
        <v>192</v>
      </c>
      <c r="C275" s="9">
        <v>2</v>
      </c>
      <c r="D275" s="9">
        <v>36</v>
      </c>
      <c r="E275" s="9" t="s">
        <v>240</v>
      </c>
      <c r="F275" s="9">
        <v>10</v>
      </c>
      <c r="G275" s="9">
        <f>F275*D275</f>
        <v>360</v>
      </c>
      <c r="H275" s="9">
        <f>F275*D275*C275</f>
        <v>720</v>
      </c>
      <c r="I275" s="66"/>
      <c r="J275" s="66"/>
      <c r="K275" s="66"/>
      <c r="L275" s="66"/>
      <c r="M275" s="63"/>
      <c r="N275" s="63"/>
    </row>
    <row r="276" spans="1:14" x14ac:dyDescent="0.2">
      <c r="C276" s="30"/>
      <c r="D276" s="30"/>
      <c r="E276" s="30"/>
      <c r="F276" s="30"/>
      <c r="G276" s="39" t="s">
        <v>126</v>
      </c>
      <c r="H276" s="39">
        <f>H274+H275</f>
        <v>2090</v>
      </c>
    </row>
    <row r="277" spans="1:14" x14ac:dyDescent="0.2">
      <c r="A277" s="37">
        <v>2.2000000000000002</v>
      </c>
      <c r="B277" s="38" t="s">
        <v>251</v>
      </c>
    </row>
    <row r="278" spans="1:14" x14ac:dyDescent="0.2">
      <c r="A278" s="39" t="s">
        <v>252</v>
      </c>
      <c r="B278" s="40" t="s">
        <v>253</v>
      </c>
    </row>
    <row r="279" spans="1:14" x14ac:dyDescent="0.2">
      <c r="B279" s="3" t="s">
        <v>254</v>
      </c>
      <c r="C279" s="9">
        <v>2</v>
      </c>
      <c r="D279" s="9">
        <v>6</v>
      </c>
      <c r="E279" s="9">
        <v>2</v>
      </c>
      <c r="F279" s="9"/>
      <c r="G279" s="9">
        <f t="shared" ref="G279:G285" si="12">E279*D279</f>
        <v>12</v>
      </c>
      <c r="H279" s="9">
        <f t="shared" ref="H279:H285" si="13">E279*D279*C279</f>
        <v>24</v>
      </c>
    </row>
    <row r="280" spans="1:14" x14ac:dyDescent="0.2">
      <c r="B280" s="3" t="s">
        <v>256</v>
      </c>
      <c r="C280" s="9">
        <v>2</v>
      </c>
      <c r="D280" s="9">
        <v>5.6669999999999998</v>
      </c>
      <c r="E280" s="9">
        <v>2</v>
      </c>
      <c r="F280" s="9" t="s">
        <v>240</v>
      </c>
      <c r="G280" s="9">
        <f t="shared" si="12"/>
        <v>11.334</v>
      </c>
      <c r="H280" s="9">
        <f t="shared" si="13"/>
        <v>22.667999999999999</v>
      </c>
    </row>
    <row r="281" spans="1:14" x14ac:dyDescent="0.2">
      <c r="B281" s="3" t="s">
        <v>259</v>
      </c>
      <c r="C281" s="9">
        <v>2</v>
      </c>
      <c r="D281" s="9">
        <v>3</v>
      </c>
      <c r="E281" s="9">
        <v>2</v>
      </c>
      <c r="F281" s="9"/>
      <c r="G281" s="9">
        <f t="shared" si="12"/>
        <v>6</v>
      </c>
      <c r="H281" s="9">
        <f t="shared" si="13"/>
        <v>12</v>
      </c>
    </row>
    <row r="282" spans="1:14" x14ac:dyDescent="0.2">
      <c r="B282" s="3" t="s">
        <v>315</v>
      </c>
      <c r="C282" s="9">
        <v>2</v>
      </c>
      <c r="D282" s="9">
        <v>4.5</v>
      </c>
      <c r="E282" s="9">
        <v>2</v>
      </c>
      <c r="F282" s="9" t="s">
        <v>240</v>
      </c>
      <c r="G282" s="9">
        <f t="shared" si="12"/>
        <v>9</v>
      </c>
      <c r="H282" s="9">
        <f t="shared" si="13"/>
        <v>18</v>
      </c>
    </row>
    <row r="283" spans="1:14" x14ac:dyDescent="0.2">
      <c r="B283" s="3" t="s">
        <v>316</v>
      </c>
      <c r="C283" s="9">
        <v>2</v>
      </c>
      <c r="D283" s="9">
        <v>4.5</v>
      </c>
      <c r="E283" s="9">
        <v>2</v>
      </c>
      <c r="F283" s="9" t="s">
        <v>240</v>
      </c>
      <c r="G283" s="9">
        <f t="shared" si="12"/>
        <v>9</v>
      </c>
      <c r="H283" s="9">
        <f t="shared" si="13"/>
        <v>18</v>
      </c>
    </row>
    <row r="284" spans="1:14" x14ac:dyDescent="0.2">
      <c r="B284" s="3" t="s">
        <v>270</v>
      </c>
      <c r="C284" s="9">
        <v>2</v>
      </c>
      <c r="D284" s="9">
        <v>10</v>
      </c>
      <c r="E284" s="9">
        <v>2</v>
      </c>
      <c r="F284" s="9" t="s">
        <v>240</v>
      </c>
      <c r="G284" s="9">
        <f t="shared" si="12"/>
        <v>20</v>
      </c>
      <c r="H284" s="9">
        <f t="shared" si="13"/>
        <v>40</v>
      </c>
    </row>
    <row r="285" spans="1:14" x14ac:dyDescent="0.2">
      <c r="B285" s="3" t="s">
        <v>260</v>
      </c>
      <c r="C285" s="9">
        <v>2</v>
      </c>
      <c r="D285" s="9">
        <v>4</v>
      </c>
      <c r="E285" s="9">
        <v>2</v>
      </c>
      <c r="F285" s="9" t="s">
        <v>240</v>
      </c>
      <c r="G285" s="9">
        <f t="shared" si="12"/>
        <v>8</v>
      </c>
      <c r="H285" s="9">
        <f t="shared" si="13"/>
        <v>16</v>
      </c>
    </row>
    <row r="286" spans="1:14" x14ac:dyDescent="0.2">
      <c r="B286" s="3" t="s">
        <v>261</v>
      </c>
      <c r="C286" s="9">
        <v>2</v>
      </c>
      <c r="D286" s="9">
        <v>2</v>
      </c>
      <c r="E286" s="9" t="s">
        <v>240</v>
      </c>
      <c r="F286" s="9">
        <v>0.5</v>
      </c>
      <c r="G286" s="9">
        <f t="shared" ref="G286:G292" si="14">F286*D286</f>
        <v>1</v>
      </c>
      <c r="H286" s="9">
        <f t="shared" ref="H286:H292" si="15">F286*D286*C286</f>
        <v>2</v>
      </c>
    </row>
    <row r="287" spans="1:14" x14ac:dyDescent="0.2">
      <c r="B287" s="3" t="s">
        <v>263</v>
      </c>
      <c r="C287" s="9">
        <v>2</v>
      </c>
      <c r="D287" s="9">
        <v>2</v>
      </c>
      <c r="E287" s="9" t="s">
        <v>240</v>
      </c>
      <c r="F287" s="9">
        <v>0.5</v>
      </c>
      <c r="G287" s="9">
        <f t="shared" si="14"/>
        <v>1</v>
      </c>
      <c r="H287" s="9">
        <f t="shared" si="15"/>
        <v>2</v>
      </c>
    </row>
    <row r="288" spans="1:14" x14ac:dyDescent="0.2">
      <c r="B288" s="3" t="s">
        <v>266</v>
      </c>
      <c r="C288" s="9">
        <v>2</v>
      </c>
      <c r="D288" s="9">
        <v>2</v>
      </c>
      <c r="E288" s="9" t="s">
        <v>240</v>
      </c>
      <c r="F288" s="9">
        <v>0.5</v>
      </c>
      <c r="G288" s="9">
        <f t="shared" si="14"/>
        <v>1</v>
      </c>
      <c r="H288" s="9">
        <f t="shared" si="15"/>
        <v>2</v>
      </c>
    </row>
    <row r="289" spans="1:8" x14ac:dyDescent="0.2">
      <c r="B289" s="3" t="s">
        <v>262</v>
      </c>
      <c r="C289" s="9">
        <v>2</v>
      </c>
      <c r="D289" s="9">
        <v>2</v>
      </c>
      <c r="E289" s="9" t="s">
        <v>240</v>
      </c>
      <c r="F289" s="9">
        <v>0.5</v>
      </c>
      <c r="G289" s="9">
        <f t="shared" si="14"/>
        <v>1</v>
      </c>
      <c r="H289" s="9">
        <f t="shared" si="15"/>
        <v>2</v>
      </c>
    </row>
    <row r="290" spans="1:8" x14ac:dyDescent="0.2">
      <c r="B290" s="3" t="s">
        <v>264</v>
      </c>
      <c r="C290" s="9">
        <v>2</v>
      </c>
      <c r="D290" s="9">
        <v>2</v>
      </c>
      <c r="E290" s="9" t="s">
        <v>240</v>
      </c>
      <c r="F290" s="9">
        <v>0.5</v>
      </c>
      <c r="G290" s="9">
        <f t="shared" si="14"/>
        <v>1</v>
      </c>
      <c r="H290" s="9">
        <f t="shared" si="15"/>
        <v>2</v>
      </c>
    </row>
    <row r="291" spans="1:8" x14ac:dyDescent="0.2">
      <c r="B291" s="3" t="s">
        <v>267</v>
      </c>
      <c r="C291" s="9">
        <v>2</v>
      </c>
      <c r="D291" s="9">
        <v>2</v>
      </c>
      <c r="E291" s="9" t="s">
        <v>240</v>
      </c>
      <c r="F291" s="9">
        <v>0.5</v>
      </c>
      <c r="G291" s="9">
        <f t="shared" si="14"/>
        <v>1</v>
      </c>
      <c r="H291" s="9">
        <f t="shared" si="15"/>
        <v>2</v>
      </c>
    </row>
    <row r="292" spans="1:8" x14ac:dyDescent="0.2">
      <c r="B292" s="3" t="s">
        <v>271</v>
      </c>
      <c r="C292" s="9">
        <v>2</v>
      </c>
      <c r="D292" s="9">
        <v>2</v>
      </c>
      <c r="E292" s="9" t="s">
        <v>240</v>
      </c>
      <c r="F292" s="9">
        <v>0.5</v>
      </c>
      <c r="G292" s="9">
        <f t="shared" si="14"/>
        <v>1</v>
      </c>
      <c r="H292" s="9">
        <f t="shared" si="15"/>
        <v>2</v>
      </c>
    </row>
    <row r="293" spans="1:8" x14ac:dyDescent="0.2">
      <c r="C293" s="30"/>
      <c r="D293" s="30"/>
      <c r="E293" s="30"/>
      <c r="F293" s="30"/>
      <c r="G293" s="39" t="s">
        <v>126</v>
      </c>
      <c r="H293" s="39">
        <f>H279+H280+H281+H282+H283+H284+H285+H286+H287+H288+H289+H290+H291+H292</f>
        <v>164.66800000000001</v>
      </c>
    </row>
    <row r="294" spans="1:8" x14ac:dyDescent="0.2">
      <c r="A294" s="39" t="s">
        <v>268</v>
      </c>
      <c r="B294" s="41" t="s">
        <v>269</v>
      </c>
    </row>
    <row r="295" spans="1:8" x14ac:dyDescent="0.2">
      <c r="B295" s="3" t="s">
        <v>254</v>
      </c>
      <c r="C295" s="9">
        <v>2</v>
      </c>
      <c r="D295" s="9">
        <v>12</v>
      </c>
      <c r="E295" s="9">
        <v>2</v>
      </c>
      <c r="F295" s="9" t="s">
        <v>240</v>
      </c>
      <c r="G295" s="9">
        <f t="shared" ref="G295:G300" si="16">E295*D295</f>
        <v>24</v>
      </c>
      <c r="H295" s="9">
        <f t="shared" ref="H295:H300" si="17">E295*D295*C295</f>
        <v>48</v>
      </c>
    </row>
    <row r="296" spans="1:8" x14ac:dyDescent="0.2">
      <c r="B296" s="3" t="s">
        <v>256</v>
      </c>
      <c r="C296" s="9">
        <v>2</v>
      </c>
      <c r="D296" s="9">
        <v>8.08</v>
      </c>
      <c r="E296" s="9">
        <v>2</v>
      </c>
      <c r="F296" s="9" t="s">
        <v>240</v>
      </c>
      <c r="G296" s="9">
        <f t="shared" si="16"/>
        <v>16.16</v>
      </c>
      <c r="H296" s="9">
        <f t="shared" si="17"/>
        <v>32.32</v>
      </c>
    </row>
    <row r="297" spans="1:8" x14ac:dyDescent="0.2">
      <c r="B297" s="3" t="s">
        <v>259</v>
      </c>
      <c r="C297" s="9">
        <v>2</v>
      </c>
      <c r="D297" s="9">
        <v>6.8330000000000002</v>
      </c>
      <c r="E297" s="9">
        <v>2</v>
      </c>
      <c r="F297" s="9" t="s">
        <v>240</v>
      </c>
      <c r="G297" s="9">
        <f t="shared" si="16"/>
        <v>13.666</v>
      </c>
      <c r="H297" s="9">
        <f t="shared" si="17"/>
        <v>27.332000000000001</v>
      </c>
    </row>
    <row r="298" spans="1:8" x14ac:dyDescent="0.2">
      <c r="B298" s="3" t="s">
        <v>270</v>
      </c>
      <c r="C298" s="9">
        <v>2</v>
      </c>
      <c r="D298" s="9">
        <v>10</v>
      </c>
      <c r="E298" s="9">
        <v>2</v>
      </c>
      <c r="F298" s="9" t="s">
        <v>240</v>
      </c>
      <c r="G298" s="9">
        <f t="shared" si="16"/>
        <v>20</v>
      </c>
      <c r="H298" s="9">
        <f t="shared" si="17"/>
        <v>40</v>
      </c>
    </row>
    <row r="299" spans="1:8" x14ac:dyDescent="0.2">
      <c r="B299" s="3" t="s">
        <v>260</v>
      </c>
      <c r="C299" s="9">
        <v>2</v>
      </c>
      <c r="D299" s="9">
        <v>4</v>
      </c>
      <c r="E299" s="9">
        <v>2</v>
      </c>
      <c r="F299" s="9" t="s">
        <v>240</v>
      </c>
      <c r="G299" s="9">
        <f t="shared" si="16"/>
        <v>8</v>
      </c>
      <c r="H299" s="9">
        <f t="shared" si="17"/>
        <v>16</v>
      </c>
    </row>
    <row r="300" spans="1:8" x14ac:dyDescent="0.2">
      <c r="B300" s="3" t="s">
        <v>260</v>
      </c>
      <c r="C300" s="9">
        <v>2</v>
      </c>
      <c r="D300" s="9">
        <v>4</v>
      </c>
      <c r="E300" s="9">
        <v>2</v>
      </c>
      <c r="F300" s="9" t="s">
        <v>240</v>
      </c>
      <c r="G300" s="9">
        <f t="shared" si="16"/>
        <v>8</v>
      </c>
      <c r="H300" s="9">
        <f t="shared" si="17"/>
        <v>16</v>
      </c>
    </row>
    <row r="301" spans="1:8" x14ac:dyDescent="0.2">
      <c r="B301" s="3" t="s">
        <v>261</v>
      </c>
      <c r="C301" s="9">
        <v>2</v>
      </c>
      <c r="D301" s="9">
        <v>2</v>
      </c>
      <c r="E301" s="9" t="s">
        <v>240</v>
      </c>
      <c r="F301" s="9">
        <v>0.5</v>
      </c>
      <c r="G301" s="9">
        <f t="shared" ref="G301:G306" si="18">F301*D301</f>
        <v>1</v>
      </c>
      <c r="H301" s="9">
        <f t="shared" ref="H301:H306" si="19">F301*D301*C301</f>
        <v>2</v>
      </c>
    </row>
    <row r="302" spans="1:8" x14ac:dyDescent="0.2">
      <c r="B302" s="3" t="s">
        <v>263</v>
      </c>
      <c r="C302" s="9">
        <v>2</v>
      </c>
      <c r="D302" s="9">
        <v>2</v>
      </c>
      <c r="E302" s="9" t="s">
        <v>240</v>
      </c>
      <c r="F302" s="9">
        <v>0.5</v>
      </c>
      <c r="G302" s="9">
        <f t="shared" si="18"/>
        <v>1</v>
      </c>
      <c r="H302" s="9">
        <f t="shared" si="19"/>
        <v>2</v>
      </c>
    </row>
    <row r="303" spans="1:8" x14ac:dyDescent="0.2">
      <c r="B303" s="3" t="s">
        <v>266</v>
      </c>
      <c r="C303" s="9">
        <v>2</v>
      </c>
      <c r="D303" s="9">
        <v>2</v>
      </c>
      <c r="E303" s="9" t="s">
        <v>240</v>
      </c>
      <c r="F303" s="9">
        <v>0.5</v>
      </c>
      <c r="G303" s="9">
        <f t="shared" si="18"/>
        <v>1</v>
      </c>
      <c r="H303" s="9">
        <f t="shared" si="19"/>
        <v>2</v>
      </c>
    </row>
    <row r="304" spans="1:8" x14ac:dyDescent="0.2">
      <c r="B304" s="3" t="s">
        <v>271</v>
      </c>
      <c r="C304" s="9">
        <v>2</v>
      </c>
      <c r="D304" s="9">
        <v>2</v>
      </c>
      <c r="E304" s="9" t="s">
        <v>240</v>
      </c>
      <c r="F304" s="9">
        <v>0.5</v>
      </c>
      <c r="G304" s="9">
        <f t="shared" si="18"/>
        <v>1</v>
      </c>
      <c r="H304" s="9">
        <f t="shared" si="19"/>
        <v>2</v>
      </c>
    </row>
    <row r="305" spans="1:8" x14ac:dyDescent="0.2">
      <c r="B305" s="3" t="s">
        <v>267</v>
      </c>
      <c r="C305" s="9">
        <v>2</v>
      </c>
      <c r="D305" s="9">
        <v>2</v>
      </c>
      <c r="E305" s="9" t="s">
        <v>240</v>
      </c>
      <c r="F305" s="9">
        <v>0.5</v>
      </c>
      <c r="G305" s="9">
        <f t="shared" si="18"/>
        <v>1</v>
      </c>
      <c r="H305" s="9">
        <f t="shared" si="19"/>
        <v>2</v>
      </c>
    </row>
    <row r="306" spans="1:8" x14ac:dyDescent="0.2">
      <c r="B306" s="3" t="s">
        <v>267</v>
      </c>
      <c r="C306" s="9">
        <v>2</v>
      </c>
      <c r="D306" s="9">
        <v>2</v>
      </c>
      <c r="E306" s="9" t="s">
        <v>240</v>
      </c>
      <c r="F306" s="9">
        <v>0.5</v>
      </c>
      <c r="G306" s="9">
        <f t="shared" si="18"/>
        <v>1</v>
      </c>
      <c r="H306" s="9">
        <f t="shared" si="19"/>
        <v>2</v>
      </c>
    </row>
    <row r="307" spans="1:8" x14ac:dyDescent="0.2">
      <c r="C307" s="30"/>
      <c r="D307" s="30"/>
      <c r="E307" s="30"/>
      <c r="F307" s="30"/>
      <c r="G307" s="39" t="s">
        <v>126</v>
      </c>
      <c r="H307" s="39">
        <f>H295+H296+H297+H298+H299+H300+H301+H302+H303+H304+H305+H306</f>
        <v>191.65199999999999</v>
      </c>
    </row>
    <row r="308" spans="1:8" x14ac:dyDescent="0.2">
      <c r="A308" s="39" t="s">
        <v>272</v>
      </c>
      <c r="B308" s="41" t="s">
        <v>273</v>
      </c>
    </row>
    <row r="309" spans="1:8" x14ac:dyDescent="0.2">
      <c r="B309" s="3" t="s">
        <v>254</v>
      </c>
      <c r="C309" s="9">
        <v>2</v>
      </c>
      <c r="D309" s="9">
        <v>11.5</v>
      </c>
      <c r="E309" s="9">
        <v>2</v>
      </c>
      <c r="F309" s="9" t="s">
        <v>240</v>
      </c>
      <c r="G309" s="9">
        <f>E309*D309</f>
        <v>23</v>
      </c>
      <c r="H309" s="9">
        <f>E309*D309*C309</f>
        <v>46</v>
      </c>
    </row>
    <row r="310" spans="1:8" x14ac:dyDescent="0.2">
      <c r="B310" s="3" t="s">
        <v>260</v>
      </c>
      <c r="C310" s="9">
        <v>2</v>
      </c>
      <c r="D310" s="9">
        <v>4</v>
      </c>
      <c r="E310" s="9">
        <v>2</v>
      </c>
      <c r="F310" s="9" t="s">
        <v>240</v>
      </c>
      <c r="G310" s="9">
        <f>E310*D310</f>
        <v>8</v>
      </c>
      <c r="H310" s="9">
        <f>E310*D310*C310</f>
        <v>16</v>
      </c>
    </row>
    <row r="311" spans="1:8" x14ac:dyDescent="0.2">
      <c r="B311" s="3" t="s">
        <v>255</v>
      </c>
      <c r="C311" s="9">
        <v>2</v>
      </c>
      <c r="D311" s="9">
        <v>5.5</v>
      </c>
      <c r="E311" s="9">
        <v>2</v>
      </c>
      <c r="F311" s="9" t="s">
        <v>240</v>
      </c>
      <c r="G311" s="9">
        <f>E311*D311</f>
        <v>11</v>
      </c>
      <c r="H311" s="9">
        <f>E311*D311*C311</f>
        <v>22</v>
      </c>
    </row>
    <row r="312" spans="1:8" x14ac:dyDescent="0.2">
      <c r="B312" s="3" t="s">
        <v>256</v>
      </c>
      <c r="C312" s="9">
        <v>2</v>
      </c>
      <c r="D312" s="9">
        <v>6</v>
      </c>
      <c r="E312" s="9">
        <v>2</v>
      </c>
      <c r="F312" s="9" t="s">
        <v>240</v>
      </c>
      <c r="G312" s="9">
        <f>E312*D312</f>
        <v>12</v>
      </c>
      <c r="H312" s="9">
        <f>E312*D312*C312</f>
        <v>24</v>
      </c>
    </row>
    <row r="313" spans="1:8" x14ac:dyDescent="0.2">
      <c r="B313" s="3" t="s">
        <v>261</v>
      </c>
      <c r="C313" s="9">
        <v>2</v>
      </c>
      <c r="D313" s="9">
        <v>2</v>
      </c>
      <c r="E313" s="9" t="s">
        <v>240</v>
      </c>
      <c r="F313" s="9">
        <v>0.5</v>
      </c>
      <c r="G313" s="9">
        <f>F313*D313</f>
        <v>1</v>
      </c>
      <c r="H313" s="9">
        <f>F313*D313*C313</f>
        <v>2</v>
      </c>
    </row>
    <row r="314" spans="1:8" x14ac:dyDescent="0.2">
      <c r="B314" s="3" t="s">
        <v>267</v>
      </c>
      <c r="C314" s="9">
        <v>2</v>
      </c>
      <c r="D314" s="9">
        <v>2</v>
      </c>
      <c r="E314" s="9" t="s">
        <v>240</v>
      </c>
      <c r="F314" s="9">
        <v>0.5</v>
      </c>
      <c r="G314" s="9">
        <f>F314*D314</f>
        <v>1</v>
      </c>
      <c r="H314" s="9">
        <f>F314*D314*C314</f>
        <v>2</v>
      </c>
    </row>
    <row r="315" spans="1:8" x14ac:dyDescent="0.2">
      <c r="B315" s="3" t="s">
        <v>262</v>
      </c>
      <c r="C315" s="9">
        <v>2</v>
      </c>
      <c r="D315" s="9">
        <v>2</v>
      </c>
      <c r="E315" s="9" t="s">
        <v>240</v>
      </c>
      <c r="F315" s="9">
        <v>0.5</v>
      </c>
      <c r="G315" s="9">
        <f>F315*D315</f>
        <v>1</v>
      </c>
      <c r="H315" s="9">
        <f>F315*D315*C315</f>
        <v>2</v>
      </c>
    </row>
    <row r="316" spans="1:8" x14ac:dyDescent="0.2">
      <c r="B316" s="3" t="s">
        <v>263</v>
      </c>
      <c r="C316" s="9">
        <v>2</v>
      </c>
      <c r="D316" s="9">
        <v>2</v>
      </c>
      <c r="E316" s="9" t="s">
        <v>240</v>
      </c>
      <c r="F316" s="9">
        <v>0.5</v>
      </c>
      <c r="G316" s="9">
        <f>F316*D316</f>
        <v>1</v>
      </c>
      <c r="H316" s="9">
        <f>F316*D316*C316</f>
        <v>2</v>
      </c>
    </row>
    <row r="317" spans="1:8" x14ac:dyDescent="0.2">
      <c r="C317" s="30"/>
      <c r="D317" s="30"/>
      <c r="E317" s="30"/>
      <c r="F317" s="30"/>
      <c r="G317" s="39" t="s">
        <v>126</v>
      </c>
      <c r="H317" s="39">
        <f>H309+H310+H311+H312+H313+H314+H315+H316</f>
        <v>116</v>
      </c>
    </row>
    <row r="318" spans="1:8" x14ac:dyDescent="0.2">
      <c r="A318" s="39" t="s">
        <v>274</v>
      </c>
      <c r="B318" s="41" t="s">
        <v>275</v>
      </c>
    </row>
    <row r="319" spans="1:8" x14ac:dyDescent="0.2">
      <c r="B319" s="3" t="s">
        <v>254</v>
      </c>
      <c r="C319" s="9">
        <v>2</v>
      </c>
      <c r="D319" s="9">
        <v>10</v>
      </c>
      <c r="E319" s="9">
        <v>2</v>
      </c>
      <c r="F319" s="9" t="s">
        <v>240</v>
      </c>
      <c r="G319" s="9">
        <f>E319*D319</f>
        <v>20</v>
      </c>
      <c r="H319" s="9">
        <f>E319*D319*C319</f>
        <v>40</v>
      </c>
    </row>
    <row r="320" spans="1:8" x14ac:dyDescent="0.2">
      <c r="B320" s="3" t="s">
        <v>260</v>
      </c>
      <c r="C320" s="9">
        <v>2</v>
      </c>
      <c r="D320" s="9">
        <v>4</v>
      </c>
      <c r="E320" s="9">
        <v>2</v>
      </c>
      <c r="F320" s="9" t="s">
        <v>240</v>
      </c>
      <c r="G320" s="9">
        <f>E320*D320</f>
        <v>8</v>
      </c>
      <c r="H320" s="9">
        <f>E320*D320*C320</f>
        <v>16</v>
      </c>
    </row>
    <row r="321" spans="1:8" x14ac:dyDescent="0.2">
      <c r="B321" s="3" t="s">
        <v>261</v>
      </c>
      <c r="C321" s="9">
        <v>2</v>
      </c>
      <c r="D321" s="9">
        <v>2</v>
      </c>
      <c r="E321" s="9" t="s">
        <v>240</v>
      </c>
      <c r="F321" s="9">
        <v>0.5</v>
      </c>
      <c r="G321" s="9">
        <f>F321*D321</f>
        <v>1</v>
      </c>
      <c r="H321" s="9">
        <f>F321*D321*C321</f>
        <v>2</v>
      </c>
    </row>
    <row r="322" spans="1:8" x14ac:dyDescent="0.2">
      <c r="B322" s="3" t="s">
        <v>267</v>
      </c>
      <c r="C322" s="9">
        <v>2</v>
      </c>
      <c r="D322" s="9">
        <v>2</v>
      </c>
      <c r="E322" s="9" t="s">
        <v>240</v>
      </c>
      <c r="F322" s="9">
        <v>0.5</v>
      </c>
      <c r="G322" s="9">
        <f>F322*D322</f>
        <v>1</v>
      </c>
      <c r="H322" s="9">
        <f>F322*D322*C322</f>
        <v>2</v>
      </c>
    </row>
    <row r="323" spans="1:8" x14ac:dyDescent="0.2">
      <c r="C323" s="30"/>
      <c r="D323" s="30"/>
      <c r="E323" s="30"/>
      <c r="F323" s="30"/>
      <c r="G323" s="39" t="s">
        <v>126</v>
      </c>
      <c r="H323" s="39">
        <f>H319+H320+H321+H322</f>
        <v>60</v>
      </c>
    </row>
    <row r="325" spans="1:8" x14ac:dyDescent="0.2">
      <c r="B325" s="307" t="s">
        <v>317</v>
      </c>
      <c r="C325" s="308"/>
      <c r="D325" s="308"/>
      <c r="E325" s="308"/>
      <c r="F325" s="308"/>
      <c r="G325" s="308"/>
      <c r="H325" s="308"/>
    </row>
    <row r="327" spans="1:8" x14ac:dyDescent="0.2">
      <c r="A327" s="22">
        <v>2.2999999999999998</v>
      </c>
      <c r="B327" s="43" t="s">
        <v>277</v>
      </c>
    </row>
    <row r="328" spans="1:8" x14ac:dyDescent="0.2">
      <c r="A328" s="44" t="s">
        <v>278</v>
      </c>
      <c r="B328" s="45" t="s">
        <v>279</v>
      </c>
    </row>
    <row r="329" spans="1:8" x14ac:dyDescent="0.2">
      <c r="B329" s="9" t="s">
        <v>210</v>
      </c>
      <c r="C329" s="9">
        <v>1</v>
      </c>
      <c r="D329" s="9">
        <v>4</v>
      </c>
      <c r="E329" s="9" t="s">
        <v>240</v>
      </c>
      <c r="F329" s="9">
        <v>4</v>
      </c>
      <c r="G329" s="9">
        <f>D329*F329</f>
        <v>16</v>
      </c>
      <c r="H329" s="9">
        <f t="shared" ref="H329:H335" si="20">F329*D329*C329</f>
        <v>16</v>
      </c>
    </row>
    <row r="330" spans="1:8" x14ac:dyDescent="0.2">
      <c r="B330" s="9" t="s">
        <v>211</v>
      </c>
      <c r="C330" s="9">
        <v>1</v>
      </c>
      <c r="D330" s="9">
        <v>3</v>
      </c>
      <c r="E330" s="9" t="s">
        <v>240</v>
      </c>
      <c r="F330" s="9">
        <v>4</v>
      </c>
      <c r="G330" s="9">
        <f t="shared" ref="G330:G335" si="21">F330*D330</f>
        <v>12</v>
      </c>
      <c r="H330" s="9">
        <f t="shared" si="20"/>
        <v>12</v>
      </c>
    </row>
    <row r="331" spans="1:8" x14ac:dyDescent="0.2">
      <c r="B331" s="9" t="s">
        <v>211</v>
      </c>
      <c r="C331" s="9">
        <v>1</v>
      </c>
      <c r="D331" s="9">
        <v>3.6669999999999998</v>
      </c>
      <c r="E331" s="9" t="s">
        <v>240</v>
      </c>
      <c r="F331" s="9">
        <v>4</v>
      </c>
      <c r="G331" s="9">
        <f t="shared" si="21"/>
        <v>14.667999999999999</v>
      </c>
      <c r="H331" s="9">
        <f t="shared" si="20"/>
        <v>14.667999999999999</v>
      </c>
    </row>
    <row r="332" spans="1:8" x14ac:dyDescent="0.2">
      <c r="B332" s="9" t="s">
        <v>206</v>
      </c>
      <c r="C332" s="9">
        <v>1</v>
      </c>
      <c r="D332" s="9">
        <v>2.5</v>
      </c>
      <c r="E332" s="9" t="s">
        <v>240</v>
      </c>
      <c r="F332" s="9">
        <v>7</v>
      </c>
      <c r="G332" s="9">
        <f t="shared" si="21"/>
        <v>17.5</v>
      </c>
      <c r="H332" s="9">
        <f t="shared" si="20"/>
        <v>17.5</v>
      </c>
    </row>
    <row r="333" spans="1:8" x14ac:dyDescent="0.2">
      <c r="B333" s="9" t="s">
        <v>220</v>
      </c>
      <c r="C333" s="9">
        <v>1</v>
      </c>
      <c r="D333" s="9">
        <v>4</v>
      </c>
      <c r="E333" s="9" t="s">
        <v>240</v>
      </c>
      <c r="F333" s="9">
        <v>7</v>
      </c>
      <c r="G333" s="9">
        <f t="shared" si="21"/>
        <v>28</v>
      </c>
      <c r="H333" s="9">
        <f t="shared" si="20"/>
        <v>28</v>
      </c>
    </row>
    <row r="334" spans="1:8" x14ac:dyDescent="0.2">
      <c r="B334" s="9" t="s">
        <v>212</v>
      </c>
      <c r="C334" s="9">
        <v>1</v>
      </c>
      <c r="D334" s="9">
        <v>8</v>
      </c>
      <c r="E334" s="9" t="s">
        <v>240</v>
      </c>
      <c r="F334" s="9">
        <v>4</v>
      </c>
      <c r="G334" s="9">
        <f t="shared" si="21"/>
        <v>32</v>
      </c>
      <c r="H334" s="9">
        <f t="shared" si="20"/>
        <v>32</v>
      </c>
    </row>
    <row r="335" spans="1:8" x14ac:dyDescent="0.2">
      <c r="B335" s="9" t="s">
        <v>217</v>
      </c>
      <c r="C335" s="9">
        <v>1</v>
      </c>
      <c r="D335" s="9">
        <v>2</v>
      </c>
      <c r="E335" s="9" t="s">
        <v>240</v>
      </c>
      <c r="F335" s="9">
        <v>1.5</v>
      </c>
      <c r="G335" s="9">
        <f t="shared" si="21"/>
        <v>3</v>
      </c>
      <c r="H335" s="9">
        <f t="shared" si="20"/>
        <v>3</v>
      </c>
    </row>
    <row r="336" spans="1:8" x14ac:dyDescent="0.2">
      <c r="B336" s="46"/>
      <c r="C336" s="30"/>
      <c r="D336" s="30"/>
      <c r="E336" s="30"/>
      <c r="F336" s="30"/>
      <c r="G336" s="44" t="s">
        <v>126</v>
      </c>
      <c r="H336" s="44">
        <f>H329+H330+H331+H332+H333+H334+H335</f>
        <v>123.16800000000001</v>
      </c>
    </row>
    <row r="337" spans="1:8" x14ac:dyDescent="0.2">
      <c r="A337" s="44" t="s">
        <v>280</v>
      </c>
      <c r="B337" s="45" t="s">
        <v>281</v>
      </c>
    </row>
    <row r="338" spans="1:8" x14ac:dyDescent="0.2">
      <c r="B338" s="9" t="s">
        <v>210</v>
      </c>
      <c r="C338" s="9">
        <v>1</v>
      </c>
      <c r="D338" s="9">
        <v>10</v>
      </c>
      <c r="E338" s="9" t="s">
        <v>240</v>
      </c>
      <c r="F338" s="9">
        <v>4</v>
      </c>
      <c r="G338" s="9">
        <f t="shared" ref="G338:G343" si="22">F338*D338</f>
        <v>40</v>
      </c>
      <c r="H338" s="9">
        <f t="shared" ref="H338:H343" si="23">F338*D338*C338</f>
        <v>40</v>
      </c>
    </row>
    <row r="339" spans="1:8" x14ac:dyDescent="0.2">
      <c r="B339" s="9" t="s">
        <v>211</v>
      </c>
      <c r="C339" s="9">
        <v>1</v>
      </c>
      <c r="D339" s="9">
        <v>6.0830000000000002</v>
      </c>
      <c r="E339" s="9" t="s">
        <v>240</v>
      </c>
      <c r="F339" s="9">
        <v>4</v>
      </c>
      <c r="G339" s="9">
        <f t="shared" si="22"/>
        <v>24.332000000000001</v>
      </c>
      <c r="H339" s="9">
        <f t="shared" si="23"/>
        <v>24.332000000000001</v>
      </c>
    </row>
    <row r="340" spans="1:8" x14ac:dyDescent="0.2">
      <c r="B340" s="9" t="s">
        <v>212</v>
      </c>
      <c r="C340" s="9">
        <v>1</v>
      </c>
      <c r="D340" s="9">
        <v>4.8330000000000002</v>
      </c>
      <c r="E340" s="9" t="s">
        <v>240</v>
      </c>
      <c r="F340" s="9">
        <v>4</v>
      </c>
      <c r="G340" s="9">
        <f t="shared" si="22"/>
        <v>19.332000000000001</v>
      </c>
      <c r="H340" s="9">
        <f t="shared" si="23"/>
        <v>19.332000000000001</v>
      </c>
    </row>
    <row r="341" spans="1:8" x14ac:dyDescent="0.2">
      <c r="B341" s="9" t="s">
        <v>213</v>
      </c>
      <c r="C341" s="9">
        <v>1</v>
      </c>
      <c r="D341" s="9">
        <v>8</v>
      </c>
      <c r="E341" s="9" t="s">
        <v>240</v>
      </c>
      <c r="F341" s="9">
        <v>4</v>
      </c>
      <c r="G341" s="9">
        <f t="shared" si="22"/>
        <v>32</v>
      </c>
      <c r="H341" s="9">
        <f t="shared" si="23"/>
        <v>32</v>
      </c>
    </row>
    <row r="342" spans="1:8" x14ac:dyDescent="0.2">
      <c r="B342" s="9" t="s">
        <v>217</v>
      </c>
      <c r="C342" s="9">
        <v>1</v>
      </c>
      <c r="D342" s="9">
        <v>2</v>
      </c>
      <c r="E342" s="9" t="s">
        <v>240</v>
      </c>
      <c r="F342" s="9">
        <v>1.5</v>
      </c>
      <c r="G342" s="9">
        <f t="shared" si="22"/>
        <v>3</v>
      </c>
      <c r="H342" s="9">
        <f t="shared" si="23"/>
        <v>3</v>
      </c>
    </row>
    <row r="343" spans="1:8" x14ac:dyDescent="0.2">
      <c r="B343" s="9" t="s">
        <v>217</v>
      </c>
      <c r="C343" s="9">
        <v>1</v>
      </c>
      <c r="D343" s="9">
        <v>2</v>
      </c>
      <c r="E343" s="9" t="s">
        <v>240</v>
      </c>
      <c r="F343" s="9">
        <v>1.5</v>
      </c>
      <c r="G343" s="9">
        <f t="shared" si="22"/>
        <v>3</v>
      </c>
      <c r="H343" s="9">
        <f t="shared" si="23"/>
        <v>3</v>
      </c>
    </row>
    <row r="344" spans="1:8" x14ac:dyDescent="0.2">
      <c r="B344" s="30"/>
      <c r="C344" s="30"/>
      <c r="D344" s="30"/>
      <c r="E344" s="30"/>
      <c r="F344" s="30"/>
      <c r="G344" s="44" t="s">
        <v>126</v>
      </c>
      <c r="H344" s="44">
        <f>H338+H339+H340+H341+H342+H343</f>
        <v>121.66399999999999</v>
      </c>
    </row>
    <row r="345" spans="1:8" x14ac:dyDescent="0.2">
      <c r="A345" s="44" t="s">
        <v>282</v>
      </c>
      <c r="B345" s="45" t="s">
        <v>273</v>
      </c>
    </row>
    <row r="346" spans="1:8" x14ac:dyDescent="0.2">
      <c r="B346" s="9" t="s">
        <v>210</v>
      </c>
      <c r="C346" s="9">
        <v>1</v>
      </c>
      <c r="D346" s="9">
        <v>9.5</v>
      </c>
      <c r="E346" s="9" t="s">
        <v>240</v>
      </c>
      <c r="F346" s="9">
        <v>4</v>
      </c>
      <c r="G346" s="9">
        <f>F346*D346</f>
        <v>38</v>
      </c>
      <c r="H346" s="9">
        <f>F346*D346*C346</f>
        <v>38</v>
      </c>
    </row>
    <row r="347" spans="1:8" x14ac:dyDescent="0.2">
      <c r="B347" s="9" t="s">
        <v>217</v>
      </c>
      <c r="C347" s="9">
        <v>1</v>
      </c>
      <c r="D347" s="9">
        <v>2</v>
      </c>
      <c r="E347" s="9" t="s">
        <v>240</v>
      </c>
      <c r="F347" s="9">
        <v>1.5</v>
      </c>
      <c r="G347" s="9">
        <f>F347*D347</f>
        <v>3</v>
      </c>
      <c r="H347" s="9">
        <f>F347*D347*C347</f>
        <v>3</v>
      </c>
    </row>
    <row r="348" spans="1:8" x14ac:dyDescent="0.2">
      <c r="B348" s="9" t="s">
        <v>205</v>
      </c>
      <c r="C348" s="9">
        <v>1</v>
      </c>
      <c r="D348" s="9">
        <v>3.5</v>
      </c>
      <c r="E348" s="9" t="s">
        <v>240</v>
      </c>
      <c r="F348" s="9">
        <v>7</v>
      </c>
      <c r="G348" s="9">
        <f>F348*D348</f>
        <v>24.5</v>
      </c>
      <c r="H348" s="9">
        <f>F348*D348*C348</f>
        <v>24.5</v>
      </c>
    </row>
    <row r="349" spans="1:8" x14ac:dyDescent="0.2">
      <c r="B349" s="9" t="s">
        <v>211</v>
      </c>
      <c r="C349" s="9">
        <v>1</v>
      </c>
      <c r="D349" s="9">
        <v>4</v>
      </c>
      <c r="E349" s="9" t="s">
        <v>240</v>
      </c>
      <c r="F349" s="9">
        <v>4</v>
      </c>
      <c r="G349" s="9">
        <f>F349*D349</f>
        <v>16</v>
      </c>
      <c r="H349" s="9">
        <f>F349*D349*C349</f>
        <v>16</v>
      </c>
    </row>
    <row r="350" spans="1:8" x14ac:dyDescent="0.2">
      <c r="B350" s="30"/>
      <c r="C350" s="30"/>
      <c r="D350" s="30"/>
      <c r="E350" s="30"/>
      <c r="F350" s="30"/>
      <c r="G350" s="44" t="s">
        <v>126</v>
      </c>
      <c r="H350" s="44">
        <f>H346+H347+H348+H349</f>
        <v>81.5</v>
      </c>
    </row>
    <row r="351" spans="1:8" x14ac:dyDescent="0.2">
      <c r="A351" s="44" t="s">
        <v>283</v>
      </c>
      <c r="B351" s="45" t="s">
        <v>275</v>
      </c>
    </row>
    <row r="352" spans="1:8" x14ac:dyDescent="0.2">
      <c r="B352" s="9" t="s">
        <v>210</v>
      </c>
      <c r="C352" s="9">
        <v>1</v>
      </c>
      <c r="D352" s="9">
        <v>8</v>
      </c>
      <c r="E352" s="9" t="s">
        <v>240</v>
      </c>
      <c r="F352" s="9">
        <v>4</v>
      </c>
      <c r="G352" s="9">
        <f>F352*D352</f>
        <v>32</v>
      </c>
      <c r="H352" s="9">
        <f>F352*D352*C352</f>
        <v>32</v>
      </c>
    </row>
    <row r="353" spans="1:8" x14ac:dyDescent="0.2">
      <c r="B353" s="9" t="s">
        <v>217</v>
      </c>
      <c r="C353" s="9">
        <v>1</v>
      </c>
      <c r="D353" s="9">
        <v>2</v>
      </c>
      <c r="E353" s="9" t="s">
        <v>240</v>
      </c>
      <c r="F353" s="9">
        <v>1.5</v>
      </c>
      <c r="G353" s="9">
        <f>F353*D353</f>
        <v>3</v>
      </c>
      <c r="H353" s="9">
        <f>F353*D353*C353</f>
        <v>3</v>
      </c>
    </row>
    <row r="354" spans="1:8" x14ac:dyDescent="0.2">
      <c r="B354" s="30"/>
      <c r="C354" s="30"/>
      <c r="D354" s="30"/>
      <c r="E354" s="30"/>
      <c r="F354" s="30"/>
      <c r="G354" s="44" t="s">
        <v>126</v>
      </c>
      <c r="H354" s="44">
        <f>H352+H353</f>
        <v>35</v>
      </c>
    </row>
    <row r="356" spans="1:8" x14ac:dyDescent="0.2">
      <c r="B356" s="309" t="s">
        <v>318</v>
      </c>
      <c r="C356" s="309"/>
      <c r="D356" s="309"/>
      <c r="E356" s="309"/>
      <c r="F356" s="309"/>
      <c r="G356" s="309"/>
      <c r="H356" s="309"/>
    </row>
    <row r="357" spans="1:8" x14ac:dyDescent="0.2">
      <c r="B357" s="30"/>
    </row>
    <row r="358" spans="1:8" x14ac:dyDescent="0.2">
      <c r="B358" s="294" t="s">
        <v>319</v>
      </c>
      <c r="C358" s="295"/>
      <c r="D358" s="295"/>
      <c r="E358" s="295"/>
      <c r="F358" s="295"/>
      <c r="G358" s="295"/>
      <c r="H358" s="295"/>
    </row>
    <row r="359" spans="1:8" x14ac:dyDescent="0.2">
      <c r="B359" s="295"/>
      <c r="C359" s="295"/>
      <c r="D359" s="295"/>
      <c r="E359" s="295"/>
      <c r="F359" s="295"/>
      <c r="G359" s="295"/>
      <c r="H359" s="295"/>
    </row>
    <row r="361" spans="1:8" x14ac:dyDescent="0.2">
      <c r="A361" s="47">
        <v>3</v>
      </c>
      <c r="B361" s="47" t="s">
        <v>286</v>
      </c>
    </row>
    <row r="362" spans="1:8" x14ac:dyDescent="0.2">
      <c r="A362" s="48"/>
      <c r="B362" s="30"/>
    </row>
    <row r="363" spans="1:8" x14ac:dyDescent="0.2">
      <c r="A363" s="24">
        <v>3.1</v>
      </c>
      <c r="B363" s="49" t="s">
        <v>287</v>
      </c>
    </row>
    <row r="364" spans="1:8" x14ac:dyDescent="0.2">
      <c r="A364" s="30"/>
      <c r="B364" s="67" t="s">
        <v>288</v>
      </c>
      <c r="C364" s="9">
        <v>1</v>
      </c>
      <c r="D364" s="9">
        <v>15.6</v>
      </c>
      <c r="E364" s="9">
        <v>14</v>
      </c>
      <c r="F364" s="9" t="s">
        <v>240</v>
      </c>
      <c r="G364" s="9">
        <f>E364*D364</f>
        <v>218.4</v>
      </c>
      <c r="H364" s="9">
        <f>E364*D364*C364</f>
        <v>218.4</v>
      </c>
    </row>
    <row r="365" spans="1:8" x14ac:dyDescent="0.2">
      <c r="A365" s="30"/>
      <c r="B365" s="68" t="s">
        <v>289</v>
      </c>
      <c r="C365" s="9">
        <v>1</v>
      </c>
      <c r="D365" s="9">
        <v>63</v>
      </c>
      <c r="E365" s="9" t="s">
        <v>240</v>
      </c>
      <c r="F365" s="9">
        <v>10</v>
      </c>
      <c r="G365" s="9">
        <f>F365*D365</f>
        <v>630</v>
      </c>
      <c r="H365" s="9">
        <f>F365*D365*C365</f>
        <v>630</v>
      </c>
    </row>
    <row r="366" spans="1:8" x14ac:dyDescent="0.2">
      <c r="A366" s="24">
        <v>3.2</v>
      </c>
      <c r="B366" s="69" t="s">
        <v>290</v>
      </c>
      <c r="C366" s="30"/>
      <c r="D366" s="30"/>
      <c r="E366" s="30"/>
      <c r="F366" s="30"/>
      <c r="G366" s="30"/>
      <c r="H366" s="30"/>
    </row>
    <row r="367" spans="1:8" x14ac:dyDescent="0.2">
      <c r="A367" s="30"/>
      <c r="B367" s="3" t="s">
        <v>288</v>
      </c>
      <c r="C367" s="9">
        <v>1</v>
      </c>
      <c r="D367" s="9">
        <v>7.0250000000000004</v>
      </c>
      <c r="E367" s="9">
        <v>4</v>
      </c>
      <c r="F367" s="9" t="s">
        <v>240</v>
      </c>
      <c r="G367" s="9">
        <f>E367*D367</f>
        <v>28.1</v>
      </c>
      <c r="H367" s="9">
        <f>E367*D367*C367</f>
        <v>28.1</v>
      </c>
    </row>
    <row r="368" spans="1:8" x14ac:dyDescent="0.2">
      <c r="A368" s="30"/>
      <c r="B368" s="29" t="s">
        <v>289</v>
      </c>
      <c r="C368" s="9">
        <v>1</v>
      </c>
      <c r="D368" s="9">
        <v>22.05</v>
      </c>
      <c r="E368" s="9" t="s">
        <v>240</v>
      </c>
      <c r="F368" s="9">
        <v>10</v>
      </c>
      <c r="G368" s="9">
        <f>F368*D368</f>
        <v>220.5</v>
      </c>
      <c r="H368" s="9">
        <f>F368*D368*C368</f>
        <v>220.5</v>
      </c>
    </row>
    <row r="369" spans="1:8" x14ac:dyDescent="0.2">
      <c r="A369" s="24">
        <v>3.3</v>
      </c>
      <c r="B369" s="56" t="s">
        <v>291</v>
      </c>
      <c r="C369" s="30"/>
      <c r="D369" s="30"/>
      <c r="E369" s="30"/>
      <c r="F369" s="30"/>
      <c r="G369" s="30"/>
      <c r="H369" s="30"/>
    </row>
    <row r="370" spans="1:8" x14ac:dyDescent="0.2">
      <c r="A370" s="30"/>
      <c r="B370" s="3" t="s">
        <v>288</v>
      </c>
      <c r="C370" s="9">
        <v>1</v>
      </c>
      <c r="D370" s="9">
        <v>22</v>
      </c>
      <c r="E370" s="9">
        <v>17</v>
      </c>
      <c r="F370" s="9" t="s">
        <v>240</v>
      </c>
      <c r="G370" s="9">
        <f>E370*D370</f>
        <v>374</v>
      </c>
      <c r="H370" s="9">
        <f>E370*D370*C370</f>
        <v>374</v>
      </c>
    </row>
    <row r="371" spans="1:8" x14ac:dyDescent="0.2">
      <c r="A371" s="30"/>
      <c r="B371" s="29" t="s">
        <v>289</v>
      </c>
      <c r="C371" s="9">
        <v>1</v>
      </c>
      <c r="D371" s="9">
        <v>78</v>
      </c>
      <c r="E371" s="9" t="s">
        <v>240</v>
      </c>
      <c r="F371" s="9">
        <v>10</v>
      </c>
      <c r="G371" s="9">
        <f>F371*D371</f>
        <v>780</v>
      </c>
      <c r="H371" s="9">
        <f>F371*D371*C371</f>
        <v>780</v>
      </c>
    </row>
    <row r="372" spans="1:8" x14ac:dyDescent="0.2">
      <c r="A372" s="24">
        <v>3.4</v>
      </c>
      <c r="B372" s="56" t="s">
        <v>292</v>
      </c>
      <c r="C372" s="30"/>
      <c r="D372" s="30"/>
      <c r="E372" s="30"/>
      <c r="F372" s="30"/>
      <c r="G372" s="30"/>
      <c r="H372" s="30"/>
    </row>
    <row r="373" spans="1:8" x14ac:dyDescent="0.2">
      <c r="A373" s="30"/>
      <c r="B373" s="3" t="s">
        <v>288</v>
      </c>
      <c r="C373" s="9">
        <v>1</v>
      </c>
      <c r="D373" s="9">
        <v>16</v>
      </c>
      <c r="E373" s="9">
        <v>13</v>
      </c>
      <c r="F373" s="9" t="s">
        <v>240</v>
      </c>
      <c r="G373" s="9">
        <f>E373*D373</f>
        <v>208</v>
      </c>
      <c r="H373" s="9">
        <f>E373*D373*C373</f>
        <v>208</v>
      </c>
    </row>
    <row r="374" spans="1:8" x14ac:dyDescent="0.2">
      <c r="A374" s="30"/>
      <c r="B374" s="29" t="s">
        <v>289</v>
      </c>
      <c r="C374" s="9">
        <v>1</v>
      </c>
      <c r="D374" s="9">
        <v>58</v>
      </c>
      <c r="E374" s="9" t="s">
        <v>240</v>
      </c>
      <c r="F374" s="9">
        <v>10</v>
      </c>
      <c r="G374" s="9">
        <f>F374*D374</f>
        <v>580</v>
      </c>
      <c r="H374" s="9">
        <f>F374*D374*C374</f>
        <v>580</v>
      </c>
    </row>
    <row r="375" spans="1:8" x14ac:dyDescent="0.2">
      <c r="A375" s="24">
        <v>3.5</v>
      </c>
      <c r="B375" s="56" t="s">
        <v>293</v>
      </c>
      <c r="C375" s="30"/>
      <c r="D375" s="30"/>
      <c r="E375" s="30"/>
      <c r="F375" s="30"/>
      <c r="G375" s="30"/>
      <c r="H375" s="30"/>
    </row>
    <row r="376" spans="1:8" x14ac:dyDescent="0.2">
      <c r="A376" s="30"/>
      <c r="B376" s="3" t="s">
        <v>288</v>
      </c>
      <c r="C376" s="9">
        <v>1</v>
      </c>
      <c r="D376" s="9">
        <v>10</v>
      </c>
      <c r="E376" s="9">
        <v>6</v>
      </c>
      <c r="F376" s="9" t="s">
        <v>240</v>
      </c>
      <c r="G376" s="9">
        <f>E376*D376</f>
        <v>60</v>
      </c>
      <c r="H376" s="9">
        <f>E376*D376*C376</f>
        <v>60</v>
      </c>
    </row>
    <row r="377" spans="1:8" x14ac:dyDescent="0.2">
      <c r="A377" s="30"/>
      <c r="B377" s="29" t="s">
        <v>289</v>
      </c>
      <c r="C377" s="9">
        <v>1</v>
      </c>
      <c r="D377" s="9">
        <v>32</v>
      </c>
      <c r="E377" s="9" t="s">
        <v>240</v>
      </c>
      <c r="F377" s="9">
        <v>10</v>
      </c>
      <c r="G377" s="9">
        <f>F377*D377</f>
        <v>320</v>
      </c>
      <c r="H377" s="9">
        <f>F377*D377*C377</f>
        <v>320</v>
      </c>
    </row>
    <row r="378" spans="1:8" x14ac:dyDescent="0.2">
      <c r="A378" s="24">
        <v>3.6</v>
      </c>
      <c r="B378" s="56" t="s">
        <v>294</v>
      </c>
      <c r="C378" s="30"/>
      <c r="D378" s="30"/>
      <c r="E378" s="30"/>
      <c r="F378" s="30"/>
      <c r="G378" s="30"/>
      <c r="H378" s="30"/>
    </row>
    <row r="379" spans="1:8" x14ac:dyDescent="0.2">
      <c r="A379" s="30"/>
      <c r="B379" s="3" t="s">
        <v>288</v>
      </c>
      <c r="C379" s="9">
        <v>1</v>
      </c>
      <c r="D379" s="9">
        <v>6</v>
      </c>
      <c r="E379" s="9">
        <v>5.5</v>
      </c>
      <c r="F379" s="9" t="s">
        <v>240</v>
      </c>
      <c r="G379" s="9">
        <f>E379*D379</f>
        <v>33</v>
      </c>
      <c r="H379" s="9">
        <f>E379*D379*C379</f>
        <v>33</v>
      </c>
    </row>
    <row r="380" spans="1:8" x14ac:dyDescent="0.2">
      <c r="A380" s="30"/>
      <c r="B380" s="29" t="s">
        <v>289</v>
      </c>
      <c r="C380" s="9">
        <v>1</v>
      </c>
      <c r="D380" s="9">
        <v>23</v>
      </c>
      <c r="E380" s="9" t="s">
        <v>240</v>
      </c>
      <c r="F380" s="9">
        <v>10</v>
      </c>
      <c r="G380" s="9">
        <f>F380*D380</f>
        <v>230</v>
      </c>
      <c r="H380" s="9">
        <f>F380*D380*C380</f>
        <v>230</v>
      </c>
    </row>
    <row r="381" spans="1:8" x14ac:dyDescent="0.2">
      <c r="A381" s="24">
        <v>3.5</v>
      </c>
      <c r="B381" s="56" t="s">
        <v>295</v>
      </c>
      <c r="C381" s="30"/>
      <c r="D381" s="30"/>
      <c r="E381" s="30"/>
      <c r="F381" s="30"/>
      <c r="G381" s="30"/>
      <c r="H381" s="30"/>
    </row>
    <row r="382" spans="1:8" x14ac:dyDescent="0.2">
      <c r="A382" s="30"/>
      <c r="B382" s="3" t="s">
        <v>288</v>
      </c>
      <c r="C382" s="9">
        <v>1</v>
      </c>
      <c r="D382" s="9">
        <v>15</v>
      </c>
      <c r="E382" s="9">
        <v>14</v>
      </c>
      <c r="F382" s="9" t="s">
        <v>240</v>
      </c>
      <c r="G382" s="9">
        <f>E382*D382</f>
        <v>210</v>
      </c>
      <c r="H382" s="9">
        <f>E382*D382*C382</f>
        <v>210</v>
      </c>
    </row>
    <row r="383" spans="1:8" x14ac:dyDescent="0.2">
      <c r="A383" s="30"/>
      <c r="B383" s="29" t="s">
        <v>289</v>
      </c>
      <c r="C383" s="9">
        <v>1</v>
      </c>
      <c r="D383" s="9">
        <v>58</v>
      </c>
      <c r="E383" s="9" t="s">
        <v>240</v>
      </c>
      <c r="F383" s="9">
        <v>10</v>
      </c>
      <c r="G383" s="9">
        <f>F383*D383</f>
        <v>580</v>
      </c>
      <c r="H383" s="9">
        <f>F383*D383*C383</f>
        <v>580</v>
      </c>
    </row>
    <row r="384" spans="1:8" x14ac:dyDescent="0.2">
      <c r="A384" s="24">
        <v>3.6</v>
      </c>
      <c r="B384" s="56" t="s">
        <v>296</v>
      </c>
      <c r="C384" s="30"/>
      <c r="D384" s="30"/>
      <c r="E384" s="30"/>
      <c r="F384" s="30"/>
      <c r="G384" s="30"/>
      <c r="H384" s="30"/>
    </row>
    <row r="385" spans="1:8" x14ac:dyDescent="0.2">
      <c r="A385" s="30"/>
      <c r="B385" s="3" t="s">
        <v>288</v>
      </c>
      <c r="C385" s="9">
        <v>1</v>
      </c>
      <c r="D385" s="9">
        <v>9</v>
      </c>
      <c r="E385" s="9">
        <v>6</v>
      </c>
      <c r="F385" s="9" t="s">
        <v>240</v>
      </c>
      <c r="G385" s="9">
        <f>E385*D385</f>
        <v>54</v>
      </c>
      <c r="H385" s="9">
        <f>E385*D385*C385</f>
        <v>54</v>
      </c>
    </row>
    <row r="386" spans="1:8" x14ac:dyDescent="0.2">
      <c r="A386" s="30"/>
      <c r="B386" s="29" t="s">
        <v>289</v>
      </c>
      <c r="C386" s="9">
        <v>1</v>
      </c>
      <c r="D386" s="9">
        <v>30</v>
      </c>
      <c r="E386" s="9" t="s">
        <v>240</v>
      </c>
      <c r="F386" s="9">
        <v>10</v>
      </c>
      <c r="G386" s="9">
        <f>F386*D386</f>
        <v>300</v>
      </c>
      <c r="H386" s="9">
        <f>F386*D386*C386</f>
        <v>300</v>
      </c>
    </row>
    <row r="387" spans="1:8" x14ac:dyDescent="0.2">
      <c r="A387" s="24">
        <v>3.7</v>
      </c>
      <c r="B387" s="56" t="s">
        <v>297</v>
      </c>
      <c r="C387" s="30"/>
      <c r="D387" s="30"/>
      <c r="E387" s="30"/>
      <c r="F387" s="30"/>
      <c r="G387" s="30"/>
      <c r="H387" s="30"/>
    </row>
    <row r="388" spans="1:8" x14ac:dyDescent="0.2">
      <c r="A388" s="30"/>
      <c r="B388" s="3" t="s">
        <v>288</v>
      </c>
      <c r="C388" s="9">
        <v>1</v>
      </c>
      <c r="D388" s="9">
        <v>6</v>
      </c>
      <c r="E388" s="9">
        <v>4</v>
      </c>
      <c r="F388" s="9" t="s">
        <v>240</v>
      </c>
      <c r="G388" s="9">
        <f>E388*D388</f>
        <v>24</v>
      </c>
      <c r="H388" s="9">
        <f>E388*D388*C388</f>
        <v>24</v>
      </c>
    </row>
    <row r="389" spans="1:8" x14ac:dyDescent="0.2">
      <c r="A389" s="30"/>
      <c r="B389" s="29" t="s">
        <v>289</v>
      </c>
      <c r="C389" s="9">
        <v>1</v>
      </c>
      <c r="D389" s="9">
        <v>20</v>
      </c>
      <c r="E389" s="9" t="s">
        <v>240</v>
      </c>
      <c r="F389" s="9">
        <v>10</v>
      </c>
      <c r="G389" s="9">
        <f>F389*D389</f>
        <v>200</v>
      </c>
      <c r="H389" s="9">
        <f>F389*D389*C389</f>
        <v>200</v>
      </c>
    </row>
    <row r="390" spans="1:8" x14ac:dyDescent="0.2">
      <c r="A390" s="24">
        <v>3.8</v>
      </c>
      <c r="B390" s="56" t="s">
        <v>298</v>
      </c>
      <c r="C390" s="30"/>
      <c r="D390" s="30"/>
      <c r="E390" s="30"/>
      <c r="F390" s="30"/>
      <c r="G390" s="30"/>
      <c r="H390" s="30"/>
    </row>
    <row r="391" spans="1:8" x14ac:dyDescent="0.2">
      <c r="A391" s="30"/>
      <c r="B391" s="3" t="s">
        <v>288</v>
      </c>
      <c r="C391" s="9">
        <v>1</v>
      </c>
      <c r="D391" s="9">
        <v>15</v>
      </c>
      <c r="E391" s="9">
        <v>13</v>
      </c>
      <c r="F391" s="9" t="s">
        <v>240</v>
      </c>
      <c r="G391" s="9">
        <f>E391*D391</f>
        <v>195</v>
      </c>
      <c r="H391" s="9">
        <f>E391*D391*C391</f>
        <v>195</v>
      </c>
    </row>
    <row r="392" spans="1:8" x14ac:dyDescent="0.2">
      <c r="A392" s="30"/>
      <c r="B392" s="29" t="s">
        <v>289</v>
      </c>
      <c r="C392" s="9">
        <v>1</v>
      </c>
      <c r="D392" s="9">
        <v>56</v>
      </c>
      <c r="E392" s="9" t="s">
        <v>240</v>
      </c>
      <c r="F392" s="9">
        <v>10</v>
      </c>
      <c r="G392" s="9">
        <f>F392*D392</f>
        <v>560</v>
      </c>
      <c r="H392" s="9">
        <f>F392*D392*C392</f>
        <v>560</v>
      </c>
    </row>
    <row r="393" spans="1:8" x14ac:dyDescent="0.2">
      <c r="A393" s="24">
        <v>3.9</v>
      </c>
      <c r="B393" s="56" t="s">
        <v>299</v>
      </c>
      <c r="C393" s="30"/>
      <c r="D393" s="30"/>
      <c r="E393" s="30"/>
      <c r="F393" s="30"/>
      <c r="G393" s="30"/>
      <c r="H393" s="30"/>
    </row>
    <row r="394" spans="1:8" x14ac:dyDescent="0.2">
      <c r="A394" s="30"/>
      <c r="B394" s="3" t="s">
        <v>288</v>
      </c>
      <c r="C394" s="9">
        <v>1</v>
      </c>
      <c r="D394" s="9">
        <v>8.5</v>
      </c>
      <c r="E394" s="9">
        <v>6</v>
      </c>
      <c r="F394" s="9" t="s">
        <v>240</v>
      </c>
      <c r="G394" s="9">
        <f>E394*D394</f>
        <v>51</v>
      </c>
      <c r="H394" s="9">
        <f>E394*D394*C394</f>
        <v>51</v>
      </c>
    </row>
    <row r="395" spans="1:8" x14ac:dyDescent="0.2">
      <c r="A395" s="30"/>
      <c r="B395" s="29" t="s">
        <v>289</v>
      </c>
      <c r="C395" s="9">
        <v>1</v>
      </c>
      <c r="D395" s="9">
        <v>29</v>
      </c>
      <c r="E395" s="9" t="s">
        <v>240</v>
      </c>
      <c r="F395" s="9">
        <v>10</v>
      </c>
      <c r="G395" s="9">
        <f>F395*D395</f>
        <v>290</v>
      </c>
      <c r="H395" s="9">
        <f>F395*D395*C395</f>
        <v>290</v>
      </c>
    </row>
    <row r="396" spans="1:8" x14ac:dyDescent="0.2">
      <c r="A396" s="24">
        <v>3.1</v>
      </c>
      <c r="B396" s="56" t="s">
        <v>300</v>
      </c>
      <c r="C396" s="30"/>
      <c r="D396" s="30"/>
      <c r="E396" s="30"/>
      <c r="F396" s="30"/>
      <c r="G396" s="30"/>
      <c r="H396" s="30"/>
    </row>
    <row r="397" spans="1:8" x14ac:dyDescent="0.2">
      <c r="A397" s="30"/>
      <c r="B397" s="3" t="s">
        <v>288</v>
      </c>
      <c r="C397" s="9">
        <v>1</v>
      </c>
      <c r="D397" s="9">
        <v>6</v>
      </c>
      <c r="E397" s="9">
        <v>4</v>
      </c>
      <c r="F397" s="9" t="s">
        <v>240</v>
      </c>
      <c r="G397" s="9">
        <f>E397*D397</f>
        <v>24</v>
      </c>
      <c r="H397" s="9">
        <f>E397*D397*C397</f>
        <v>24</v>
      </c>
    </row>
    <row r="398" spans="1:8" x14ac:dyDescent="0.2">
      <c r="A398" s="30"/>
      <c r="B398" s="29" t="s">
        <v>289</v>
      </c>
      <c r="C398" s="9">
        <v>1</v>
      </c>
      <c r="D398" s="9">
        <v>20</v>
      </c>
      <c r="E398" s="9" t="s">
        <v>240</v>
      </c>
      <c r="F398" s="9">
        <v>10</v>
      </c>
      <c r="G398" s="9">
        <f>F398*D398</f>
        <v>200</v>
      </c>
      <c r="H398" s="9">
        <f>F398*D398*C398</f>
        <v>200</v>
      </c>
    </row>
    <row r="399" spans="1:8" x14ac:dyDescent="0.2">
      <c r="A399" s="24">
        <v>3.11</v>
      </c>
      <c r="B399" s="56" t="s">
        <v>320</v>
      </c>
      <c r="C399" s="30"/>
      <c r="D399" s="30"/>
      <c r="E399" s="30"/>
      <c r="F399" s="30"/>
      <c r="G399" s="30"/>
      <c r="H399" s="30"/>
    </row>
    <row r="400" spans="1:8" x14ac:dyDescent="0.2">
      <c r="A400" s="30"/>
      <c r="B400" s="3" t="s">
        <v>288</v>
      </c>
      <c r="C400" s="9">
        <v>1</v>
      </c>
      <c r="D400" s="9">
        <v>8</v>
      </c>
      <c r="E400" s="9">
        <v>6</v>
      </c>
      <c r="F400" s="9" t="s">
        <v>240</v>
      </c>
      <c r="G400" s="9">
        <f>E400*D400</f>
        <v>48</v>
      </c>
      <c r="H400" s="9">
        <f>E400*D400*C400</f>
        <v>48</v>
      </c>
    </row>
    <row r="401" spans="1:8" x14ac:dyDescent="0.2">
      <c r="A401" s="30"/>
      <c r="B401" s="29" t="s">
        <v>289</v>
      </c>
      <c r="C401" s="9">
        <v>1</v>
      </c>
      <c r="D401" s="9">
        <v>28</v>
      </c>
      <c r="E401" s="9" t="s">
        <v>240</v>
      </c>
      <c r="F401" s="9">
        <v>10</v>
      </c>
      <c r="G401" s="9">
        <f>F401*D401</f>
        <v>280</v>
      </c>
      <c r="H401" s="9">
        <f>F401*D401*C401</f>
        <v>280</v>
      </c>
    </row>
    <row r="402" spans="1:8" x14ac:dyDescent="0.2">
      <c r="A402" s="24">
        <v>3.12</v>
      </c>
      <c r="B402" s="56" t="s">
        <v>321</v>
      </c>
      <c r="C402" s="30"/>
      <c r="D402" s="30"/>
      <c r="E402" s="30"/>
      <c r="F402" s="30"/>
      <c r="G402" s="30"/>
      <c r="H402" s="30"/>
    </row>
    <row r="403" spans="1:8" x14ac:dyDescent="0.2">
      <c r="A403" s="30"/>
      <c r="B403" s="3" t="s">
        <v>288</v>
      </c>
      <c r="C403" s="9">
        <v>1</v>
      </c>
      <c r="D403" s="9">
        <v>8</v>
      </c>
      <c r="E403" s="9">
        <v>6</v>
      </c>
      <c r="F403" s="9" t="s">
        <v>240</v>
      </c>
      <c r="G403" s="9">
        <f>E403*D403</f>
        <v>48</v>
      </c>
      <c r="H403" s="9">
        <f>E403*D403*C403</f>
        <v>48</v>
      </c>
    </row>
    <row r="404" spans="1:8" x14ac:dyDescent="0.2">
      <c r="A404" s="30"/>
      <c r="B404" s="3" t="s">
        <v>289</v>
      </c>
      <c r="C404" s="9">
        <v>1</v>
      </c>
      <c r="D404" s="9">
        <v>28</v>
      </c>
      <c r="E404" s="9" t="s">
        <v>240</v>
      </c>
      <c r="F404" s="9">
        <v>10</v>
      </c>
      <c r="G404" s="9">
        <f>F404*D404</f>
        <v>280</v>
      </c>
      <c r="H404" s="9">
        <f>F404*D404*C404</f>
        <v>280</v>
      </c>
    </row>
    <row r="405" spans="1:8" x14ac:dyDescent="0.2">
      <c r="A405" s="24">
        <v>3.13</v>
      </c>
      <c r="B405" s="56" t="s">
        <v>303</v>
      </c>
      <c r="C405" s="30"/>
      <c r="D405" s="30"/>
      <c r="E405" s="30"/>
      <c r="F405" s="30"/>
      <c r="G405" s="30"/>
      <c r="H405" s="30"/>
    </row>
    <row r="406" spans="1:8" x14ac:dyDescent="0.2">
      <c r="A406" s="30"/>
      <c r="B406" s="3" t="s">
        <v>288</v>
      </c>
      <c r="C406" s="9">
        <v>1</v>
      </c>
      <c r="D406" s="9">
        <v>13.5</v>
      </c>
      <c r="E406" s="9">
        <v>10.75</v>
      </c>
      <c r="F406" s="9" t="s">
        <v>240</v>
      </c>
      <c r="G406" s="9">
        <f>E406*D406</f>
        <v>145.125</v>
      </c>
      <c r="H406" s="9">
        <f>E406*D406*C406</f>
        <v>145.125</v>
      </c>
    </row>
    <row r="407" spans="1:8" x14ac:dyDescent="0.2">
      <c r="A407" s="30"/>
      <c r="B407" s="29" t="s">
        <v>289</v>
      </c>
      <c r="C407" s="9">
        <v>1</v>
      </c>
      <c r="D407" s="9">
        <v>48.5</v>
      </c>
      <c r="E407" s="9" t="s">
        <v>240</v>
      </c>
      <c r="F407" s="9">
        <v>10</v>
      </c>
      <c r="G407" s="9">
        <f>F407*D407</f>
        <v>485</v>
      </c>
      <c r="H407" s="9">
        <f>F407*D407*C407</f>
        <v>485</v>
      </c>
    </row>
    <row r="408" spans="1:8" x14ac:dyDescent="0.2">
      <c r="A408" s="24">
        <v>3.14</v>
      </c>
      <c r="B408" s="56" t="s">
        <v>304</v>
      </c>
      <c r="C408" s="30"/>
      <c r="D408" s="30"/>
      <c r="E408" s="30"/>
      <c r="F408" s="30"/>
      <c r="G408" s="30"/>
      <c r="H408" s="30"/>
    </row>
    <row r="409" spans="1:8" x14ac:dyDescent="0.2">
      <c r="A409" s="30"/>
      <c r="B409" s="3" t="s">
        <v>288</v>
      </c>
      <c r="C409" s="9">
        <v>1</v>
      </c>
      <c r="D409" s="9">
        <v>14.5</v>
      </c>
      <c r="E409" s="9">
        <v>9.5</v>
      </c>
      <c r="F409" s="9" t="s">
        <v>240</v>
      </c>
      <c r="G409" s="9">
        <f>E409*D409</f>
        <v>137.75</v>
      </c>
      <c r="H409" s="9">
        <f>E409*D409*C409</f>
        <v>137.75</v>
      </c>
    </row>
    <row r="410" spans="1:8" x14ac:dyDescent="0.2">
      <c r="A410" s="30"/>
      <c r="B410" s="29" t="s">
        <v>289</v>
      </c>
      <c r="C410" s="9">
        <v>1</v>
      </c>
      <c r="D410" s="9">
        <v>48</v>
      </c>
      <c r="E410" s="9" t="s">
        <v>240</v>
      </c>
      <c r="F410" s="9">
        <v>10</v>
      </c>
      <c r="G410" s="9">
        <f>F410*D410</f>
        <v>480</v>
      </c>
      <c r="H410" s="9">
        <f>F410*D410*C410</f>
        <v>480</v>
      </c>
    </row>
    <row r="411" spans="1:8" x14ac:dyDescent="0.2">
      <c r="A411" s="24">
        <v>3.15</v>
      </c>
      <c r="B411" s="56" t="s">
        <v>305</v>
      </c>
      <c r="C411" s="30"/>
      <c r="D411" s="30"/>
      <c r="E411" s="30"/>
      <c r="F411" s="30"/>
      <c r="G411" s="30"/>
      <c r="H411" s="30"/>
    </row>
    <row r="412" spans="1:8" x14ac:dyDescent="0.2">
      <c r="A412" s="30"/>
      <c r="B412" s="3" t="s">
        <v>288</v>
      </c>
      <c r="C412" s="9">
        <v>1</v>
      </c>
      <c r="D412" s="9">
        <v>14.25</v>
      </c>
      <c r="E412" s="9">
        <v>9.3339999999999996</v>
      </c>
      <c r="F412" s="9" t="s">
        <v>240</v>
      </c>
      <c r="G412" s="9">
        <f>E412*D412</f>
        <v>133.0095</v>
      </c>
      <c r="H412" s="9">
        <f>E412*D412*C412</f>
        <v>133.0095</v>
      </c>
    </row>
    <row r="413" spans="1:8" x14ac:dyDescent="0.2">
      <c r="A413" s="30"/>
      <c r="B413" s="29" t="s">
        <v>289</v>
      </c>
      <c r="C413" s="9">
        <v>1</v>
      </c>
      <c r="D413" s="9">
        <v>47.167000000000002</v>
      </c>
      <c r="E413" s="9" t="s">
        <v>240</v>
      </c>
      <c r="F413" s="9">
        <v>10</v>
      </c>
      <c r="G413" s="9">
        <f>F413*D413</f>
        <v>471.67</v>
      </c>
      <c r="H413" s="9">
        <f>F413*D413*C413</f>
        <v>471.67</v>
      </c>
    </row>
    <row r="414" spans="1:8" x14ac:dyDescent="0.2">
      <c r="A414" s="24">
        <v>3.16</v>
      </c>
      <c r="B414" s="56" t="s">
        <v>306</v>
      </c>
      <c r="C414" s="30"/>
      <c r="D414" s="30"/>
      <c r="E414" s="30"/>
      <c r="F414" s="30"/>
      <c r="G414" s="30"/>
      <c r="H414" s="30"/>
    </row>
    <row r="415" spans="1:8" x14ac:dyDescent="0.2">
      <c r="B415" s="3" t="s">
        <v>288</v>
      </c>
      <c r="C415" s="9">
        <v>1</v>
      </c>
      <c r="D415" s="9">
        <v>19</v>
      </c>
      <c r="E415" s="9">
        <v>5</v>
      </c>
      <c r="F415" s="9" t="s">
        <v>240</v>
      </c>
      <c r="G415" s="9">
        <f>E415*D415</f>
        <v>95</v>
      </c>
      <c r="H415" s="9">
        <f>E415*D415*C415</f>
        <v>95</v>
      </c>
    </row>
    <row r="416" spans="1:8" x14ac:dyDescent="0.2">
      <c r="B416" s="3" t="s">
        <v>289</v>
      </c>
      <c r="C416" s="9">
        <v>1</v>
      </c>
      <c r="D416" s="9">
        <v>48</v>
      </c>
      <c r="E416" s="9" t="s">
        <v>240</v>
      </c>
      <c r="F416" s="9">
        <v>10</v>
      </c>
      <c r="G416" s="9">
        <f>F416*D416</f>
        <v>480</v>
      </c>
      <c r="H416" s="9">
        <f>F416*D416*C416</f>
        <v>480</v>
      </c>
    </row>
    <row r="417" spans="1:8" x14ac:dyDescent="0.2">
      <c r="C417" s="30"/>
      <c r="D417" s="30"/>
      <c r="E417" s="30"/>
      <c r="F417" s="30"/>
      <c r="G417" s="17" t="s">
        <v>307</v>
      </c>
      <c r="H417" s="17">
        <f>H364+H365+H367+H368+H370+H371+H373+H374+H376+H377+H379+H380+H382+H383+H385+H386+H388+H389+H391+H392+H394+H395+H397+H398+H400+H401+H403+H404+H406+H407+H409+H410+H412+H413+H415+H416</f>
        <v>9453.5545000000002</v>
      </c>
    </row>
    <row r="418" spans="1:8" x14ac:dyDescent="0.2">
      <c r="A418" s="22">
        <v>4</v>
      </c>
      <c r="B418" s="23" t="s">
        <v>308</v>
      </c>
    </row>
    <row r="419" spans="1:8" x14ac:dyDescent="0.2">
      <c r="A419" s="24">
        <v>4.0999999999999996</v>
      </c>
      <c r="B419" s="56" t="s">
        <v>304</v>
      </c>
      <c r="C419" s="30"/>
      <c r="D419" s="30"/>
      <c r="E419" s="30"/>
      <c r="F419" s="30"/>
      <c r="G419" s="30"/>
      <c r="H419" s="30"/>
    </row>
    <row r="420" spans="1:8" x14ac:dyDescent="0.2">
      <c r="A420" s="46"/>
      <c r="B420" s="9" t="s">
        <v>205</v>
      </c>
      <c r="C420" s="9">
        <v>1</v>
      </c>
      <c r="D420" s="9">
        <v>17.5</v>
      </c>
      <c r="E420" s="9">
        <v>0.5</v>
      </c>
      <c r="F420" s="9" t="s">
        <v>240</v>
      </c>
      <c r="G420" s="9">
        <f>E420*D420</f>
        <v>8.75</v>
      </c>
      <c r="H420" s="9">
        <f>E420*D420*C420</f>
        <v>8.75</v>
      </c>
    </row>
    <row r="421" spans="1:8" x14ac:dyDescent="0.2">
      <c r="A421" s="46"/>
      <c r="B421" s="9" t="s">
        <v>206</v>
      </c>
      <c r="C421" s="9">
        <v>1</v>
      </c>
      <c r="D421" s="9">
        <v>18.916</v>
      </c>
      <c r="E421" s="9">
        <v>0.5</v>
      </c>
      <c r="F421" s="9" t="s">
        <v>240</v>
      </c>
      <c r="G421" s="9">
        <f>E421*D421</f>
        <v>9.4580000000000002</v>
      </c>
      <c r="H421" s="9">
        <f>E421*D421*C421</f>
        <v>9.4580000000000002</v>
      </c>
    </row>
    <row r="422" spans="1:8" x14ac:dyDescent="0.2">
      <c r="A422" s="46"/>
      <c r="B422" s="9" t="s">
        <v>220</v>
      </c>
      <c r="C422" s="9">
        <v>1</v>
      </c>
      <c r="D422" s="9">
        <v>19</v>
      </c>
      <c r="E422" s="9">
        <v>0.5</v>
      </c>
      <c r="F422" s="9" t="s">
        <v>240</v>
      </c>
      <c r="G422" s="9">
        <f>E422*D422</f>
        <v>9.5</v>
      </c>
      <c r="H422" s="9">
        <f>E422*D422*C422</f>
        <v>9.5</v>
      </c>
    </row>
    <row r="423" spans="1:8" x14ac:dyDescent="0.2">
      <c r="A423" s="46"/>
      <c r="B423" s="57" t="s">
        <v>309</v>
      </c>
      <c r="C423" s="9">
        <v>1</v>
      </c>
      <c r="D423" s="9">
        <v>17.5</v>
      </c>
      <c r="E423" s="9">
        <v>0.5</v>
      </c>
      <c r="F423" s="9" t="s">
        <v>240</v>
      </c>
      <c r="G423" s="9">
        <f>E423*D423</f>
        <v>8.75</v>
      </c>
      <c r="H423" s="9">
        <f>E423*D423*C423</f>
        <v>8.75</v>
      </c>
    </row>
    <row r="424" spans="1:8" x14ac:dyDescent="0.2">
      <c r="A424" s="24">
        <v>4.2</v>
      </c>
      <c r="B424" s="49" t="s">
        <v>287</v>
      </c>
      <c r="C424" s="30"/>
      <c r="D424" s="30"/>
      <c r="E424" s="30"/>
      <c r="F424" s="30"/>
      <c r="G424" s="30"/>
      <c r="H424" s="30"/>
    </row>
    <row r="425" spans="1:8" x14ac:dyDescent="0.2">
      <c r="A425" s="46"/>
      <c r="B425" s="58" t="s">
        <v>210</v>
      </c>
      <c r="C425" s="9">
        <v>1</v>
      </c>
      <c r="D425" s="9">
        <v>27</v>
      </c>
      <c r="E425" s="9">
        <v>0.5</v>
      </c>
      <c r="F425" s="9" t="s">
        <v>240</v>
      </c>
      <c r="G425" s="9">
        <f>E425*D425</f>
        <v>13.5</v>
      </c>
      <c r="H425" s="9">
        <f>E425*D425*C425</f>
        <v>13.5</v>
      </c>
    </row>
    <row r="426" spans="1:8" x14ac:dyDescent="0.2">
      <c r="A426" s="46"/>
      <c r="B426" s="9" t="s">
        <v>211</v>
      </c>
      <c r="C426" s="9">
        <v>1</v>
      </c>
      <c r="D426" s="9">
        <v>28</v>
      </c>
      <c r="E426" s="9">
        <v>0.5</v>
      </c>
      <c r="F426" s="9" t="s">
        <v>240</v>
      </c>
      <c r="G426" s="9">
        <f>E426*D426</f>
        <v>14</v>
      </c>
      <c r="H426" s="9">
        <f>E426*D426*C426</f>
        <v>14</v>
      </c>
    </row>
    <row r="427" spans="1:8" x14ac:dyDescent="0.2">
      <c r="A427" s="46"/>
      <c r="B427" s="59" t="s">
        <v>246</v>
      </c>
      <c r="C427" s="9">
        <v>1</v>
      </c>
      <c r="D427" s="9">
        <v>23.5</v>
      </c>
      <c r="E427" s="9">
        <v>0.5</v>
      </c>
      <c r="F427" s="9" t="s">
        <v>240</v>
      </c>
      <c r="G427" s="60">
        <f>E427*D427</f>
        <v>11.75</v>
      </c>
      <c r="H427" s="60">
        <f>E427*D427*C427</f>
        <v>11.75</v>
      </c>
    </row>
    <row r="428" spans="1:8" x14ac:dyDescent="0.2">
      <c r="A428" s="24">
        <v>4.3</v>
      </c>
      <c r="B428" s="49" t="s">
        <v>291</v>
      </c>
      <c r="C428" s="30"/>
      <c r="D428" s="30"/>
      <c r="E428" s="30"/>
      <c r="F428" s="30"/>
      <c r="G428" s="30"/>
      <c r="H428" s="30"/>
    </row>
    <row r="429" spans="1:8" x14ac:dyDescent="0.2">
      <c r="A429" s="46"/>
      <c r="B429" s="9" t="s">
        <v>210</v>
      </c>
      <c r="C429" s="9">
        <v>1</v>
      </c>
      <c r="D429" s="9">
        <v>20.166599999999999</v>
      </c>
      <c r="E429" s="9">
        <v>0.5</v>
      </c>
      <c r="F429" s="9" t="s">
        <v>240</v>
      </c>
      <c r="G429" s="9">
        <f>E429*D429</f>
        <v>10.083299999999999</v>
      </c>
      <c r="H429" s="9">
        <f>E429*D429*C429</f>
        <v>10.083299999999999</v>
      </c>
    </row>
    <row r="430" spans="1:8" x14ac:dyDescent="0.2">
      <c r="A430" s="46"/>
      <c r="B430" s="57" t="s">
        <v>211</v>
      </c>
      <c r="C430" s="9">
        <v>1</v>
      </c>
      <c r="D430" s="9">
        <v>29.666</v>
      </c>
      <c r="E430" s="9">
        <v>0.5</v>
      </c>
      <c r="F430" s="9" t="s">
        <v>240</v>
      </c>
      <c r="G430" s="9">
        <f>E430*D430</f>
        <v>14.833</v>
      </c>
      <c r="H430" s="9">
        <f>E430*D430*C430</f>
        <v>14.833</v>
      </c>
    </row>
    <row r="431" spans="1:8" x14ac:dyDescent="0.2">
      <c r="A431" s="24">
        <v>4.4000000000000004</v>
      </c>
      <c r="B431" s="49" t="s">
        <v>292</v>
      </c>
      <c r="C431" s="30"/>
      <c r="D431" s="30"/>
      <c r="E431" s="30"/>
      <c r="F431" s="30"/>
      <c r="G431" s="30"/>
      <c r="H431" s="30"/>
    </row>
    <row r="432" spans="1:8" x14ac:dyDescent="0.2">
      <c r="A432" s="46"/>
      <c r="B432" s="9" t="s">
        <v>210</v>
      </c>
      <c r="C432" s="9">
        <v>1</v>
      </c>
      <c r="D432" s="9">
        <v>24</v>
      </c>
      <c r="E432" s="9">
        <v>0.5</v>
      </c>
      <c r="F432" s="9" t="s">
        <v>240</v>
      </c>
      <c r="G432" s="9">
        <f>E432*D432</f>
        <v>12</v>
      </c>
      <c r="H432" s="9">
        <f>E432*D432*C432</f>
        <v>12</v>
      </c>
    </row>
    <row r="433" spans="1:8" x14ac:dyDescent="0.2">
      <c r="A433" s="46"/>
      <c r="B433" s="57" t="s">
        <v>205</v>
      </c>
      <c r="C433" s="9">
        <v>1</v>
      </c>
      <c r="D433" s="9">
        <v>17.5</v>
      </c>
      <c r="E433" s="9">
        <v>0.5</v>
      </c>
      <c r="F433" s="9" t="s">
        <v>240</v>
      </c>
      <c r="G433" s="9">
        <f>E433*D433</f>
        <v>8.75</v>
      </c>
      <c r="H433" s="9">
        <f>E433*D433*C433</f>
        <v>8.75</v>
      </c>
    </row>
    <row r="434" spans="1:8" x14ac:dyDescent="0.2">
      <c r="A434" s="24">
        <v>4.5</v>
      </c>
      <c r="B434" s="49" t="s">
        <v>293</v>
      </c>
      <c r="C434" s="30"/>
      <c r="D434" s="30"/>
      <c r="E434" s="30"/>
      <c r="F434" s="30"/>
      <c r="G434" s="30"/>
      <c r="H434" s="30"/>
    </row>
    <row r="435" spans="1:8" x14ac:dyDescent="0.2">
      <c r="A435" s="46"/>
      <c r="B435" s="9" t="s">
        <v>205</v>
      </c>
      <c r="C435" s="9">
        <v>1</v>
      </c>
      <c r="D435" s="9">
        <v>16.5</v>
      </c>
      <c r="E435" s="9">
        <v>0.5</v>
      </c>
      <c r="F435" s="9" t="s">
        <v>240</v>
      </c>
      <c r="G435" s="60">
        <f>E435*D435</f>
        <v>8.25</v>
      </c>
      <c r="H435" s="60">
        <f>E435*D435*C435</f>
        <v>8.25</v>
      </c>
    </row>
    <row r="436" spans="1:8" x14ac:dyDescent="0.2">
      <c r="A436" s="46"/>
      <c r="B436" s="59" t="s">
        <v>217</v>
      </c>
      <c r="C436" s="9">
        <v>1</v>
      </c>
      <c r="D436" s="9">
        <v>8</v>
      </c>
      <c r="E436" s="9">
        <v>0.5</v>
      </c>
      <c r="F436" s="9" t="s">
        <v>240</v>
      </c>
      <c r="G436" s="9">
        <f>E436*D436</f>
        <v>4</v>
      </c>
      <c r="H436" s="9">
        <f>E436*D436*C436</f>
        <v>4</v>
      </c>
    </row>
    <row r="437" spans="1:8" x14ac:dyDescent="0.2">
      <c r="A437" s="24">
        <v>4.5999999999999996</v>
      </c>
      <c r="B437" s="49" t="s">
        <v>295</v>
      </c>
      <c r="C437" s="30"/>
      <c r="D437" s="30"/>
      <c r="E437" s="30"/>
      <c r="F437" s="30"/>
      <c r="G437" s="30"/>
      <c r="H437" s="30"/>
    </row>
    <row r="438" spans="1:8" x14ac:dyDescent="0.2">
      <c r="A438" s="46"/>
      <c r="B438" s="9" t="s">
        <v>210</v>
      </c>
      <c r="C438" s="9">
        <v>1</v>
      </c>
      <c r="D438" s="9">
        <v>24</v>
      </c>
      <c r="E438" s="9">
        <v>0.5</v>
      </c>
      <c r="F438" s="9" t="s">
        <v>240</v>
      </c>
      <c r="G438" s="9">
        <f>E438*D438</f>
        <v>12</v>
      </c>
      <c r="H438" s="9">
        <f>E438*D438*C438</f>
        <v>12</v>
      </c>
    </row>
    <row r="439" spans="1:8" x14ac:dyDescent="0.2">
      <c r="A439" s="46"/>
      <c r="B439" s="57" t="s">
        <v>205</v>
      </c>
      <c r="C439" s="9">
        <v>1</v>
      </c>
      <c r="D439" s="9">
        <v>17.5</v>
      </c>
      <c r="E439" s="9">
        <v>0.5</v>
      </c>
      <c r="F439" s="9" t="s">
        <v>240</v>
      </c>
      <c r="G439" s="9">
        <f>E439*D439</f>
        <v>8.75</v>
      </c>
      <c r="H439" s="9">
        <f>E439*D439*C439</f>
        <v>8.75</v>
      </c>
    </row>
    <row r="440" spans="1:8" x14ac:dyDescent="0.2">
      <c r="A440" s="24">
        <v>4.7</v>
      </c>
      <c r="B440" s="49" t="s">
        <v>296</v>
      </c>
      <c r="C440" s="30"/>
      <c r="D440" s="30"/>
      <c r="E440" s="30"/>
      <c r="F440" s="30"/>
      <c r="G440" s="30"/>
      <c r="H440" s="30"/>
    </row>
    <row r="441" spans="1:8" x14ac:dyDescent="0.2">
      <c r="A441" s="46"/>
      <c r="B441" s="9" t="s">
        <v>205</v>
      </c>
      <c r="C441" s="9">
        <v>1</v>
      </c>
      <c r="D441" s="9">
        <v>16.5</v>
      </c>
      <c r="E441" s="9">
        <v>0.5</v>
      </c>
      <c r="F441" s="9" t="s">
        <v>240</v>
      </c>
      <c r="G441" s="61">
        <f>E441*D441</f>
        <v>8.25</v>
      </c>
      <c r="H441" s="61">
        <f>E441*D441*C441</f>
        <v>8.25</v>
      </c>
    </row>
    <row r="442" spans="1:8" x14ac:dyDescent="0.2">
      <c r="A442" s="46"/>
      <c r="B442" s="59" t="s">
        <v>217</v>
      </c>
      <c r="C442" s="9">
        <v>1</v>
      </c>
      <c r="D442" s="9">
        <v>8</v>
      </c>
      <c r="E442" s="9">
        <v>0.5</v>
      </c>
      <c r="F442" s="9" t="s">
        <v>240</v>
      </c>
      <c r="G442" s="9">
        <f>E442*D442</f>
        <v>4</v>
      </c>
      <c r="H442" s="9">
        <f>E442*D442*C442</f>
        <v>4</v>
      </c>
    </row>
    <row r="443" spans="1:8" x14ac:dyDescent="0.2">
      <c r="A443" s="24">
        <v>4.8</v>
      </c>
      <c r="B443" s="49" t="s">
        <v>298</v>
      </c>
      <c r="C443" s="30"/>
      <c r="D443" s="30"/>
      <c r="E443" s="30"/>
      <c r="F443" s="30"/>
      <c r="G443" s="30"/>
      <c r="H443" s="30"/>
    </row>
    <row r="444" spans="1:8" x14ac:dyDescent="0.2">
      <c r="A444" s="46"/>
      <c r="B444" s="9" t="s">
        <v>210</v>
      </c>
      <c r="C444" s="9">
        <v>1</v>
      </c>
      <c r="D444" s="9">
        <v>24</v>
      </c>
      <c r="E444" s="9">
        <v>0.5</v>
      </c>
      <c r="F444" s="9" t="s">
        <v>240</v>
      </c>
      <c r="G444" s="9">
        <f>E444*D444</f>
        <v>12</v>
      </c>
      <c r="H444" s="9">
        <f>E444*D444*C444</f>
        <v>12</v>
      </c>
    </row>
    <row r="445" spans="1:8" x14ac:dyDescent="0.2">
      <c r="A445" s="46"/>
      <c r="B445" s="57" t="s">
        <v>205</v>
      </c>
      <c r="C445" s="9">
        <v>1</v>
      </c>
      <c r="D445" s="9">
        <v>17.5</v>
      </c>
      <c r="E445" s="9">
        <v>0.5</v>
      </c>
      <c r="F445" s="9" t="s">
        <v>240</v>
      </c>
      <c r="G445" s="60">
        <f>E445*D445</f>
        <v>8.75</v>
      </c>
      <c r="H445" s="60">
        <f>E445*D445*C445</f>
        <v>8.75</v>
      </c>
    </row>
    <row r="446" spans="1:8" x14ac:dyDescent="0.2">
      <c r="A446" s="24">
        <v>4.9000000000000004</v>
      </c>
      <c r="B446" s="49" t="s">
        <v>299</v>
      </c>
      <c r="C446" s="30"/>
      <c r="D446" s="30"/>
      <c r="E446" s="30"/>
      <c r="F446" s="30"/>
      <c r="G446" s="30"/>
      <c r="H446" s="30"/>
    </row>
    <row r="447" spans="1:8" x14ac:dyDescent="0.2">
      <c r="A447" s="46"/>
      <c r="B447" s="60" t="s">
        <v>205</v>
      </c>
      <c r="C447" s="60">
        <v>1</v>
      </c>
      <c r="D447" s="60">
        <v>16.5</v>
      </c>
      <c r="E447" s="60">
        <v>0.5</v>
      </c>
      <c r="F447" s="60" t="s">
        <v>240</v>
      </c>
      <c r="G447" s="60">
        <f>E447*D447</f>
        <v>8.25</v>
      </c>
      <c r="H447" s="60">
        <f>E447*D447*C447</f>
        <v>8.25</v>
      </c>
    </row>
    <row r="448" spans="1:8" x14ac:dyDescent="0.2">
      <c r="A448" s="46"/>
      <c r="B448" s="57" t="s">
        <v>217</v>
      </c>
      <c r="C448" s="9">
        <v>1</v>
      </c>
      <c r="D448" s="9">
        <v>8</v>
      </c>
      <c r="E448" s="9">
        <v>0.5</v>
      </c>
      <c r="F448" s="9" t="s">
        <v>240</v>
      </c>
      <c r="G448" s="9">
        <f>E448*D448</f>
        <v>4</v>
      </c>
      <c r="H448" s="9">
        <f>E448*D448*C448</f>
        <v>4</v>
      </c>
    </row>
    <row r="449" spans="1:8" x14ac:dyDescent="0.2">
      <c r="A449" s="24">
        <v>4.0999999999999996</v>
      </c>
      <c r="B449" s="49" t="s">
        <v>320</v>
      </c>
      <c r="C449" s="30"/>
      <c r="D449" s="30"/>
      <c r="E449" s="30"/>
      <c r="F449" s="30"/>
      <c r="G449" s="30"/>
      <c r="H449" s="30"/>
    </row>
    <row r="450" spans="1:8" x14ac:dyDescent="0.2">
      <c r="A450" s="46"/>
      <c r="B450" s="9" t="s">
        <v>210</v>
      </c>
      <c r="C450" s="9">
        <v>1</v>
      </c>
      <c r="D450" s="9">
        <v>11.334</v>
      </c>
      <c r="E450" s="9">
        <v>0.5</v>
      </c>
      <c r="F450" s="9" t="s">
        <v>240</v>
      </c>
      <c r="G450" s="9">
        <f>E450*D450</f>
        <v>5.6669999999999998</v>
      </c>
      <c r="H450" s="9">
        <f>E450*D450*C450</f>
        <v>5.6669999999999998</v>
      </c>
    </row>
    <row r="451" spans="1:8" x14ac:dyDescent="0.2">
      <c r="A451" s="46"/>
      <c r="B451" s="57" t="s">
        <v>205</v>
      </c>
      <c r="C451" s="9">
        <v>1</v>
      </c>
      <c r="D451" s="9">
        <v>16.5</v>
      </c>
      <c r="E451" s="9">
        <v>0.5</v>
      </c>
      <c r="F451" s="9" t="s">
        <v>240</v>
      </c>
      <c r="G451" s="60">
        <f>E451*D451</f>
        <v>8.25</v>
      </c>
      <c r="H451" s="60">
        <f>E451*D451*C451</f>
        <v>8.25</v>
      </c>
    </row>
    <row r="452" spans="1:8" x14ac:dyDescent="0.2">
      <c r="A452" s="24">
        <v>4.1100000000000003</v>
      </c>
      <c r="B452" s="49" t="s">
        <v>321</v>
      </c>
      <c r="C452" s="30"/>
      <c r="D452" s="30"/>
      <c r="E452" s="30"/>
      <c r="F452" s="30"/>
      <c r="G452" s="30"/>
      <c r="H452" s="30"/>
    </row>
    <row r="453" spans="1:8" x14ac:dyDescent="0.2">
      <c r="A453" s="46"/>
      <c r="B453" s="60" t="s">
        <v>210</v>
      </c>
      <c r="C453" s="60">
        <v>1</v>
      </c>
      <c r="D453" s="60">
        <v>11.334</v>
      </c>
      <c r="E453" s="60">
        <v>0.5</v>
      </c>
      <c r="F453" s="60" t="s">
        <v>240</v>
      </c>
      <c r="G453" s="60">
        <f>E453*D453</f>
        <v>5.6669999999999998</v>
      </c>
      <c r="H453" s="60">
        <f>E453*D453*C453</f>
        <v>5.6669999999999998</v>
      </c>
    </row>
    <row r="454" spans="1:8" x14ac:dyDescent="0.2">
      <c r="A454" s="46"/>
      <c r="B454" s="57" t="s">
        <v>205</v>
      </c>
      <c r="C454" s="9">
        <v>1</v>
      </c>
      <c r="D454" s="9">
        <v>16.5</v>
      </c>
      <c r="E454" s="9">
        <v>0.5</v>
      </c>
      <c r="F454" s="9" t="s">
        <v>240</v>
      </c>
      <c r="G454" s="9">
        <f>E454*D454</f>
        <v>8.25</v>
      </c>
      <c r="H454" s="9">
        <f>E454*D454*C454</f>
        <v>8.25</v>
      </c>
    </row>
    <row r="455" spans="1:8" x14ac:dyDescent="0.2">
      <c r="A455" s="24">
        <v>4.12</v>
      </c>
      <c r="B455" s="49" t="s">
        <v>303</v>
      </c>
      <c r="C455" s="30"/>
      <c r="D455" s="30"/>
      <c r="E455" s="30"/>
      <c r="F455" s="30"/>
      <c r="G455" s="30"/>
      <c r="H455" s="30"/>
    </row>
    <row r="456" spans="1:8" x14ac:dyDescent="0.2">
      <c r="A456" s="46"/>
      <c r="B456" s="57" t="s">
        <v>210</v>
      </c>
      <c r="C456" s="9">
        <v>1</v>
      </c>
      <c r="D456" s="9">
        <v>14</v>
      </c>
      <c r="E456" s="9">
        <v>0.5</v>
      </c>
      <c r="F456" s="9" t="s">
        <v>240</v>
      </c>
      <c r="G456" s="9">
        <f>E456*D456</f>
        <v>7</v>
      </c>
      <c r="H456" s="9">
        <f>E456*D456*C456</f>
        <v>7</v>
      </c>
    </row>
    <row r="457" spans="1:8" x14ac:dyDescent="0.2">
      <c r="A457" s="24">
        <v>4.13</v>
      </c>
      <c r="B457" s="49" t="s">
        <v>305</v>
      </c>
    </row>
    <row r="458" spans="1:8" x14ac:dyDescent="0.2">
      <c r="B458" s="9" t="s">
        <v>210</v>
      </c>
      <c r="C458" s="9">
        <v>1</v>
      </c>
      <c r="D458" s="9">
        <v>15</v>
      </c>
      <c r="E458" s="9">
        <v>0.5</v>
      </c>
      <c r="F458" s="9" t="s">
        <v>240</v>
      </c>
      <c r="G458" s="9">
        <f>E458*D458</f>
        <v>7.5</v>
      </c>
      <c r="H458" s="9">
        <f>E458*D458*C458</f>
        <v>7.5</v>
      </c>
    </row>
    <row r="459" spans="1:8" x14ac:dyDescent="0.2">
      <c r="B459" s="57" t="s">
        <v>211</v>
      </c>
      <c r="C459" s="9">
        <v>1</v>
      </c>
      <c r="D459" s="9">
        <v>16</v>
      </c>
      <c r="E459" s="9">
        <v>0.5</v>
      </c>
      <c r="F459" s="9" t="s">
        <v>240</v>
      </c>
      <c r="G459" s="9">
        <f>E459*D459</f>
        <v>8</v>
      </c>
      <c r="H459" s="9">
        <f>E459*D459*C459</f>
        <v>8</v>
      </c>
    </row>
    <row r="460" spans="1:8" x14ac:dyDescent="0.2">
      <c r="A460" s="24">
        <v>4.1399999999999997</v>
      </c>
      <c r="B460" s="49" t="s">
        <v>290</v>
      </c>
      <c r="C460" s="30"/>
      <c r="D460" s="30"/>
      <c r="E460" s="30"/>
      <c r="F460" s="30"/>
      <c r="G460" s="30"/>
      <c r="H460" s="30"/>
    </row>
    <row r="461" spans="1:8" x14ac:dyDescent="0.2">
      <c r="B461" s="9" t="s">
        <v>217</v>
      </c>
      <c r="C461" s="9">
        <v>1</v>
      </c>
      <c r="D461" s="9">
        <v>8</v>
      </c>
      <c r="E461" s="9">
        <v>0.5</v>
      </c>
      <c r="F461" s="9" t="s">
        <v>240</v>
      </c>
      <c r="G461" s="9">
        <f>E461*D461</f>
        <v>4</v>
      </c>
      <c r="H461" s="9">
        <f>E461*D461*C461</f>
        <v>4</v>
      </c>
    </row>
    <row r="462" spans="1:8" x14ac:dyDescent="0.2">
      <c r="B462" s="9" t="s">
        <v>205</v>
      </c>
      <c r="C462" s="9">
        <v>1</v>
      </c>
      <c r="D462" s="9">
        <v>16.5</v>
      </c>
      <c r="E462" s="9">
        <v>0.5</v>
      </c>
      <c r="F462" s="9" t="s">
        <v>240</v>
      </c>
      <c r="G462" s="9">
        <f>E462*D462</f>
        <v>8.25</v>
      </c>
      <c r="H462" s="9">
        <f>E462*D462*C462</f>
        <v>8.25</v>
      </c>
    </row>
    <row r="463" spans="1:8" x14ac:dyDescent="0.2">
      <c r="G463" s="62" t="s">
        <v>307</v>
      </c>
      <c r="H463" s="62">
        <f>H420+H421+H422+H423+H425+H426+H427+H429+H430+H432+H433+H435+H436+H438+H439+H441+H442+H444+H445+H447+H448+H450+H451+H453+H455+H457+H458+H459+H461+H462</f>
        <v>246.95830000000001</v>
      </c>
    </row>
    <row r="464" spans="1:8" x14ac:dyDescent="0.2">
      <c r="A464" s="22">
        <v>5</v>
      </c>
      <c r="B464" s="23" t="s">
        <v>277</v>
      </c>
    </row>
    <row r="465" spans="1:8" x14ac:dyDescent="0.2">
      <c r="A465" s="24">
        <v>5.0999999999999996</v>
      </c>
      <c r="B465" s="56" t="s">
        <v>304</v>
      </c>
      <c r="C465" s="30"/>
      <c r="D465" s="30"/>
      <c r="E465" s="30"/>
      <c r="F465" s="30"/>
      <c r="G465" s="30"/>
      <c r="H465" s="30"/>
    </row>
    <row r="466" spans="1:8" x14ac:dyDescent="0.2">
      <c r="A466" s="46"/>
      <c r="B466" s="9" t="s">
        <v>205</v>
      </c>
      <c r="C466" s="9">
        <v>1</v>
      </c>
      <c r="D466" s="9">
        <v>3.5</v>
      </c>
      <c r="E466" s="9" t="s">
        <v>240</v>
      </c>
      <c r="F466" s="9">
        <v>7</v>
      </c>
      <c r="G466" s="9">
        <f>F466*D466</f>
        <v>24.5</v>
      </c>
      <c r="H466" s="9">
        <f>F466*D466*C466</f>
        <v>24.5</v>
      </c>
    </row>
    <row r="467" spans="1:8" x14ac:dyDescent="0.2">
      <c r="A467" s="46"/>
      <c r="B467" s="9" t="s">
        <v>206</v>
      </c>
      <c r="C467" s="9">
        <v>1</v>
      </c>
      <c r="D467" s="9">
        <v>4.9160000000000004</v>
      </c>
      <c r="E467" s="9" t="s">
        <v>240</v>
      </c>
      <c r="F467" s="9">
        <v>7</v>
      </c>
      <c r="G467" s="9">
        <f>F467*D467</f>
        <v>34.412000000000006</v>
      </c>
      <c r="H467" s="9">
        <f>F467*D467*C467</f>
        <v>34.412000000000006</v>
      </c>
    </row>
    <row r="468" spans="1:8" x14ac:dyDescent="0.2">
      <c r="A468" s="46"/>
      <c r="B468" s="9" t="s">
        <v>220</v>
      </c>
      <c r="C468" s="9">
        <v>1</v>
      </c>
      <c r="D468" s="9">
        <v>5</v>
      </c>
      <c r="E468" s="9" t="s">
        <v>240</v>
      </c>
      <c r="F468" s="9">
        <v>7</v>
      </c>
      <c r="G468" s="9">
        <f>F468*D468</f>
        <v>35</v>
      </c>
      <c r="H468" s="9">
        <f>F468*D468*C468</f>
        <v>35</v>
      </c>
    </row>
    <row r="469" spans="1:8" x14ac:dyDescent="0.2">
      <c r="A469" s="46"/>
      <c r="B469" s="57" t="s">
        <v>309</v>
      </c>
      <c r="C469" s="9">
        <v>1</v>
      </c>
      <c r="D469" s="9">
        <v>3.5</v>
      </c>
      <c r="E469" s="107" t="s">
        <v>240</v>
      </c>
      <c r="F469" s="9">
        <v>7</v>
      </c>
      <c r="G469" s="9">
        <f>F469*D469</f>
        <v>24.5</v>
      </c>
      <c r="H469" s="9">
        <f>F469*D469*C469</f>
        <v>24.5</v>
      </c>
    </row>
    <row r="470" spans="1:8" x14ac:dyDescent="0.2">
      <c r="A470" s="24">
        <v>5.2</v>
      </c>
      <c r="B470" s="49" t="s">
        <v>287</v>
      </c>
      <c r="C470" s="30"/>
      <c r="D470" s="30"/>
      <c r="E470" s="30"/>
      <c r="F470" s="30"/>
      <c r="G470" s="30"/>
      <c r="H470" s="30"/>
    </row>
    <row r="471" spans="1:8" x14ac:dyDescent="0.2">
      <c r="A471" s="46"/>
      <c r="B471" s="58" t="s">
        <v>210</v>
      </c>
      <c r="C471" s="9">
        <v>1</v>
      </c>
      <c r="D471" s="9">
        <v>9.5</v>
      </c>
      <c r="E471" s="9" t="s">
        <v>240</v>
      </c>
      <c r="F471" s="9">
        <v>4</v>
      </c>
      <c r="G471" s="9">
        <f>F471*D471</f>
        <v>38</v>
      </c>
      <c r="H471" s="9">
        <f>F471*D471*C471</f>
        <v>38</v>
      </c>
    </row>
    <row r="472" spans="1:8" x14ac:dyDescent="0.2">
      <c r="A472" s="46"/>
      <c r="B472" s="9" t="s">
        <v>211</v>
      </c>
      <c r="C472" s="9">
        <v>1</v>
      </c>
      <c r="D472" s="9">
        <v>10</v>
      </c>
      <c r="E472" s="9" t="s">
        <v>240</v>
      </c>
      <c r="F472" s="9">
        <v>4</v>
      </c>
      <c r="G472" s="9">
        <f>F472*D472</f>
        <v>40</v>
      </c>
      <c r="H472" s="9">
        <f>F472*D472*C472</f>
        <v>40</v>
      </c>
    </row>
    <row r="473" spans="1:8" x14ac:dyDescent="0.2">
      <c r="A473" s="46"/>
      <c r="B473" s="59" t="s">
        <v>246</v>
      </c>
      <c r="C473" s="9">
        <v>1</v>
      </c>
      <c r="D473" s="9">
        <v>9.5</v>
      </c>
      <c r="E473" s="9" t="s">
        <v>240</v>
      </c>
      <c r="F473" s="9">
        <v>7</v>
      </c>
      <c r="G473" s="60">
        <f>F473*D473</f>
        <v>66.5</v>
      </c>
      <c r="H473" s="60">
        <f>F473*D473*C473</f>
        <v>66.5</v>
      </c>
    </row>
    <row r="474" spans="1:8" x14ac:dyDescent="0.2">
      <c r="A474" s="24">
        <v>5.3</v>
      </c>
      <c r="B474" s="49" t="s">
        <v>291</v>
      </c>
      <c r="C474" s="30"/>
      <c r="D474" s="30"/>
      <c r="E474" s="30"/>
      <c r="F474" s="30"/>
      <c r="G474" s="30"/>
      <c r="H474" s="30"/>
    </row>
    <row r="475" spans="1:8" x14ac:dyDescent="0.2">
      <c r="A475" s="46"/>
      <c r="B475" s="9" t="s">
        <v>210</v>
      </c>
      <c r="C475" s="9">
        <v>1</v>
      </c>
      <c r="D475" s="9">
        <v>6.0833000000000004</v>
      </c>
      <c r="E475" s="9" t="s">
        <v>240</v>
      </c>
      <c r="F475" s="9">
        <v>4</v>
      </c>
      <c r="G475" s="9">
        <f>F475*D475</f>
        <v>24.333200000000001</v>
      </c>
      <c r="H475" s="9">
        <f>F475*D475*C475</f>
        <v>24.333200000000001</v>
      </c>
    </row>
    <row r="476" spans="1:8" x14ac:dyDescent="0.2">
      <c r="A476" s="46"/>
      <c r="B476" s="57" t="s">
        <v>211</v>
      </c>
      <c r="C476" s="9">
        <v>1</v>
      </c>
      <c r="D476" s="9">
        <v>4.8330000000000002</v>
      </c>
      <c r="E476" s="9" t="s">
        <v>240</v>
      </c>
      <c r="F476" s="9">
        <v>4</v>
      </c>
      <c r="G476" s="9">
        <f>F476*D476</f>
        <v>19.332000000000001</v>
      </c>
      <c r="H476" s="9">
        <f>F476*D476*C476</f>
        <v>19.332000000000001</v>
      </c>
    </row>
    <row r="477" spans="1:8" x14ac:dyDescent="0.2">
      <c r="A477" s="24">
        <v>5.4</v>
      </c>
      <c r="B477" s="49" t="s">
        <v>292</v>
      </c>
      <c r="C477" s="30"/>
      <c r="D477" s="30"/>
      <c r="E477" s="30"/>
      <c r="F477" s="30"/>
      <c r="G477" s="30"/>
      <c r="H477" s="30"/>
    </row>
    <row r="478" spans="1:8" x14ac:dyDescent="0.2">
      <c r="A478" s="46"/>
      <c r="B478" s="9" t="s">
        <v>210</v>
      </c>
      <c r="C478" s="9">
        <v>1</v>
      </c>
      <c r="D478" s="9">
        <v>8</v>
      </c>
      <c r="E478" s="9" t="s">
        <v>240</v>
      </c>
      <c r="F478" s="9">
        <v>4</v>
      </c>
      <c r="G478" s="9">
        <f>F478*D478</f>
        <v>32</v>
      </c>
      <c r="H478" s="9">
        <f>F478*D478*C478</f>
        <v>32</v>
      </c>
    </row>
    <row r="479" spans="1:8" x14ac:dyDescent="0.2">
      <c r="A479" s="46"/>
      <c r="B479" s="57" t="s">
        <v>205</v>
      </c>
      <c r="C479" s="9">
        <v>1</v>
      </c>
      <c r="D479" s="9">
        <v>3.5</v>
      </c>
      <c r="E479" s="9" t="s">
        <v>240</v>
      </c>
      <c r="F479" s="9">
        <v>7</v>
      </c>
      <c r="G479" s="9">
        <f>F479*D479</f>
        <v>24.5</v>
      </c>
      <c r="H479" s="9">
        <f>F479*D479*C479</f>
        <v>24.5</v>
      </c>
    </row>
    <row r="480" spans="1:8" x14ac:dyDescent="0.2">
      <c r="A480" s="24">
        <v>5.5</v>
      </c>
      <c r="B480" s="49" t="s">
        <v>293</v>
      </c>
      <c r="C480" s="30"/>
      <c r="D480" s="30"/>
      <c r="E480" s="30"/>
      <c r="F480" s="30"/>
      <c r="G480" s="30"/>
      <c r="H480" s="30"/>
    </row>
    <row r="481" spans="1:8" x14ac:dyDescent="0.2">
      <c r="A481" s="46"/>
      <c r="B481" s="9" t="s">
        <v>205</v>
      </c>
      <c r="C481" s="9">
        <v>1</v>
      </c>
      <c r="D481" s="9">
        <v>2.5</v>
      </c>
      <c r="E481" s="9" t="s">
        <v>240</v>
      </c>
      <c r="F481" s="9">
        <v>7</v>
      </c>
      <c r="G481" s="60">
        <f>F481*D481</f>
        <v>17.5</v>
      </c>
      <c r="H481" s="60">
        <f>F481*D481*C481</f>
        <v>17.5</v>
      </c>
    </row>
    <row r="482" spans="1:8" x14ac:dyDescent="0.2">
      <c r="A482" s="46"/>
      <c r="B482" s="59" t="s">
        <v>217</v>
      </c>
      <c r="C482" s="9">
        <v>1</v>
      </c>
      <c r="D482" s="9">
        <v>2</v>
      </c>
      <c r="E482" s="9" t="s">
        <v>240</v>
      </c>
      <c r="F482" s="9">
        <v>1.5</v>
      </c>
      <c r="G482" s="9">
        <f>F482*D482</f>
        <v>3</v>
      </c>
      <c r="H482" s="9">
        <f>F482*D482*C482</f>
        <v>3</v>
      </c>
    </row>
    <row r="483" spans="1:8" x14ac:dyDescent="0.2">
      <c r="A483" s="24">
        <v>5.6</v>
      </c>
      <c r="B483" s="49" t="s">
        <v>295</v>
      </c>
      <c r="C483" s="30"/>
      <c r="D483" s="30"/>
      <c r="E483" s="30"/>
      <c r="F483" s="30"/>
      <c r="G483" s="30"/>
      <c r="H483" s="30"/>
    </row>
    <row r="484" spans="1:8" x14ac:dyDescent="0.2">
      <c r="A484" s="46"/>
      <c r="B484" s="9" t="s">
        <v>210</v>
      </c>
      <c r="C484" s="9">
        <v>1</v>
      </c>
      <c r="D484" s="9">
        <v>8</v>
      </c>
      <c r="E484" s="9" t="s">
        <v>240</v>
      </c>
      <c r="F484" s="9">
        <v>4</v>
      </c>
      <c r="G484" s="9">
        <f>F484*D484</f>
        <v>32</v>
      </c>
      <c r="H484" s="9">
        <f>F484*D484*C484</f>
        <v>32</v>
      </c>
    </row>
    <row r="485" spans="1:8" x14ac:dyDescent="0.2">
      <c r="A485" s="46"/>
      <c r="B485" s="57" t="s">
        <v>205</v>
      </c>
      <c r="C485" s="9">
        <v>1</v>
      </c>
      <c r="D485" s="9">
        <v>3.5</v>
      </c>
      <c r="E485" s="9" t="s">
        <v>240</v>
      </c>
      <c r="F485" s="9">
        <v>7</v>
      </c>
      <c r="G485" s="9">
        <f>F485*D485</f>
        <v>24.5</v>
      </c>
      <c r="H485" s="9">
        <f>F485*D485*C485</f>
        <v>24.5</v>
      </c>
    </row>
    <row r="486" spans="1:8" x14ac:dyDescent="0.2">
      <c r="A486" s="24">
        <v>5.7</v>
      </c>
      <c r="B486" s="49" t="s">
        <v>296</v>
      </c>
      <c r="C486" s="30"/>
      <c r="D486" s="30"/>
      <c r="E486" s="30"/>
      <c r="F486" s="30"/>
      <c r="G486" s="30"/>
      <c r="H486" s="30"/>
    </row>
    <row r="487" spans="1:8" x14ac:dyDescent="0.2">
      <c r="A487" s="46"/>
      <c r="B487" s="9" t="s">
        <v>205</v>
      </c>
      <c r="C487" s="9">
        <v>1</v>
      </c>
      <c r="D487" s="9">
        <v>2.5</v>
      </c>
      <c r="E487" s="9" t="s">
        <v>240</v>
      </c>
      <c r="F487" s="9">
        <v>7</v>
      </c>
      <c r="G487" s="61">
        <f>F487*D487</f>
        <v>17.5</v>
      </c>
      <c r="H487" s="61">
        <f>F487*D487*C487</f>
        <v>17.5</v>
      </c>
    </row>
    <row r="488" spans="1:8" x14ac:dyDescent="0.2">
      <c r="A488" s="46"/>
      <c r="B488" s="59" t="s">
        <v>217</v>
      </c>
      <c r="C488" s="9">
        <v>1</v>
      </c>
      <c r="D488" s="9">
        <v>2</v>
      </c>
      <c r="E488" s="9" t="s">
        <v>240</v>
      </c>
      <c r="F488" s="9">
        <v>1.5</v>
      </c>
      <c r="G488" s="9">
        <f>F488*D488</f>
        <v>3</v>
      </c>
      <c r="H488" s="9">
        <f>F488*D488*C488</f>
        <v>3</v>
      </c>
    </row>
    <row r="489" spans="1:8" x14ac:dyDescent="0.2">
      <c r="A489" s="24">
        <v>5.8</v>
      </c>
      <c r="B489" s="49" t="s">
        <v>298</v>
      </c>
      <c r="C489" s="30"/>
      <c r="D489" s="30"/>
      <c r="E489" s="30"/>
      <c r="F489" s="30"/>
      <c r="G489" s="30"/>
      <c r="H489" s="30"/>
    </row>
    <row r="490" spans="1:8" x14ac:dyDescent="0.2">
      <c r="A490" s="46"/>
      <c r="B490" s="9" t="s">
        <v>210</v>
      </c>
      <c r="C490" s="9">
        <v>1</v>
      </c>
      <c r="D490" s="9">
        <v>8</v>
      </c>
      <c r="E490" s="9" t="s">
        <v>240</v>
      </c>
      <c r="F490" s="9">
        <v>4</v>
      </c>
      <c r="G490" s="9">
        <f>F490*D490</f>
        <v>32</v>
      </c>
      <c r="H490" s="9">
        <f>F490*D490*C490</f>
        <v>32</v>
      </c>
    </row>
    <row r="491" spans="1:8" x14ac:dyDescent="0.2">
      <c r="A491" s="46"/>
      <c r="B491" s="57" t="s">
        <v>205</v>
      </c>
      <c r="C491" s="9">
        <v>1</v>
      </c>
      <c r="D491" s="9">
        <v>3.5</v>
      </c>
      <c r="E491" s="9" t="s">
        <v>240</v>
      </c>
      <c r="F491" s="9">
        <v>7</v>
      </c>
      <c r="G491" s="60">
        <f>F491*D491</f>
        <v>24.5</v>
      </c>
      <c r="H491" s="60">
        <f>F491*D491*C491</f>
        <v>24.5</v>
      </c>
    </row>
    <row r="492" spans="1:8" x14ac:dyDescent="0.2">
      <c r="A492" s="24">
        <v>5.9</v>
      </c>
      <c r="B492" s="49" t="s">
        <v>299</v>
      </c>
      <c r="C492" s="30"/>
      <c r="D492" s="30"/>
      <c r="E492" s="30"/>
      <c r="F492" s="30"/>
      <c r="G492" s="30"/>
      <c r="H492" s="30"/>
    </row>
    <row r="493" spans="1:8" x14ac:dyDescent="0.2">
      <c r="A493" s="46"/>
      <c r="B493" s="60" t="s">
        <v>205</v>
      </c>
      <c r="C493" s="60">
        <v>1</v>
      </c>
      <c r="D493" s="60">
        <v>2.5</v>
      </c>
      <c r="E493" s="60" t="s">
        <v>240</v>
      </c>
      <c r="F493" s="60">
        <v>7</v>
      </c>
      <c r="G493" s="60">
        <f>F493*D493</f>
        <v>17.5</v>
      </c>
      <c r="H493" s="60">
        <f>F493*D493*C493</f>
        <v>17.5</v>
      </c>
    </row>
    <row r="494" spans="1:8" x14ac:dyDescent="0.2">
      <c r="A494" s="46"/>
      <c r="B494" s="57" t="s">
        <v>217</v>
      </c>
      <c r="C494" s="9">
        <v>1</v>
      </c>
      <c r="D494" s="9">
        <v>2</v>
      </c>
      <c r="E494" s="9" t="s">
        <v>240</v>
      </c>
      <c r="F494" s="9">
        <v>1.5</v>
      </c>
      <c r="G494" s="9">
        <f>F494*D494</f>
        <v>3</v>
      </c>
      <c r="H494" s="9">
        <f>F494*D494*C494</f>
        <v>3</v>
      </c>
    </row>
    <row r="495" spans="1:8" x14ac:dyDescent="0.2">
      <c r="A495" s="24">
        <v>5.0999999999999996</v>
      </c>
      <c r="B495" s="49" t="s">
        <v>320</v>
      </c>
      <c r="C495" s="30"/>
      <c r="D495" s="30"/>
      <c r="E495" s="30"/>
      <c r="F495" s="30"/>
      <c r="G495" s="30"/>
      <c r="H495" s="30"/>
    </row>
    <row r="496" spans="1:8" x14ac:dyDescent="0.2">
      <c r="A496" s="46"/>
      <c r="B496" s="9" t="s">
        <v>210</v>
      </c>
      <c r="C496" s="9">
        <v>1</v>
      </c>
      <c r="D496" s="9">
        <v>1.667</v>
      </c>
      <c r="E496" s="9" t="s">
        <v>240</v>
      </c>
      <c r="F496" s="9">
        <v>4</v>
      </c>
      <c r="G496" s="9">
        <f>F496*D496</f>
        <v>6.6680000000000001</v>
      </c>
      <c r="H496" s="9">
        <f>F496*D496*C496</f>
        <v>6.6680000000000001</v>
      </c>
    </row>
    <row r="497" spans="1:8" x14ac:dyDescent="0.2">
      <c r="A497" s="46"/>
      <c r="B497" s="57" t="s">
        <v>205</v>
      </c>
      <c r="C497" s="9">
        <v>1</v>
      </c>
      <c r="D497" s="9">
        <v>2.5</v>
      </c>
      <c r="E497" s="9" t="s">
        <v>240</v>
      </c>
      <c r="F497" s="9">
        <v>7</v>
      </c>
      <c r="G497" s="60">
        <f>F497*D497</f>
        <v>17.5</v>
      </c>
      <c r="H497" s="60">
        <f>F497*D497*C497</f>
        <v>17.5</v>
      </c>
    </row>
    <row r="498" spans="1:8" x14ac:dyDescent="0.2">
      <c r="A498" s="24">
        <v>5.1100000000000003</v>
      </c>
      <c r="B498" s="49" t="s">
        <v>321</v>
      </c>
      <c r="C498" s="30"/>
      <c r="D498" s="30"/>
      <c r="E498" s="30"/>
      <c r="F498" s="30"/>
      <c r="G498" s="30"/>
      <c r="H498" s="30"/>
    </row>
    <row r="499" spans="1:8" x14ac:dyDescent="0.2">
      <c r="A499" s="46"/>
      <c r="B499" s="60" t="s">
        <v>205</v>
      </c>
      <c r="C499" s="60">
        <v>1</v>
      </c>
      <c r="D499" s="60">
        <v>2.5</v>
      </c>
      <c r="E499" s="60" t="s">
        <v>240</v>
      </c>
      <c r="F499" s="60">
        <v>7</v>
      </c>
      <c r="G499" s="60">
        <f>F499*D499</f>
        <v>17.5</v>
      </c>
      <c r="H499" s="60">
        <f>F499*D499*C499</f>
        <v>17.5</v>
      </c>
    </row>
    <row r="500" spans="1:8" x14ac:dyDescent="0.2">
      <c r="A500" s="46"/>
      <c r="B500" s="57" t="s">
        <v>210</v>
      </c>
      <c r="C500" s="9">
        <v>1</v>
      </c>
      <c r="D500" s="9">
        <v>1.667</v>
      </c>
      <c r="E500" s="9" t="s">
        <v>240</v>
      </c>
      <c r="F500" s="9">
        <v>4</v>
      </c>
      <c r="G500" s="9">
        <f>F500*D500</f>
        <v>6.6680000000000001</v>
      </c>
      <c r="H500" s="9">
        <f>F500*D500*C500</f>
        <v>6.6680000000000001</v>
      </c>
    </row>
    <row r="501" spans="1:8" x14ac:dyDescent="0.2">
      <c r="A501" s="24">
        <v>5.12</v>
      </c>
      <c r="B501" s="49" t="s">
        <v>303</v>
      </c>
      <c r="C501" s="30"/>
      <c r="D501" s="30"/>
      <c r="E501" s="30"/>
      <c r="F501" s="30"/>
      <c r="G501" s="30"/>
      <c r="H501" s="30"/>
    </row>
    <row r="502" spans="1:8" x14ac:dyDescent="0.2">
      <c r="A502" s="46"/>
      <c r="B502" s="57" t="s">
        <v>210</v>
      </c>
      <c r="C502" s="9">
        <v>1</v>
      </c>
      <c r="D502" s="9">
        <v>3</v>
      </c>
      <c r="E502" s="9" t="s">
        <v>240</v>
      </c>
      <c r="F502" s="9">
        <v>4</v>
      </c>
      <c r="G502" s="9">
        <f>F502*D502</f>
        <v>12</v>
      </c>
      <c r="H502" s="9">
        <f>F502*D502*C502</f>
        <v>12</v>
      </c>
    </row>
    <row r="503" spans="1:8" x14ac:dyDescent="0.2">
      <c r="A503" s="24">
        <v>5.13</v>
      </c>
      <c r="B503" s="49" t="s">
        <v>305</v>
      </c>
    </row>
    <row r="504" spans="1:8" x14ac:dyDescent="0.2">
      <c r="B504" s="9" t="s">
        <v>210</v>
      </c>
      <c r="C504" s="9">
        <v>1</v>
      </c>
      <c r="D504" s="9">
        <v>4</v>
      </c>
      <c r="E504" s="9" t="s">
        <v>240</v>
      </c>
      <c r="F504" s="9">
        <v>4</v>
      </c>
      <c r="G504" s="9">
        <f>F504*D504</f>
        <v>16</v>
      </c>
      <c r="H504" s="9">
        <f>F504*D504*C504</f>
        <v>16</v>
      </c>
    </row>
    <row r="505" spans="1:8" x14ac:dyDescent="0.2">
      <c r="B505" s="57" t="s">
        <v>211</v>
      </c>
      <c r="C505" s="9">
        <v>1</v>
      </c>
      <c r="D505" s="9">
        <v>4</v>
      </c>
      <c r="E505" s="9" t="s">
        <v>240</v>
      </c>
      <c r="F505" s="9">
        <v>4</v>
      </c>
      <c r="G505" s="9">
        <f>F505*D505</f>
        <v>16</v>
      </c>
      <c r="H505" s="9">
        <f>F505*D505*C505</f>
        <v>16</v>
      </c>
    </row>
    <row r="506" spans="1:8" x14ac:dyDescent="0.2">
      <c r="A506" s="24">
        <v>5.14</v>
      </c>
      <c r="B506" s="49" t="s">
        <v>290</v>
      </c>
      <c r="C506" s="30"/>
      <c r="D506" s="30"/>
      <c r="E506" s="30"/>
      <c r="F506" s="30"/>
      <c r="G506" s="30"/>
      <c r="H506" s="30"/>
    </row>
    <row r="507" spans="1:8" x14ac:dyDescent="0.2">
      <c r="B507" s="9" t="s">
        <v>217</v>
      </c>
      <c r="C507" s="9">
        <v>1</v>
      </c>
      <c r="D507" s="9">
        <v>2</v>
      </c>
      <c r="E507" s="9" t="s">
        <v>240</v>
      </c>
      <c r="F507" s="9">
        <v>1.5</v>
      </c>
      <c r="G507" s="9">
        <f>F507*D507</f>
        <v>3</v>
      </c>
      <c r="H507" s="9">
        <f>F507*D507*C507</f>
        <v>3</v>
      </c>
    </row>
    <row r="508" spans="1:8" x14ac:dyDescent="0.2">
      <c r="B508" s="9" t="s">
        <v>205</v>
      </c>
      <c r="C508" s="9">
        <v>1</v>
      </c>
      <c r="D508" s="9">
        <v>2.5</v>
      </c>
      <c r="E508" s="9" t="s">
        <v>240</v>
      </c>
      <c r="F508" s="9">
        <v>7</v>
      </c>
      <c r="G508" s="9">
        <f>F508*D508</f>
        <v>17.5</v>
      </c>
      <c r="H508" s="9">
        <f>F508*D508*C508</f>
        <v>17.5</v>
      </c>
    </row>
    <row r="509" spans="1:8" x14ac:dyDescent="0.2">
      <c r="G509" s="16" t="s">
        <v>307</v>
      </c>
      <c r="H509" s="17">
        <f>H466+H467+H468+H469+H471+H472+H473+H475+H476+H478+H479+H481+H482+H484+H485+H487+H488+H490+H491+H493+H494+H496+H497+H499+H501+H503+H504+H505+H507+H508</f>
        <v>631.74519999999995</v>
      </c>
    </row>
    <row r="511" spans="1:8" x14ac:dyDescent="0.2">
      <c r="B511" s="290" t="s">
        <v>322</v>
      </c>
      <c r="C511" s="291"/>
      <c r="D511" s="291"/>
      <c r="E511" s="291"/>
      <c r="F511" s="291"/>
      <c r="G511" s="291"/>
      <c r="H511" s="291"/>
    </row>
    <row r="512" spans="1:8" x14ac:dyDescent="0.2">
      <c r="B512" s="291"/>
      <c r="C512" s="291"/>
      <c r="D512" s="291"/>
      <c r="E512" s="291"/>
      <c r="F512" s="291"/>
      <c r="G512" s="291"/>
      <c r="H512" s="291"/>
    </row>
    <row r="514" spans="2:12" x14ac:dyDescent="0.2">
      <c r="B514" s="292" t="s">
        <v>312</v>
      </c>
      <c r="C514" s="293"/>
      <c r="D514" s="293"/>
    </row>
    <row r="515" spans="2:12" x14ac:dyDescent="0.2">
      <c r="B515" s="293"/>
      <c r="C515" s="293"/>
      <c r="D515" s="293"/>
    </row>
    <row r="517" spans="2:12" x14ac:dyDescent="0.2">
      <c r="C517" s="296" t="s">
        <v>323</v>
      </c>
      <c r="D517" s="297"/>
      <c r="E517" s="297"/>
      <c r="F517" s="297"/>
      <c r="G517" s="297"/>
      <c r="H517" s="297"/>
    </row>
    <row r="518" spans="2:12" x14ac:dyDescent="0.2">
      <c r="C518" s="298" t="s">
        <v>324</v>
      </c>
      <c r="D518" s="298"/>
      <c r="E518" s="298"/>
      <c r="F518" s="298"/>
      <c r="G518" s="298"/>
      <c r="H518" s="298"/>
    </row>
    <row r="520" spans="2:12" x14ac:dyDescent="0.2">
      <c r="B520" s="286" t="s">
        <v>325</v>
      </c>
      <c r="C520" s="286"/>
      <c r="D520" s="286"/>
    </row>
    <row r="521" spans="2:12" x14ac:dyDescent="0.2">
      <c r="B521" s="286"/>
      <c r="C521" s="286"/>
      <c r="D521" s="286"/>
    </row>
    <row r="523" spans="2:12" x14ac:dyDescent="0.2">
      <c r="B523" s="287" t="s">
        <v>326</v>
      </c>
      <c r="C523" s="287"/>
      <c r="D523" s="287"/>
      <c r="E523" s="287"/>
      <c r="F523" s="287"/>
      <c r="G523" s="287"/>
      <c r="H523" s="287"/>
      <c r="I523" s="287"/>
      <c r="J523" s="287"/>
      <c r="K523" s="287"/>
      <c r="L523" s="287"/>
    </row>
    <row r="524" spans="2:12" x14ac:dyDescent="0.2">
      <c r="B524" s="287"/>
      <c r="C524" s="287"/>
      <c r="D524" s="287"/>
      <c r="E524" s="287"/>
      <c r="F524" s="287"/>
      <c r="G524" s="287"/>
      <c r="H524" s="287"/>
      <c r="I524" s="287"/>
      <c r="J524" s="287"/>
      <c r="K524" s="287"/>
      <c r="L524" s="287"/>
    </row>
    <row r="526" spans="2:12" x14ac:dyDescent="0.2">
      <c r="B526" s="288" t="s">
        <v>327</v>
      </c>
      <c r="C526" s="288"/>
      <c r="D526" s="288"/>
      <c r="E526" s="288"/>
      <c r="F526" s="288"/>
      <c r="G526" s="288"/>
      <c r="H526" s="288"/>
      <c r="I526" s="288"/>
      <c r="J526" s="288"/>
      <c r="K526" s="288"/>
      <c r="L526" s="288"/>
    </row>
    <row r="527" spans="2:12" x14ac:dyDescent="0.2">
      <c r="B527" s="288"/>
      <c r="C527" s="288"/>
      <c r="D527" s="288"/>
      <c r="E527" s="288"/>
      <c r="F527" s="288"/>
      <c r="G527" s="288"/>
      <c r="H527" s="288"/>
      <c r="I527" s="288"/>
      <c r="J527" s="288"/>
      <c r="K527" s="288"/>
      <c r="L527" s="288"/>
    </row>
    <row r="529" spans="2:10" x14ac:dyDescent="0.2">
      <c r="B529" s="289" t="s">
        <v>328</v>
      </c>
      <c r="C529" s="289"/>
      <c r="D529" s="289"/>
      <c r="E529" s="289"/>
      <c r="F529" s="289"/>
      <c r="G529" s="289"/>
      <c r="H529" s="289"/>
      <c r="I529" s="289"/>
      <c r="J529" s="289"/>
    </row>
    <row r="530" spans="2:10" x14ac:dyDescent="0.2">
      <c r="B530" s="289"/>
      <c r="C530" s="289"/>
      <c r="D530" s="289"/>
      <c r="E530" s="289"/>
      <c r="F530" s="289"/>
      <c r="G530" s="289"/>
      <c r="H530" s="289"/>
      <c r="I530" s="289"/>
      <c r="J530" s="289"/>
    </row>
    <row r="532" spans="2:10" x14ac:dyDescent="0.2">
      <c r="B532" s="279" t="s">
        <v>329</v>
      </c>
      <c r="C532" s="279"/>
      <c r="D532" s="279"/>
      <c r="E532" s="279"/>
      <c r="F532" s="279"/>
      <c r="G532" s="279"/>
      <c r="H532" s="279"/>
      <c r="I532" s="279"/>
      <c r="J532" s="279"/>
    </row>
    <row r="533" spans="2:10" x14ac:dyDescent="0.2">
      <c r="B533" s="279"/>
      <c r="C533" s="279"/>
      <c r="D533" s="279"/>
      <c r="E533" s="279"/>
      <c r="F533" s="279"/>
      <c r="G533" s="279"/>
      <c r="H533" s="279"/>
      <c r="I533" s="279"/>
      <c r="J533" s="279"/>
    </row>
    <row r="534" spans="2:10" x14ac:dyDescent="0.2">
      <c r="B534" s="279" t="s">
        <v>330</v>
      </c>
      <c r="C534" s="279"/>
      <c r="D534" s="279"/>
      <c r="E534" s="279"/>
      <c r="F534" s="279"/>
      <c r="G534" s="279"/>
      <c r="H534" s="279"/>
      <c r="I534" s="279"/>
      <c r="J534" s="279"/>
    </row>
    <row r="535" spans="2:10" x14ac:dyDescent="0.2">
      <c r="B535" s="279"/>
      <c r="C535" s="279"/>
      <c r="D535" s="279"/>
      <c r="E535" s="279"/>
      <c r="F535" s="279"/>
      <c r="G535" s="279"/>
      <c r="H535" s="279"/>
      <c r="I535" s="279"/>
      <c r="J535" s="279"/>
    </row>
    <row r="536" spans="2:10" x14ac:dyDescent="0.2">
      <c r="B536" s="280" t="s">
        <v>331</v>
      </c>
      <c r="C536" s="280"/>
      <c r="D536" s="280"/>
      <c r="E536" s="280"/>
      <c r="F536" s="280"/>
      <c r="G536" s="280"/>
      <c r="H536" s="280"/>
      <c r="I536" s="280"/>
      <c r="J536" s="280"/>
    </row>
    <row r="537" spans="2:10" x14ac:dyDescent="0.2">
      <c r="B537" s="281"/>
      <c r="C537" s="281"/>
      <c r="D537" s="281"/>
      <c r="E537" s="281"/>
      <c r="F537" s="281"/>
      <c r="G537" s="281"/>
      <c r="H537" s="281"/>
      <c r="I537" s="281"/>
      <c r="J537" s="281"/>
    </row>
  </sheetData>
  <mergeCells count="26">
    <mergeCell ref="A5:H5"/>
    <mergeCell ref="B18:G18"/>
    <mergeCell ref="C20:F20"/>
    <mergeCell ref="B74:H74"/>
    <mergeCell ref="B105:H105"/>
    <mergeCell ref="C268:H268"/>
    <mergeCell ref="C269:H269"/>
    <mergeCell ref="C271:F271"/>
    <mergeCell ref="B325:H325"/>
    <mergeCell ref="B356:H356"/>
    <mergeCell ref="B532:J533"/>
    <mergeCell ref="B534:J535"/>
    <mergeCell ref="B536:J537"/>
    <mergeCell ref="A1:H2"/>
    <mergeCell ref="B520:D521"/>
    <mergeCell ref="B523:L524"/>
    <mergeCell ref="B526:L527"/>
    <mergeCell ref="B529:J530"/>
    <mergeCell ref="B511:H512"/>
    <mergeCell ref="B514:D515"/>
    <mergeCell ref="B358:H359"/>
    <mergeCell ref="C517:H517"/>
    <mergeCell ref="C518:H518"/>
    <mergeCell ref="B265:D266"/>
    <mergeCell ref="B262:H263"/>
    <mergeCell ref="B107:H10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2"/>
  <sheetViews>
    <sheetView topLeftCell="B1" workbookViewId="0">
      <selection activeCell="J22" sqref="J22"/>
    </sheetView>
  </sheetViews>
  <sheetFormatPr defaultColWidth="8.875" defaultRowHeight="15" x14ac:dyDescent="0.2"/>
  <cols>
    <col min="1" max="1" width="36.58984375" style="177" customWidth="1"/>
    <col min="2" max="3" width="9.14453125" style="177" customWidth="1"/>
    <col min="4" max="16384" width="8.875" style="177"/>
  </cols>
  <sheetData>
    <row r="1" spans="1:4" ht="19.5" x14ac:dyDescent="0.25">
      <c r="A1" s="185"/>
    </row>
    <row r="3" spans="1:4" ht="19.5" x14ac:dyDescent="0.25">
      <c r="A3" s="185" t="s">
        <v>704</v>
      </c>
    </row>
    <row r="5" spans="1:4" ht="18.75" x14ac:dyDescent="0.25">
      <c r="A5" s="192" t="s">
        <v>703</v>
      </c>
    </row>
    <row r="7" spans="1:4" x14ac:dyDescent="0.2">
      <c r="A7" s="178" t="s">
        <v>702</v>
      </c>
      <c r="B7" s="178">
        <v>4</v>
      </c>
      <c r="C7" s="178"/>
    </row>
    <row r="8" spans="1:4" x14ac:dyDescent="0.2">
      <c r="A8" s="178" t="s">
        <v>701</v>
      </c>
      <c r="B8" s="178">
        <v>1100</v>
      </c>
      <c r="C8" s="178" t="s">
        <v>700</v>
      </c>
    </row>
    <row r="9" spans="1:4" x14ac:dyDescent="0.2">
      <c r="A9" s="178" t="s">
        <v>699</v>
      </c>
      <c r="B9" s="178">
        <f>B7*B8</f>
        <v>4400</v>
      </c>
      <c r="C9" s="178" t="s">
        <v>572</v>
      </c>
    </row>
    <row r="11" spans="1:4" x14ac:dyDescent="0.2">
      <c r="A11" s="181" t="s">
        <v>698</v>
      </c>
      <c r="B11" s="178"/>
      <c r="C11" s="178"/>
      <c r="D11" s="178"/>
    </row>
    <row r="12" spans="1:4" x14ac:dyDescent="0.2">
      <c r="A12" s="178" t="s">
        <v>697</v>
      </c>
      <c r="B12" s="178">
        <v>25000</v>
      </c>
      <c r="C12" s="178" t="s">
        <v>686</v>
      </c>
      <c r="D12" s="178"/>
    </row>
    <row r="13" spans="1:4" x14ac:dyDescent="0.2">
      <c r="A13" s="178" t="s">
        <v>696</v>
      </c>
      <c r="B13" s="178">
        <v>3000</v>
      </c>
      <c r="C13" s="178" t="s">
        <v>686</v>
      </c>
      <c r="D13" s="178"/>
    </row>
    <row r="14" spans="1:4" x14ac:dyDescent="0.2">
      <c r="A14" s="178" t="s">
        <v>695</v>
      </c>
      <c r="B14" s="178">
        <v>7000</v>
      </c>
      <c r="C14" s="178" t="s">
        <v>686</v>
      </c>
      <c r="D14" s="178"/>
    </row>
    <row r="15" spans="1:4" x14ac:dyDescent="0.2">
      <c r="A15" s="178" t="s">
        <v>694</v>
      </c>
      <c r="B15" s="178">
        <f>B12+B13+B14</f>
        <v>35000</v>
      </c>
      <c r="C15" s="178" t="s">
        <v>686</v>
      </c>
      <c r="D15" s="178"/>
    </row>
    <row r="16" spans="1:4" x14ac:dyDescent="0.2">
      <c r="A16" s="178"/>
      <c r="B16" s="178"/>
      <c r="C16" s="178"/>
      <c r="D16" s="178"/>
    </row>
    <row r="17" spans="1:4" x14ac:dyDescent="0.2">
      <c r="A17" s="178" t="s">
        <v>693</v>
      </c>
      <c r="B17" s="178"/>
      <c r="C17" s="178">
        <v>9000</v>
      </c>
      <c r="D17" s="178" t="s">
        <v>572</v>
      </c>
    </row>
    <row r="19" spans="1:4" ht="18.75" x14ac:dyDescent="0.25">
      <c r="A19" s="192" t="s">
        <v>692</v>
      </c>
    </row>
    <row r="21" spans="1:4" x14ac:dyDescent="0.2">
      <c r="A21" s="178" t="s">
        <v>691</v>
      </c>
      <c r="B21" s="178">
        <v>2200</v>
      </c>
      <c r="C21" s="178" t="s">
        <v>689</v>
      </c>
    </row>
    <row r="22" spans="1:4" x14ac:dyDescent="0.2">
      <c r="A22" s="178" t="s">
        <v>690</v>
      </c>
      <c r="B22" s="178">
        <v>1400</v>
      </c>
      <c r="C22" s="178" t="s">
        <v>689</v>
      </c>
    </row>
    <row r="23" spans="1:4" x14ac:dyDescent="0.2">
      <c r="A23" s="178"/>
      <c r="B23" s="178"/>
      <c r="C23" s="178"/>
    </row>
    <row r="24" spans="1:4" x14ac:dyDescent="0.2">
      <c r="A24" s="178" t="s">
        <v>688</v>
      </c>
      <c r="B24" s="178">
        <f>B9+B15+C17+B21+B22</f>
        <v>52000</v>
      </c>
      <c r="C24" s="178"/>
    </row>
    <row r="25" spans="1:4" x14ac:dyDescent="0.2">
      <c r="A25" s="178"/>
      <c r="B25" s="178"/>
      <c r="C25" s="178"/>
    </row>
    <row r="26" spans="1:4" x14ac:dyDescent="0.2">
      <c r="A26" s="178" t="s">
        <v>687</v>
      </c>
      <c r="B26" s="178">
        <f>0.1*B24</f>
        <v>5200</v>
      </c>
      <c r="C26" s="178" t="s">
        <v>686</v>
      </c>
    </row>
    <row r="27" spans="1:4" x14ac:dyDescent="0.2">
      <c r="A27" s="178"/>
      <c r="B27" s="178"/>
      <c r="C27" s="178"/>
    </row>
    <row r="28" spans="1:4" x14ac:dyDescent="0.2">
      <c r="A28" s="191" t="s">
        <v>685</v>
      </c>
      <c r="B28" s="191">
        <f>B24+B26</f>
        <v>57200</v>
      </c>
      <c r="C28" s="191" t="s">
        <v>572</v>
      </c>
    </row>
    <row r="30" spans="1:4" x14ac:dyDescent="0.2">
      <c r="A30" s="177" t="s">
        <v>684</v>
      </c>
      <c r="B30" s="177">
        <v>4500</v>
      </c>
      <c r="C30" s="177" t="s">
        <v>683</v>
      </c>
    </row>
    <row r="31" spans="1:4" x14ac:dyDescent="0.2">
      <c r="A31" s="177" t="s">
        <v>682</v>
      </c>
      <c r="B31" s="177">
        <f>B28/B30</f>
        <v>12.71111111111111</v>
      </c>
      <c r="C31" s="177" t="s">
        <v>663</v>
      </c>
    </row>
    <row r="32" spans="1:4" x14ac:dyDescent="0.2">
      <c r="A32" s="177" t="s">
        <v>682</v>
      </c>
      <c r="B32" s="177">
        <f>B31*B30</f>
        <v>57200</v>
      </c>
      <c r="C32" s="177" t="s">
        <v>572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8"/>
  <sheetViews>
    <sheetView workbookViewId="0">
      <selection activeCell="J22" sqref="J22"/>
    </sheetView>
  </sheetViews>
  <sheetFormatPr defaultColWidth="8.875" defaultRowHeight="15" x14ac:dyDescent="0.2"/>
  <cols>
    <col min="1" max="1" width="17.08203125" style="177" customWidth="1"/>
    <col min="2" max="2" width="13.85546875" style="177" customWidth="1"/>
    <col min="3" max="3" width="12.375" style="177" customWidth="1"/>
    <col min="4" max="4" width="10.35546875" style="177" customWidth="1"/>
    <col min="5" max="16384" width="8.875" style="177"/>
  </cols>
  <sheetData>
    <row r="1" spans="1:4" ht="19.5" x14ac:dyDescent="0.25">
      <c r="A1" s="185" t="s">
        <v>736</v>
      </c>
    </row>
    <row r="3" spans="1:4" x14ac:dyDescent="0.2">
      <c r="A3" s="182" t="s">
        <v>735</v>
      </c>
    </row>
    <row r="5" spans="1:4" x14ac:dyDescent="0.2">
      <c r="A5" s="178" t="s">
        <v>670</v>
      </c>
      <c r="B5" s="178" t="s">
        <v>734</v>
      </c>
      <c r="C5" s="178"/>
    </row>
    <row r="6" spans="1:4" x14ac:dyDescent="0.2">
      <c r="A6" s="178" t="s">
        <v>669</v>
      </c>
      <c r="B6" s="178" t="s">
        <v>733</v>
      </c>
      <c r="C6" s="178"/>
    </row>
    <row r="7" spans="1:4" x14ac:dyDescent="0.2">
      <c r="A7" s="178"/>
      <c r="B7" s="178"/>
      <c r="C7" s="178"/>
    </row>
    <row r="8" spans="1:4" x14ac:dyDescent="0.2">
      <c r="A8" s="178" t="s">
        <v>732</v>
      </c>
      <c r="B8" s="178"/>
      <c r="C8" s="178"/>
    </row>
    <row r="9" spans="1:4" x14ac:dyDescent="0.2">
      <c r="A9" s="178" t="s">
        <v>731</v>
      </c>
      <c r="B9" s="178">
        <v>200</v>
      </c>
      <c r="C9" s="178" t="s">
        <v>729</v>
      </c>
    </row>
    <row r="10" spans="1:4" x14ac:dyDescent="0.2">
      <c r="A10" s="178" t="s">
        <v>730</v>
      </c>
      <c r="B10" s="178">
        <v>1000</v>
      </c>
      <c r="C10" s="178" t="s">
        <v>729</v>
      </c>
    </row>
    <row r="12" spans="1:4" x14ac:dyDescent="0.2">
      <c r="A12" s="182" t="s">
        <v>728</v>
      </c>
    </row>
    <row r="14" spans="1:4" x14ac:dyDescent="0.2">
      <c r="A14" s="178" t="s">
        <v>711</v>
      </c>
      <c r="B14" s="178" t="s">
        <v>727</v>
      </c>
      <c r="C14" s="178" t="s">
        <v>726</v>
      </c>
      <c r="D14" s="178" t="s">
        <v>699</v>
      </c>
    </row>
    <row r="15" spans="1:4" x14ac:dyDescent="0.2">
      <c r="A15" s="178" t="s">
        <v>595</v>
      </c>
      <c r="B15" s="178">
        <v>1</v>
      </c>
      <c r="C15" s="178">
        <v>1300</v>
      </c>
      <c r="D15" s="178">
        <f>C15*B15</f>
        <v>1300</v>
      </c>
    </row>
    <row r="16" spans="1:4" x14ac:dyDescent="0.2">
      <c r="A16" s="178" t="s">
        <v>593</v>
      </c>
      <c r="B16" s="178">
        <v>5</v>
      </c>
      <c r="C16" s="178">
        <v>1100</v>
      </c>
      <c r="D16" s="178">
        <f>C16*B16</f>
        <v>5500</v>
      </c>
    </row>
    <row r="17" spans="1:4" x14ac:dyDescent="0.2">
      <c r="A17" s="178"/>
      <c r="B17" s="178"/>
      <c r="C17" s="178" t="s">
        <v>126</v>
      </c>
      <c r="D17" s="178" t="s">
        <v>725</v>
      </c>
    </row>
    <row r="19" spans="1:4" x14ac:dyDescent="0.2">
      <c r="A19" s="177" t="s">
        <v>724</v>
      </c>
    </row>
    <row r="20" spans="1:4" x14ac:dyDescent="0.2">
      <c r="A20" s="177" t="s">
        <v>723</v>
      </c>
      <c r="D20" s="177" t="s">
        <v>722</v>
      </c>
    </row>
    <row r="22" spans="1:4" x14ac:dyDescent="0.2">
      <c r="A22" s="182" t="s">
        <v>721</v>
      </c>
    </row>
    <row r="23" spans="1:4" x14ac:dyDescent="0.2">
      <c r="A23" s="178" t="s">
        <v>720</v>
      </c>
      <c r="B23" s="178"/>
      <c r="C23" s="178"/>
    </row>
    <row r="24" spans="1:4" x14ac:dyDescent="0.2">
      <c r="A24" s="178" t="s">
        <v>719</v>
      </c>
      <c r="B24" s="178" t="s">
        <v>718</v>
      </c>
      <c r="C24" s="178"/>
    </row>
    <row r="26" spans="1:4" x14ac:dyDescent="0.2">
      <c r="A26" s="182" t="s">
        <v>717</v>
      </c>
    </row>
    <row r="27" spans="1:4" x14ac:dyDescent="0.2">
      <c r="A27" s="178" t="s">
        <v>716</v>
      </c>
      <c r="B27" s="188">
        <v>0.05</v>
      </c>
    </row>
    <row r="28" spans="1:4" x14ac:dyDescent="0.2">
      <c r="A28" s="178" t="s">
        <v>715</v>
      </c>
      <c r="B28" s="188">
        <v>0.1</v>
      </c>
    </row>
    <row r="29" spans="1:4" x14ac:dyDescent="0.2">
      <c r="A29" s="178" t="s">
        <v>126</v>
      </c>
      <c r="B29" s="178" t="s">
        <v>714</v>
      </c>
    </row>
    <row r="31" spans="1:4" x14ac:dyDescent="0.2">
      <c r="A31" s="181" t="s">
        <v>713</v>
      </c>
      <c r="B31" s="181" t="s">
        <v>712</v>
      </c>
      <c r="C31" s="178"/>
    </row>
    <row r="32" spans="1:4" x14ac:dyDescent="0.2">
      <c r="A32" s="178" t="s">
        <v>711</v>
      </c>
      <c r="B32" s="178">
        <v>6.8</v>
      </c>
      <c r="C32" s="178"/>
    </row>
    <row r="33" spans="1:5" x14ac:dyDescent="0.2">
      <c r="A33" s="178" t="s">
        <v>710</v>
      </c>
      <c r="B33" s="178">
        <v>0.5</v>
      </c>
      <c r="C33" s="178"/>
    </row>
    <row r="34" spans="1:5" x14ac:dyDescent="0.2">
      <c r="A34" s="178" t="s">
        <v>709</v>
      </c>
      <c r="B34" s="178">
        <v>1.095</v>
      </c>
      <c r="C34" s="178"/>
    </row>
    <row r="35" spans="1:5" x14ac:dyDescent="0.2">
      <c r="A35" s="178" t="s">
        <v>708</v>
      </c>
      <c r="B35" s="178">
        <f>B32+B33+B34</f>
        <v>8.3949999999999996</v>
      </c>
      <c r="C35" s="178" t="s">
        <v>707</v>
      </c>
    </row>
    <row r="37" spans="1:5" x14ac:dyDescent="0.2">
      <c r="A37" s="177" t="s">
        <v>706</v>
      </c>
      <c r="C37" s="177">
        <v>7464.28</v>
      </c>
      <c r="D37" s="177" t="s">
        <v>224</v>
      </c>
    </row>
    <row r="38" spans="1:5" x14ac:dyDescent="0.2">
      <c r="A38" s="193" t="s">
        <v>705</v>
      </c>
      <c r="B38" s="193"/>
      <c r="C38" s="193"/>
      <c r="D38" s="193">
        <f>C37*B35</f>
        <v>62662.630599999997</v>
      </c>
      <c r="E38" s="193" t="s">
        <v>572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9"/>
  <sheetViews>
    <sheetView topLeftCell="B2" workbookViewId="0">
      <selection activeCell="J22" sqref="J22"/>
    </sheetView>
  </sheetViews>
  <sheetFormatPr defaultColWidth="8.875" defaultRowHeight="15" x14ac:dyDescent="0.2"/>
  <cols>
    <col min="1" max="1" width="32.015625" style="177" customWidth="1"/>
    <col min="2" max="2" width="13.5859375" style="177" customWidth="1"/>
    <col min="3" max="16384" width="8.875" style="177"/>
  </cols>
  <sheetData>
    <row r="1" spans="1:4" ht="19.5" x14ac:dyDescent="0.25">
      <c r="A1" s="185" t="s">
        <v>754</v>
      </c>
    </row>
    <row r="3" spans="1:4" x14ac:dyDescent="0.2">
      <c r="A3" s="197" t="s">
        <v>753</v>
      </c>
      <c r="B3" s="177">
        <v>3663.54</v>
      </c>
      <c r="C3" s="177" t="s">
        <v>224</v>
      </c>
    </row>
    <row r="4" spans="1:4" x14ac:dyDescent="0.2">
      <c r="A4" s="177" t="s">
        <v>752</v>
      </c>
    </row>
    <row r="5" spans="1:4" x14ac:dyDescent="0.2">
      <c r="A5" s="181" t="s">
        <v>713</v>
      </c>
      <c r="B5" s="189" t="s">
        <v>712</v>
      </c>
    </row>
    <row r="6" spans="1:4" x14ac:dyDescent="0.2">
      <c r="A6" s="178" t="s">
        <v>751</v>
      </c>
      <c r="B6" s="178">
        <v>9</v>
      </c>
    </row>
    <row r="7" spans="1:4" x14ac:dyDescent="0.2">
      <c r="A7" s="196" t="s">
        <v>750</v>
      </c>
      <c r="B7" s="178">
        <v>2.5</v>
      </c>
    </row>
    <row r="8" spans="1:4" x14ac:dyDescent="0.2">
      <c r="A8" s="178" t="s">
        <v>749</v>
      </c>
      <c r="B8" s="178">
        <v>7</v>
      </c>
    </row>
    <row r="9" spans="1:4" x14ac:dyDescent="0.2">
      <c r="A9" s="196" t="s">
        <v>748</v>
      </c>
      <c r="B9" s="178">
        <v>5</v>
      </c>
    </row>
    <row r="10" spans="1:4" x14ac:dyDescent="0.2">
      <c r="A10" s="189" t="s">
        <v>747</v>
      </c>
      <c r="B10" s="189">
        <f>B6+B7+B8+B9</f>
        <v>23.5</v>
      </c>
    </row>
    <row r="11" spans="1:4" x14ac:dyDescent="0.2">
      <c r="A11" s="178"/>
      <c r="B11" s="178"/>
    </row>
    <row r="12" spans="1:4" x14ac:dyDescent="0.2">
      <c r="A12" s="189" t="s">
        <v>746</v>
      </c>
      <c r="B12" s="189">
        <f>B10*(B3*20%)</f>
        <v>17218.638000000003</v>
      </c>
    </row>
    <row r="14" spans="1:4" x14ac:dyDescent="0.2">
      <c r="A14" s="182" t="s">
        <v>745</v>
      </c>
    </row>
    <row r="16" spans="1:4" x14ac:dyDescent="0.2">
      <c r="A16" s="178" t="s">
        <v>744</v>
      </c>
      <c r="B16" s="178">
        <v>4</v>
      </c>
      <c r="C16" s="178">
        <v>1200</v>
      </c>
      <c r="D16" s="178" t="s">
        <v>743</v>
      </c>
    </row>
    <row r="17" spans="1:4" x14ac:dyDescent="0.2">
      <c r="A17" s="189" t="s">
        <v>742</v>
      </c>
      <c r="B17" s="189">
        <f>B16*C16</f>
        <v>4800</v>
      </c>
      <c r="C17" s="189" t="s">
        <v>572</v>
      </c>
      <c r="D17" s="178"/>
    </row>
    <row r="19" spans="1:4" x14ac:dyDescent="0.2">
      <c r="A19" s="182" t="s">
        <v>721</v>
      </c>
    </row>
    <row r="21" spans="1:4" x14ac:dyDescent="0.2">
      <c r="A21" s="195" t="s">
        <v>741</v>
      </c>
      <c r="B21" s="195">
        <v>2000</v>
      </c>
      <c r="C21" s="195" t="s">
        <v>700</v>
      </c>
    </row>
    <row r="22" spans="1:4" x14ac:dyDescent="0.2">
      <c r="A22" s="195" t="s">
        <v>580</v>
      </c>
      <c r="B22" s="195">
        <v>1000</v>
      </c>
      <c r="C22" s="195" t="s">
        <v>700</v>
      </c>
    </row>
    <row r="23" spans="1:4" x14ac:dyDescent="0.2">
      <c r="A23" s="189" t="s">
        <v>577</v>
      </c>
      <c r="B23" s="189">
        <f>B21+B22</f>
        <v>3000</v>
      </c>
      <c r="C23" s="189" t="s">
        <v>740</v>
      </c>
    </row>
    <row r="25" spans="1:4" x14ac:dyDescent="0.2">
      <c r="A25" s="194" t="s">
        <v>739</v>
      </c>
      <c r="B25" s="194">
        <f>B23+B17+B12</f>
        <v>25018.638000000003</v>
      </c>
      <c r="C25" s="194" t="s">
        <v>686</v>
      </c>
    </row>
    <row r="27" spans="1:4" x14ac:dyDescent="0.2">
      <c r="A27" s="177" t="s">
        <v>738</v>
      </c>
      <c r="B27" s="177">
        <f>0.1*B25</f>
        <v>2501.8638000000005</v>
      </c>
      <c r="C27" s="177" t="s">
        <v>686</v>
      </c>
    </row>
    <row r="29" spans="1:4" x14ac:dyDescent="0.2">
      <c r="A29" s="194" t="s">
        <v>737</v>
      </c>
      <c r="B29" s="194">
        <f>B27+B25</f>
        <v>27520.501800000002</v>
      </c>
      <c r="C29" s="194" t="s">
        <v>686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"/>
  <sheetViews>
    <sheetView topLeftCell="B1" workbookViewId="0">
      <selection activeCell="J22" sqref="J22"/>
    </sheetView>
  </sheetViews>
  <sheetFormatPr defaultColWidth="8.875" defaultRowHeight="15" x14ac:dyDescent="0.2"/>
  <cols>
    <col min="1" max="1" width="17.08203125" style="177" customWidth="1"/>
    <col min="2" max="2" width="16.27734375" style="177" customWidth="1"/>
    <col min="3" max="3" width="20.58203125" style="177" customWidth="1"/>
    <col min="4" max="16384" width="8.875" style="177"/>
  </cols>
  <sheetData>
    <row r="1" spans="1:5" ht="19.5" x14ac:dyDescent="0.25">
      <c r="A1" s="185" t="s">
        <v>773</v>
      </c>
    </row>
    <row r="3" spans="1:5" x14ac:dyDescent="0.2">
      <c r="A3" s="182" t="s">
        <v>772</v>
      </c>
    </row>
    <row r="4" spans="1:5" x14ac:dyDescent="0.2">
      <c r="A4" s="189" t="s">
        <v>713</v>
      </c>
      <c r="B4" s="189" t="s">
        <v>771</v>
      </c>
      <c r="C4" s="189" t="s">
        <v>770</v>
      </c>
      <c r="D4" s="189" t="s">
        <v>763</v>
      </c>
    </row>
    <row r="5" spans="1:5" x14ac:dyDescent="0.2">
      <c r="A5" s="178" t="s">
        <v>769</v>
      </c>
      <c r="B5" s="178" t="s">
        <v>768</v>
      </c>
      <c r="C5" s="178" t="s">
        <v>767</v>
      </c>
      <c r="D5" s="178">
        <v>50</v>
      </c>
    </row>
    <row r="7" spans="1:5" x14ac:dyDescent="0.2">
      <c r="A7" s="182" t="s">
        <v>711</v>
      </c>
    </row>
    <row r="8" spans="1:5" x14ac:dyDescent="0.2">
      <c r="A8" s="189" t="s">
        <v>766</v>
      </c>
      <c r="B8" s="189" t="s">
        <v>765</v>
      </c>
      <c r="C8" s="189" t="s">
        <v>764</v>
      </c>
      <c r="D8" s="189" t="s">
        <v>763</v>
      </c>
      <c r="E8" s="178"/>
    </row>
    <row r="9" spans="1:5" x14ac:dyDescent="0.2">
      <c r="A9" s="178" t="s">
        <v>762</v>
      </c>
      <c r="B9" s="178">
        <v>1800</v>
      </c>
      <c r="C9" s="178">
        <v>1500</v>
      </c>
      <c r="D9" s="178">
        <v>1.5</v>
      </c>
      <c r="E9" s="178"/>
    </row>
    <row r="10" spans="1:5" x14ac:dyDescent="0.2">
      <c r="A10" s="178" t="s">
        <v>690</v>
      </c>
      <c r="B10" s="178">
        <v>1200</v>
      </c>
      <c r="C10" s="178"/>
      <c r="D10" s="178">
        <v>0.5</v>
      </c>
      <c r="E10" s="178"/>
    </row>
    <row r="11" spans="1:5" x14ac:dyDescent="0.2">
      <c r="A11" s="178"/>
      <c r="B11" s="178"/>
      <c r="C11" s="178" t="s">
        <v>591</v>
      </c>
      <c r="D11" s="178">
        <f>D9+D10</f>
        <v>2</v>
      </c>
      <c r="E11" s="178" t="s">
        <v>761</v>
      </c>
    </row>
    <row r="12" spans="1:5" x14ac:dyDescent="0.2">
      <c r="A12" s="182" t="s">
        <v>710</v>
      </c>
    </row>
    <row r="13" spans="1:5" x14ac:dyDescent="0.2">
      <c r="A13" s="178" t="s">
        <v>713</v>
      </c>
      <c r="B13" s="178" t="s">
        <v>701</v>
      </c>
      <c r="C13" s="178" t="s">
        <v>699</v>
      </c>
      <c r="D13" s="178"/>
    </row>
    <row r="14" spans="1:5" x14ac:dyDescent="0.2">
      <c r="A14" s="178" t="s">
        <v>580</v>
      </c>
      <c r="B14" s="178" t="s">
        <v>579</v>
      </c>
      <c r="C14" s="178">
        <v>1</v>
      </c>
      <c r="D14" s="178" t="s">
        <v>663</v>
      </c>
    </row>
    <row r="16" spans="1:5" x14ac:dyDescent="0.2">
      <c r="A16" s="177" t="s">
        <v>760</v>
      </c>
      <c r="B16" s="177">
        <v>4.8</v>
      </c>
      <c r="C16" s="177" t="s">
        <v>663</v>
      </c>
    </row>
    <row r="17" spans="1:4" x14ac:dyDescent="0.2">
      <c r="A17" s="177" t="s">
        <v>759</v>
      </c>
    </row>
    <row r="19" spans="1:4" x14ac:dyDescent="0.2">
      <c r="A19" s="178" t="s">
        <v>758</v>
      </c>
      <c r="B19" s="178">
        <f>D5+D11+C14+B16</f>
        <v>57.8</v>
      </c>
      <c r="C19" s="178" t="s">
        <v>622</v>
      </c>
    </row>
    <row r="21" spans="1:4" x14ac:dyDescent="0.2">
      <c r="A21" s="198" t="s">
        <v>757</v>
      </c>
    </row>
    <row r="23" spans="1:4" x14ac:dyDescent="0.2">
      <c r="A23" s="177" t="s">
        <v>756</v>
      </c>
      <c r="B23" s="177">
        <v>2925</v>
      </c>
      <c r="C23" s="177" t="s">
        <v>346</v>
      </c>
    </row>
    <row r="25" spans="1:4" x14ac:dyDescent="0.2">
      <c r="A25" s="193" t="s">
        <v>755</v>
      </c>
      <c r="B25" s="193"/>
      <c r="C25" s="193">
        <f>B23*B19</f>
        <v>169065</v>
      </c>
      <c r="D25" s="193" t="s">
        <v>686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4"/>
  <sheetViews>
    <sheetView topLeftCell="B1" workbookViewId="0">
      <selection activeCell="J22" sqref="J22"/>
    </sheetView>
  </sheetViews>
  <sheetFormatPr defaultColWidth="8.875" defaultRowHeight="15" x14ac:dyDescent="0.2"/>
  <cols>
    <col min="1" max="1" width="31.87890625" style="177" customWidth="1"/>
    <col min="2" max="2" width="11.02734375" style="177" customWidth="1"/>
    <col min="3" max="3" width="14.125" style="177" customWidth="1"/>
    <col min="4" max="4" width="14.52734375" style="177" customWidth="1"/>
    <col min="5" max="16384" width="8.875" style="177"/>
  </cols>
  <sheetData>
    <row r="1" spans="1:5" ht="19.5" x14ac:dyDescent="0.25">
      <c r="A1" s="185" t="s">
        <v>807</v>
      </c>
    </row>
    <row r="3" spans="1:5" x14ac:dyDescent="0.2">
      <c r="A3" s="182" t="s">
        <v>806</v>
      </c>
    </row>
    <row r="5" spans="1:5" x14ac:dyDescent="0.2">
      <c r="A5" s="178" t="s">
        <v>805</v>
      </c>
      <c r="B5" s="200">
        <v>4.5833333333333337E-2</v>
      </c>
      <c r="C5" s="178" t="s">
        <v>804</v>
      </c>
      <c r="D5" s="178"/>
      <c r="E5" s="178"/>
    </row>
    <row r="6" spans="1:5" x14ac:dyDescent="0.2">
      <c r="A6" s="178" t="s">
        <v>803</v>
      </c>
      <c r="B6" s="178">
        <v>0.375</v>
      </c>
      <c r="C6" s="178" t="s">
        <v>802</v>
      </c>
      <c r="D6" s="178"/>
      <c r="E6" s="178"/>
    </row>
    <row r="7" spans="1:5" x14ac:dyDescent="0.2">
      <c r="A7" s="178" t="s">
        <v>801</v>
      </c>
      <c r="B7" s="178"/>
      <c r="C7" s="178"/>
      <c r="D7" s="178">
        <v>0.15</v>
      </c>
      <c r="E7" s="178" t="s">
        <v>800</v>
      </c>
    </row>
    <row r="8" spans="1:5" x14ac:dyDescent="0.2">
      <c r="A8" s="178"/>
      <c r="B8" s="178"/>
      <c r="C8" s="178"/>
      <c r="D8" s="178"/>
      <c r="E8" s="178"/>
    </row>
    <row r="9" spans="1:5" x14ac:dyDescent="0.2">
      <c r="A9" s="177" t="s">
        <v>799</v>
      </c>
      <c r="B9" s="177">
        <f>0.15*1.33</f>
        <v>0.19950000000000001</v>
      </c>
      <c r="C9" s="177" t="s">
        <v>794</v>
      </c>
    </row>
    <row r="11" spans="1:5" x14ac:dyDescent="0.2">
      <c r="A11" s="182" t="s">
        <v>607</v>
      </c>
    </row>
    <row r="12" spans="1:5" x14ac:dyDescent="0.2">
      <c r="A12" s="178" t="s">
        <v>798</v>
      </c>
      <c r="B12" s="178">
        <f>1/7*B9</f>
        <v>2.8500000000000001E-2</v>
      </c>
      <c r="C12" s="178" t="s">
        <v>794</v>
      </c>
      <c r="D12" s="178"/>
      <c r="E12" s="178"/>
    </row>
    <row r="13" spans="1:5" x14ac:dyDescent="0.2">
      <c r="A13" s="178" t="s">
        <v>642</v>
      </c>
      <c r="B13" s="178">
        <v>1.25</v>
      </c>
      <c r="C13" s="178" t="s">
        <v>224</v>
      </c>
      <c r="D13" s="178"/>
      <c r="E13" s="178"/>
    </row>
    <row r="14" spans="1:5" x14ac:dyDescent="0.2">
      <c r="A14" s="178" t="s">
        <v>797</v>
      </c>
      <c r="B14" s="178">
        <f>B12/B13</f>
        <v>2.2800000000000001E-2</v>
      </c>
      <c r="C14" s="178" t="s">
        <v>796</v>
      </c>
      <c r="D14" s="178"/>
      <c r="E14" s="178"/>
    </row>
    <row r="15" spans="1:5" x14ac:dyDescent="0.2">
      <c r="A15" s="178" t="s">
        <v>795</v>
      </c>
      <c r="B15" s="178">
        <f>6/7*B9</f>
        <v>0.17100000000000001</v>
      </c>
      <c r="C15" s="178" t="s">
        <v>794</v>
      </c>
      <c r="D15" s="178"/>
      <c r="E15" s="178"/>
    </row>
    <row r="16" spans="1:5" x14ac:dyDescent="0.2">
      <c r="A16" s="178"/>
      <c r="B16" s="178"/>
      <c r="C16" s="178"/>
      <c r="D16" s="178"/>
      <c r="E16" s="178"/>
    </row>
    <row r="17" spans="1:5" x14ac:dyDescent="0.2">
      <c r="A17" s="178" t="s">
        <v>772</v>
      </c>
      <c r="B17" s="178" t="s">
        <v>793</v>
      </c>
      <c r="C17" s="178" t="s">
        <v>701</v>
      </c>
      <c r="D17" s="178" t="s">
        <v>792</v>
      </c>
      <c r="E17" s="178"/>
    </row>
    <row r="18" spans="1:5" x14ac:dyDescent="0.2">
      <c r="A18" s="178" t="s">
        <v>791</v>
      </c>
      <c r="B18" s="178">
        <v>1</v>
      </c>
      <c r="C18" s="178" t="s">
        <v>790</v>
      </c>
      <c r="D18" s="178">
        <v>45</v>
      </c>
      <c r="E18" s="178"/>
    </row>
    <row r="19" spans="1:5" x14ac:dyDescent="0.2">
      <c r="A19" s="178" t="s">
        <v>607</v>
      </c>
      <c r="B19" s="178">
        <v>2.2800000000000001E-2</v>
      </c>
      <c r="C19" s="178">
        <v>1300</v>
      </c>
      <c r="D19" s="178">
        <f>C19*B19</f>
        <v>29.64</v>
      </c>
      <c r="E19" s="178"/>
    </row>
    <row r="20" spans="1:5" x14ac:dyDescent="0.2">
      <c r="A20" s="178" t="s">
        <v>789</v>
      </c>
      <c r="B20" s="178">
        <f>B15</f>
        <v>0.17100000000000001</v>
      </c>
      <c r="C20" s="178">
        <v>70</v>
      </c>
      <c r="D20" s="178">
        <f>C20*B20</f>
        <v>11.97</v>
      </c>
      <c r="E20" s="178"/>
    </row>
    <row r="21" spans="1:5" x14ac:dyDescent="0.2">
      <c r="A21" s="179" t="s">
        <v>597</v>
      </c>
      <c r="B21" s="179"/>
      <c r="C21" s="179"/>
      <c r="D21" s="179">
        <f>D18+D19+D20</f>
        <v>86.61</v>
      </c>
      <c r="E21" s="179" t="s">
        <v>572</v>
      </c>
    </row>
    <row r="23" spans="1:5" x14ac:dyDescent="0.2">
      <c r="A23" s="182" t="s">
        <v>788</v>
      </c>
    </row>
    <row r="25" spans="1:5" x14ac:dyDescent="0.2">
      <c r="A25" s="178" t="s">
        <v>787</v>
      </c>
      <c r="B25" s="178">
        <v>1</v>
      </c>
      <c r="C25" s="178">
        <v>1800</v>
      </c>
      <c r="D25" s="178" t="s">
        <v>689</v>
      </c>
    </row>
    <row r="26" spans="1:5" x14ac:dyDescent="0.2">
      <c r="A26" s="178" t="s">
        <v>786</v>
      </c>
      <c r="B26" s="178">
        <v>1</v>
      </c>
      <c r="C26" s="178">
        <v>1200</v>
      </c>
      <c r="D26" s="178" t="s">
        <v>743</v>
      </c>
    </row>
    <row r="27" spans="1:5" x14ac:dyDescent="0.2">
      <c r="A27" s="179" t="s">
        <v>783</v>
      </c>
      <c r="B27" s="179"/>
      <c r="C27" s="179">
        <f>C25+C26</f>
        <v>3000</v>
      </c>
      <c r="D27" s="179" t="s">
        <v>743</v>
      </c>
    </row>
    <row r="28" spans="1:5" x14ac:dyDescent="0.2">
      <c r="A28" s="178" t="s">
        <v>785</v>
      </c>
      <c r="B28" s="178">
        <v>120</v>
      </c>
      <c r="C28" s="178" t="s">
        <v>784</v>
      </c>
      <c r="D28" s="178"/>
    </row>
    <row r="29" spans="1:5" x14ac:dyDescent="0.2">
      <c r="A29" s="179" t="s">
        <v>783</v>
      </c>
      <c r="B29" s="179">
        <f>C27/B28</f>
        <v>25</v>
      </c>
      <c r="C29" s="179" t="s">
        <v>781</v>
      </c>
      <c r="D29" s="178"/>
    </row>
    <row r="31" spans="1:5" x14ac:dyDescent="0.2">
      <c r="A31" s="199" t="s">
        <v>721</v>
      </c>
    </row>
    <row r="33" spans="1:4" x14ac:dyDescent="0.2">
      <c r="A33" s="194" t="s">
        <v>782</v>
      </c>
      <c r="B33" s="194" t="s">
        <v>579</v>
      </c>
      <c r="C33" s="194">
        <v>2</v>
      </c>
      <c r="D33" s="194" t="s">
        <v>781</v>
      </c>
    </row>
    <row r="35" spans="1:4" x14ac:dyDescent="0.2">
      <c r="A35" s="177" t="s">
        <v>652</v>
      </c>
      <c r="C35" s="177">
        <f>C33+B29+D21</f>
        <v>113.61</v>
      </c>
      <c r="D35" s="177" t="s">
        <v>781</v>
      </c>
    </row>
    <row r="36" spans="1:4" x14ac:dyDescent="0.2">
      <c r="A36" s="194" t="s">
        <v>652</v>
      </c>
      <c r="B36" s="194"/>
      <c r="C36" s="194">
        <v>114</v>
      </c>
      <c r="D36" s="194" t="s">
        <v>781</v>
      </c>
    </row>
    <row r="38" spans="1:4" x14ac:dyDescent="0.2">
      <c r="A38" s="177" t="s">
        <v>780</v>
      </c>
      <c r="B38" s="177">
        <v>7840</v>
      </c>
      <c r="C38" s="177" t="s">
        <v>779</v>
      </c>
    </row>
    <row r="39" spans="1:4" x14ac:dyDescent="0.2">
      <c r="A39" s="194" t="s">
        <v>778</v>
      </c>
      <c r="B39" s="194">
        <f>B38*C36</f>
        <v>893760</v>
      </c>
      <c r="C39" s="194" t="s">
        <v>572</v>
      </c>
    </row>
    <row r="41" spans="1:4" x14ac:dyDescent="0.2">
      <c r="A41" s="177" t="s">
        <v>777</v>
      </c>
      <c r="B41" s="177">
        <f>0.05*B39</f>
        <v>44688</v>
      </c>
      <c r="C41" s="177" t="s">
        <v>686</v>
      </c>
    </row>
    <row r="42" spans="1:4" x14ac:dyDescent="0.2">
      <c r="A42" s="177" t="s">
        <v>776</v>
      </c>
      <c r="B42" s="177">
        <f>0.1*B39</f>
        <v>89376</v>
      </c>
      <c r="C42" s="177" t="s">
        <v>686</v>
      </c>
    </row>
    <row r="44" spans="1:4" x14ac:dyDescent="0.2">
      <c r="A44" s="194" t="s">
        <v>775</v>
      </c>
      <c r="B44" s="194">
        <f>B42+B41+B39</f>
        <v>1027824</v>
      </c>
      <c r="C44" s="194" t="s">
        <v>572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7"/>
  <sheetViews>
    <sheetView workbookViewId="0">
      <selection activeCell="J22" sqref="J22"/>
    </sheetView>
  </sheetViews>
  <sheetFormatPr defaultColWidth="8.875" defaultRowHeight="15" x14ac:dyDescent="0.2"/>
  <cols>
    <col min="1" max="1" width="20.58203125" style="177" customWidth="1"/>
    <col min="2" max="2" width="10.89453125" style="177" customWidth="1"/>
    <col min="3" max="3" width="13.98828125" style="177" customWidth="1"/>
    <col min="4" max="16384" width="8.875" style="177"/>
  </cols>
  <sheetData>
    <row r="1" spans="1:5" ht="19.5" x14ac:dyDescent="0.25">
      <c r="A1" s="185" t="s">
        <v>830</v>
      </c>
    </row>
    <row r="3" spans="1:5" x14ac:dyDescent="0.2">
      <c r="A3" s="182" t="s">
        <v>829</v>
      </c>
    </row>
    <row r="5" spans="1:5" x14ac:dyDescent="0.2">
      <c r="A5" s="177" t="s">
        <v>828</v>
      </c>
      <c r="B5" s="177">
        <v>231</v>
      </c>
      <c r="C5" s="177" t="s">
        <v>640</v>
      </c>
    </row>
    <row r="7" spans="1:5" x14ac:dyDescent="0.2">
      <c r="A7" s="182" t="s">
        <v>789</v>
      </c>
    </row>
    <row r="8" spans="1:5" x14ac:dyDescent="0.2">
      <c r="A8" s="177" t="s">
        <v>827</v>
      </c>
      <c r="B8" s="202">
        <v>4.5833333333333337E-2</v>
      </c>
      <c r="C8" s="177" t="s">
        <v>804</v>
      </c>
    </row>
    <row r="9" spans="1:5" x14ac:dyDescent="0.2">
      <c r="A9" s="177" t="s">
        <v>826</v>
      </c>
      <c r="D9" s="177">
        <f>6*1.25</f>
        <v>7.5</v>
      </c>
      <c r="E9" s="177" t="s">
        <v>224</v>
      </c>
    </row>
    <row r="10" spans="1:5" x14ac:dyDescent="0.2">
      <c r="A10" s="177" t="s">
        <v>825</v>
      </c>
      <c r="B10" s="177">
        <f>B5*D9</f>
        <v>1732.5</v>
      </c>
      <c r="C10" s="177" t="s">
        <v>824</v>
      </c>
    </row>
    <row r="12" spans="1:5" x14ac:dyDescent="0.2">
      <c r="A12" s="182" t="s">
        <v>774</v>
      </c>
    </row>
    <row r="13" spans="1:5" x14ac:dyDescent="0.2">
      <c r="A13" s="189" t="s">
        <v>772</v>
      </c>
      <c r="B13" s="189" t="s">
        <v>727</v>
      </c>
      <c r="C13" s="189" t="s">
        <v>701</v>
      </c>
      <c r="D13" s="189" t="s">
        <v>699</v>
      </c>
      <c r="E13" s="178"/>
    </row>
    <row r="14" spans="1:5" x14ac:dyDescent="0.2">
      <c r="A14" s="178" t="s">
        <v>607</v>
      </c>
      <c r="B14" s="178" t="s">
        <v>823</v>
      </c>
      <c r="C14" s="178" t="s">
        <v>822</v>
      </c>
      <c r="D14" s="178">
        <f>231*1200</f>
        <v>277200</v>
      </c>
      <c r="E14" s="178" t="s">
        <v>572</v>
      </c>
    </row>
    <row r="15" spans="1:5" x14ac:dyDescent="0.2">
      <c r="A15" s="178" t="s">
        <v>789</v>
      </c>
      <c r="B15" s="178" t="s">
        <v>821</v>
      </c>
      <c r="C15" s="178" t="s">
        <v>820</v>
      </c>
      <c r="D15" s="178">
        <f>70*B10</f>
        <v>121275</v>
      </c>
      <c r="E15" s="178" t="s">
        <v>572</v>
      </c>
    </row>
    <row r="16" spans="1:5" x14ac:dyDescent="0.2">
      <c r="A16" s="179" t="s">
        <v>597</v>
      </c>
      <c r="B16" s="179"/>
      <c r="C16" s="179"/>
      <c r="D16" s="179">
        <f>D14+D15</f>
        <v>398475</v>
      </c>
      <c r="E16" s="179" t="s">
        <v>572</v>
      </c>
    </row>
    <row r="18" spans="1:4" x14ac:dyDescent="0.2">
      <c r="A18" s="182" t="s">
        <v>745</v>
      </c>
    </row>
    <row r="20" spans="1:4" x14ac:dyDescent="0.2">
      <c r="A20" s="178" t="s">
        <v>819</v>
      </c>
      <c r="B20" s="178">
        <v>2</v>
      </c>
      <c r="C20" s="178">
        <v>2000</v>
      </c>
      <c r="D20" s="178" t="s">
        <v>689</v>
      </c>
    </row>
    <row r="21" spans="1:4" x14ac:dyDescent="0.2">
      <c r="A21" s="178" t="s">
        <v>818</v>
      </c>
      <c r="B21" s="178">
        <v>2</v>
      </c>
      <c r="C21" s="178">
        <v>1400</v>
      </c>
      <c r="D21" s="178" t="s">
        <v>689</v>
      </c>
    </row>
    <row r="22" spans="1:4" x14ac:dyDescent="0.2">
      <c r="A22" s="178" t="s">
        <v>783</v>
      </c>
      <c r="B22" s="178"/>
      <c r="C22" s="178">
        <f>(B20*C20)+(B21*C21)</f>
        <v>6800</v>
      </c>
      <c r="D22" s="178" t="s">
        <v>743</v>
      </c>
    </row>
    <row r="23" spans="1:4" x14ac:dyDescent="0.2">
      <c r="A23" s="178" t="s">
        <v>817</v>
      </c>
      <c r="B23" s="178"/>
      <c r="C23" s="178"/>
      <c r="D23" s="178"/>
    </row>
    <row r="24" spans="1:4" x14ac:dyDescent="0.2">
      <c r="A24" s="178" t="s">
        <v>816</v>
      </c>
      <c r="B24" s="178"/>
      <c r="C24" s="178"/>
      <c r="D24" s="178"/>
    </row>
    <row r="25" spans="1:4" x14ac:dyDescent="0.2">
      <c r="A25" s="178" t="s">
        <v>815</v>
      </c>
      <c r="B25" s="178">
        <v>26908.91</v>
      </c>
      <c r="C25" s="178" t="s">
        <v>346</v>
      </c>
      <c r="D25" s="178"/>
    </row>
    <row r="26" spans="1:4" x14ac:dyDescent="0.2">
      <c r="A26" s="178" t="s">
        <v>814</v>
      </c>
      <c r="B26" s="178">
        <f>B25/200</f>
        <v>134.54454999999999</v>
      </c>
      <c r="C26" s="178"/>
      <c r="D26" s="178"/>
    </row>
    <row r="27" spans="1:4" x14ac:dyDescent="0.2">
      <c r="A27" s="178" t="s">
        <v>814</v>
      </c>
      <c r="B27" s="178">
        <v>135</v>
      </c>
      <c r="C27" s="178" t="s">
        <v>813</v>
      </c>
      <c r="D27" s="178"/>
    </row>
    <row r="28" spans="1:4" x14ac:dyDescent="0.2">
      <c r="A28" s="179" t="s">
        <v>742</v>
      </c>
      <c r="B28" s="179">
        <f>B27*C22</f>
        <v>918000</v>
      </c>
      <c r="C28" s="179" t="s">
        <v>572</v>
      </c>
      <c r="D28" s="178"/>
    </row>
    <row r="30" spans="1:4" x14ac:dyDescent="0.2">
      <c r="A30" s="182" t="s">
        <v>721</v>
      </c>
    </row>
    <row r="31" spans="1:4" x14ac:dyDescent="0.2">
      <c r="A31" s="177" t="s">
        <v>812</v>
      </c>
    </row>
    <row r="32" spans="1:4" x14ac:dyDescent="0.2">
      <c r="A32" s="194" t="s">
        <v>811</v>
      </c>
      <c r="B32" s="194"/>
      <c r="C32" s="194">
        <v>10000</v>
      </c>
      <c r="D32" s="194" t="s">
        <v>572</v>
      </c>
    </row>
    <row r="34" spans="1:3" x14ac:dyDescent="0.2">
      <c r="A34" s="194" t="s">
        <v>810</v>
      </c>
      <c r="B34" s="194">
        <f>C32+B28+D16</f>
        <v>1326475</v>
      </c>
      <c r="C34" s="194" t="s">
        <v>572</v>
      </c>
    </row>
    <row r="35" spans="1:3" x14ac:dyDescent="0.2">
      <c r="A35" s="177" t="s">
        <v>809</v>
      </c>
      <c r="B35" s="177">
        <f>0.05*B34</f>
        <v>66323.75</v>
      </c>
      <c r="C35" s="177" t="s">
        <v>686</v>
      </c>
    </row>
    <row r="36" spans="1:3" x14ac:dyDescent="0.2">
      <c r="A36" s="201" t="s">
        <v>574</v>
      </c>
      <c r="B36" s="177">
        <f>0.1*B34</f>
        <v>132647.5</v>
      </c>
      <c r="C36" s="177" t="s">
        <v>686</v>
      </c>
    </row>
    <row r="37" spans="1:3" x14ac:dyDescent="0.2">
      <c r="A37" s="194" t="s">
        <v>808</v>
      </c>
      <c r="B37" s="194">
        <f>B36+B35+B34</f>
        <v>1525446.25</v>
      </c>
      <c r="C37" s="194" t="s">
        <v>686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1"/>
  <sheetViews>
    <sheetView topLeftCell="C9" workbookViewId="0">
      <selection activeCell="M37" sqref="M37"/>
    </sheetView>
  </sheetViews>
  <sheetFormatPr defaultColWidth="8.875" defaultRowHeight="15" x14ac:dyDescent="0.2"/>
  <cols>
    <col min="1" max="1" width="33.62890625" style="177" customWidth="1"/>
    <col min="2" max="2" width="16.140625" style="177" customWidth="1"/>
    <col min="3" max="16384" width="8.875" style="177"/>
  </cols>
  <sheetData>
    <row r="1" spans="1:4" ht="19.5" x14ac:dyDescent="0.25">
      <c r="A1" s="185" t="s">
        <v>848</v>
      </c>
    </row>
    <row r="3" spans="1:4" x14ac:dyDescent="0.2">
      <c r="A3" s="181" t="s">
        <v>713</v>
      </c>
      <c r="B3" s="181" t="s">
        <v>847</v>
      </c>
    </row>
    <row r="4" spans="1:4" x14ac:dyDescent="0.2">
      <c r="A4" s="178" t="s">
        <v>846</v>
      </c>
      <c r="B4" s="178">
        <v>4307.4399999999996</v>
      </c>
    </row>
    <row r="5" spans="1:4" x14ac:dyDescent="0.2">
      <c r="A5" s="178" t="s">
        <v>845</v>
      </c>
      <c r="B5" s="178">
        <v>392.61</v>
      </c>
    </row>
    <row r="6" spans="1:4" x14ac:dyDescent="0.2">
      <c r="A6" s="178" t="s">
        <v>342</v>
      </c>
      <c r="B6" s="178">
        <v>243.64</v>
      </c>
    </row>
    <row r="7" spans="1:4" x14ac:dyDescent="0.2">
      <c r="A7" s="179" t="s">
        <v>126</v>
      </c>
      <c r="B7" s="179">
        <f>B4+B5+B6</f>
        <v>4943.6899999999996</v>
      </c>
    </row>
    <row r="9" spans="1:4" x14ac:dyDescent="0.2">
      <c r="A9" s="182" t="s">
        <v>774</v>
      </c>
    </row>
    <row r="10" spans="1:4" x14ac:dyDescent="0.2">
      <c r="A10" s="178" t="s">
        <v>844</v>
      </c>
      <c r="B10" s="178" t="s">
        <v>770</v>
      </c>
      <c r="C10" s="178" t="s">
        <v>763</v>
      </c>
      <c r="D10" s="178"/>
    </row>
    <row r="11" spans="1:4" x14ac:dyDescent="0.2">
      <c r="A11" s="178" t="s">
        <v>843</v>
      </c>
      <c r="B11" s="178">
        <v>90</v>
      </c>
      <c r="C11" s="178">
        <v>90</v>
      </c>
      <c r="D11" s="178"/>
    </row>
    <row r="12" spans="1:4" x14ac:dyDescent="0.2">
      <c r="A12" s="178" t="s">
        <v>607</v>
      </c>
      <c r="B12" s="178" t="s">
        <v>842</v>
      </c>
      <c r="C12" s="178">
        <f>0.15*1300</f>
        <v>195</v>
      </c>
      <c r="D12" s="178"/>
    </row>
    <row r="13" spans="1:4" x14ac:dyDescent="0.2">
      <c r="A13" s="178" t="s">
        <v>789</v>
      </c>
      <c r="B13" s="178" t="s">
        <v>841</v>
      </c>
      <c r="C13" s="178">
        <f>0.75*70</f>
        <v>52.5</v>
      </c>
      <c r="D13" s="178"/>
    </row>
    <row r="14" spans="1:4" x14ac:dyDescent="0.2">
      <c r="A14" s="178" t="s">
        <v>840</v>
      </c>
      <c r="B14" s="178"/>
      <c r="C14" s="178">
        <v>10</v>
      </c>
      <c r="D14" s="178"/>
    </row>
    <row r="15" spans="1:4" x14ac:dyDescent="0.2">
      <c r="A15" s="179" t="s">
        <v>746</v>
      </c>
      <c r="B15" s="179"/>
      <c r="C15" s="179">
        <f>C11+C12+C13+C14</f>
        <v>347.5</v>
      </c>
      <c r="D15" s="179" t="s">
        <v>622</v>
      </c>
    </row>
    <row r="17" spans="1:7" x14ac:dyDescent="0.2">
      <c r="A17" s="182" t="s">
        <v>745</v>
      </c>
    </row>
    <row r="18" spans="1:7" x14ac:dyDescent="0.2">
      <c r="A18" s="178" t="s">
        <v>839</v>
      </c>
      <c r="B18" s="178">
        <v>3000</v>
      </c>
      <c r="C18" s="178" t="s">
        <v>743</v>
      </c>
      <c r="D18" s="178"/>
      <c r="E18" s="178"/>
      <c r="F18" s="178"/>
      <c r="G18" s="178"/>
    </row>
    <row r="19" spans="1:7" x14ac:dyDescent="0.2">
      <c r="A19" s="178" t="s">
        <v>838</v>
      </c>
      <c r="B19" s="178">
        <v>3000</v>
      </c>
      <c r="C19" s="178" t="s">
        <v>689</v>
      </c>
      <c r="D19" s="178"/>
      <c r="E19" s="178"/>
      <c r="F19" s="178"/>
      <c r="G19" s="178"/>
    </row>
    <row r="20" spans="1:7" x14ac:dyDescent="0.2">
      <c r="A20" s="178" t="s">
        <v>837</v>
      </c>
      <c r="B20" s="178">
        <v>100</v>
      </c>
      <c r="C20" s="178" t="s">
        <v>836</v>
      </c>
      <c r="D20" s="178"/>
      <c r="E20" s="178"/>
      <c r="F20" s="178"/>
      <c r="G20" s="178"/>
    </row>
    <row r="21" spans="1:7" x14ac:dyDescent="0.2">
      <c r="A21" s="179" t="s">
        <v>783</v>
      </c>
      <c r="B21" s="179">
        <f>(B18+B19)/B20</f>
        <v>60</v>
      </c>
      <c r="C21" s="179" t="s">
        <v>663</v>
      </c>
      <c r="D21" s="179" t="s">
        <v>835</v>
      </c>
      <c r="E21" s="179"/>
      <c r="F21" s="179"/>
      <c r="G21" s="179"/>
    </row>
    <row r="23" spans="1:7" x14ac:dyDescent="0.2">
      <c r="A23" s="182" t="s">
        <v>698</v>
      </c>
    </row>
    <row r="24" spans="1:7" x14ac:dyDescent="0.2">
      <c r="A24" s="194" t="s">
        <v>834</v>
      </c>
      <c r="B24" s="194">
        <v>5</v>
      </c>
      <c r="C24" s="194" t="s">
        <v>663</v>
      </c>
    </row>
    <row r="26" spans="1:7" x14ac:dyDescent="0.2">
      <c r="A26" s="194" t="s">
        <v>576</v>
      </c>
      <c r="B26" s="194">
        <f>B24+B21+C15</f>
        <v>412.5</v>
      </c>
      <c r="C26" s="194" t="s">
        <v>663</v>
      </c>
    </row>
    <row r="28" spans="1:7" x14ac:dyDescent="0.2">
      <c r="A28" s="194" t="s">
        <v>833</v>
      </c>
      <c r="B28" s="194">
        <f>B26*B7</f>
        <v>2039272.1249999998</v>
      </c>
      <c r="C28" s="194" t="s">
        <v>686</v>
      </c>
    </row>
    <row r="29" spans="1:7" x14ac:dyDescent="0.2">
      <c r="A29" s="177" t="s">
        <v>716</v>
      </c>
      <c r="B29" s="177">
        <f>0.05*B28</f>
        <v>101963.60625</v>
      </c>
      <c r="C29" s="177" t="s">
        <v>686</v>
      </c>
    </row>
    <row r="30" spans="1:7" x14ac:dyDescent="0.2">
      <c r="A30" s="201" t="s">
        <v>832</v>
      </c>
      <c r="B30" s="177">
        <f>0.1*B28</f>
        <v>203927.21249999999</v>
      </c>
      <c r="C30" s="201" t="s">
        <v>686</v>
      </c>
    </row>
    <row r="31" spans="1:7" x14ac:dyDescent="0.2">
      <c r="A31" s="194" t="s">
        <v>831</v>
      </c>
      <c r="B31" s="194">
        <f>B30+B29+B28</f>
        <v>2345162.9437499996</v>
      </c>
      <c r="C31" s="194" t="s">
        <v>572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7"/>
  <sheetViews>
    <sheetView topLeftCell="B1" workbookViewId="0">
      <selection activeCell="J22" sqref="J22"/>
    </sheetView>
  </sheetViews>
  <sheetFormatPr defaultColWidth="8.875" defaultRowHeight="15" x14ac:dyDescent="0.2"/>
  <cols>
    <col min="1" max="1" width="26.76953125" style="177" customWidth="1"/>
    <col min="2" max="2" width="18.5625" style="177" customWidth="1"/>
    <col min="3" max="4" width="11.296875" style="177" customWidth="1"/>
    <col min="5" max="16384" width="8.875" style="177"/>
  </cols>
  <sheetData>
    <row r="1" spans="1:5" ht="19.5" x14ac:dyDescent="0.25">
      <c r="A1" s="185" t="s">
        <v>873</v>
      </c>
    </row>
    <row r="3" spans="1:5" x14ac:dyDescent="0.2">
      <c r="A3" s="197" t="s">
        <v>872</v>
      </c>
      <c r="B3" s="197">
        <v>1292.5</v>
      </c>
      <c r="C3" s="197" t="s">
        <v>346</v>
      </c>
    </row>
    <row r="5" spans="1:5" x14ac:dyDescent="0.2">
      <c r="A5" s="182" t="s">
        <v>774</v>
      </c>
    </row>
    <row r="6" spans="1:5" x14ac:dyDescent="0.2">
      <c r="A6" s="181" t="s">
        <v>772</v>
      </c>
      <c r="B6" s="181" t="s">
        <v>871</v>
      </c>
      <c r="C6" s="181" t="s">
        <v>770</v>
      </c>
      <c r="D6" s="181" t="s">
        <v>870</v>
      </c>
      <c r="E6" s="178"/>
    </row>
    <row r="7" spans="1:5" x14ac:dyDescent="0.2">
      <c r="A7" s="178" t="s">
        <v>869</v>
      </c>
      <c r="B7" s="178" t="s">
        <v>868</v>
      </c>
      <c r="C7" s="178" t="s">
        <v>867</v>
      </c>
      <c r="D7" s="178">
        <v>130</v>
      </c>
      <c r="E7" s="178"/>
    </row>
    <row r="8" spans="1:5" x14ac:dyDescent="0.2">
      <c r="A8" s="178" t="s">
        <v>866</v>
      </c>
      <c r="B8" s="178" t="s">
        <v>865</v>
      </c>
      <c r="C8" s="178" t="s">
        <v>864</v>
      </c>
      <c r="D8" s="178">
        <v>90</v>
      </c>
      <c r="E8" s="178"/>
    </row>
    <row r="9" spans="1:5" x14ac:dyDescent="0.2">
      <c r="A9" s="178" t="s">
        <v>863</v>
      </c>
      <c r="B9" s="178" t="s">
        <v>862</v>
      </c>
      <c r="C9" s="178" t="s">
        <v>842</v>
      </c>
      <c r="D9" s="178">
        <f>0.1*1300</f>
        <v>130</v>
      </c>
      <c r="E9" s="178"/>
    </row>
    <row r="10" spans="1:5" x14ac:dyDescent="0.2">
      <c r="A10" s="178" t="s">
        <v>861</v>
      </c>
      <c r="B10" s="178" t="s">
        <v>860</v>
      </c>
      <c r="C10" s="178">
        <v>70</v>
      </c>
      <c r="D10" s="178">
        <f>0.5*70</f>
        <v>35</v>
      </c>
      <c r="E10" s="178"/>
    </row>
    <row r="11" spans="1:5" x14ac:dyDescent="0.2">
      <c r="A11" s="178" t="s">
        <v>859</v>
      </c>
      <c r="B11" s="178" t="s">
        <v>858</v>
      </c>
      <c r="C11" s="178" t="s">
        <v>842</v>
      </c>
      <c r="D11" s="178">
        <f>0.02*1300</f>
        <v>26</v>
      </c>
      <c r="E11" s="178"/>
    </row>
    <row r="12" spans="1:5" x14ac:dyDescent="0.2">
      <c r="A12" s="179" t="s">
        <v>746</v>
      </c>
      <c r="B12" s="179"/>
      <c r="C12" s="179"/>
      <c r="D12" s="179">
        <f>D7+D8+D9+D10+D11</f>
        <v>411</v>
      </c>
      <c r="E12" s="179" t="s">
        <v>663</v>
      </c>
    </row>
    <row r="14" spans="1:5" x14ac:dyDescent="0.2">
      <c r="A14" s="182" t="s">
        <v>745</v>
      </c>
    </row>
    <row r="15" spans="1:5" x14ac:dyDescent="0.2">
      <c r="A15" s="181" t="s">
        <v>857</v>
      </c>
      <c r="B15" s="181" t="s">
        <v>856</v>
      </c>
      <c r="C15" s="181" t="s">
        <v>765</v>
      </c>
      <c r="D15" s="181" t="s">
        <v>763</v>
      </c>
      <c r="E15" s="178"/>
    </row>
    <row r="16" spans="1:5" x14ac:dyDescent="0.2">
      <c r="A16" s="178" t="s">
        <v>855</v>
      </c>
      <c r="B16" s="178" t="s">
        <v>854</v>
      </c>
      <c r="C16" s="178">
        <v>3000</v>
      </c>
      <c r="D16" s="178">
        <f>C16/100</f>
        <v>30</v>
      </c>
      <c r="E16" s="178"/>
    </row>
    <row r="17" spans="1:5" x14ac:dyDescent="0.2">
      <c r="A17" s="179" t="s">
        <v>591</v>
      </c>
      <c r="B17" s="179"/>
      <c r="C17" s="179"/>
      <c r="D17" s="179">
        <f>D16</f>
        <v>30</v>
      </c>
      <c r="E17" s="179" t="s">
        <v>663</v>
      </c>
    </row>
    <row r="19" spans="1:5" x14ac:dyDescent="0.2">
      <c r="A19" s="182" t="s">
        <v>721</v>
      </c>
    </row>
    <row r="20" spans="1:5" x14ac:dyDescent="0.2">
      <c r="A20" s="194" t="s">
        <v>853</v>
      </c>
      <c r="B20" s="194"/>
      <c r="C20" s="194"/>
      <c r="D20" s="194">
        <v>5</v>
      </c>
      <c r="E20" s="194" t="s">
        <v>663</v>
      </c>
    </row>
    <row r="22" spans="1:5" x14ac:dyDescent="0.2">
      <c r="A22" s="194" t="s">
        <v>576</v>
      </c>
      <c r="B22" s="194"/>
      <c r="C22" s="194"/>
      <c r="D22" s="194">
        <f>D12+D17+D20</f>
        <v>446</v>
      </c>
      <c r="E22" s="194" t="s">
        <v>663</v>
      </c>
    </row>
    <row r="24" spans="1:5" x14ac:dyDescent="0.2">
      <c r="A24" s="194" t="s">
        <v>852</v>
      </c>
      <c r="B24" s="194"/>
      <c r="C24" s="194"/>
      <c r="D24" s="194">
        <f>D22*B3</f>
        <v>576455</v>
      </c>
      <c r="E24" s="194" t="s">
        <v>572</v>
      </c>
    </row>
    <row r="25" spans="1:5" x14ac:dyDescent="0.2">
      <c r="A25" s="203" t="s">
        <v>851</v>
      </c>
      <c r="B25" s="203"/>
      <c r="C25" s="203"/>
      <c r="D25" s="203">
        <f>0.05*D24</f>
        <v>28822.75</v>
      </c>
      <c r="E25" s="203" t="s">
        <v>572</v>
      </c>
    </row>
    <row r="26" spans="1:5" x14ac:dyDescent="0.2">
      <c r="A26" s="203" t="s">
        <v>850</v>
      </c>
      <c r="B26" s="203"/>
      <c r="C26" s="203"/>
      <c r="D26" s="203">
        <f>0.1*D24</f>
        <v>57645.5</v>
      </c>
      <c r="E26" s="203" t="s">
        <v>572</v>
      </c>
    </row>
    <row r="27" spans="1:5" x14ac:dyDescent="0.2">
      <c r="A27" s="194" t="s">
        <v>849</v>
      </c>
      <c r="B27" s="194"/>
      <c r="C27" s="194"/>
      <c r="D27" s="194">
        <f>D24+D25+D26</f>
        <v>662923.25</v>
      </c>
      <c r="E27" s="194" t="s">
        <v>572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46"/>
  <sheetViews>
    <sheetView topLeftCell="B1" workbookViewId="0">
      <selection activeCell="L22" sqref="L22"/>
    </sheetView>
  </sheetViews>
  <sheetFormatPr defaultColWidth="8.875" defaultRowHeight="15" x14ac:dyDescent="0.2"/>
  <cols>
    <col min="1" max="1" width="41.8359375" style="177" customWidth="1"/>
    <col min="2" max="2" width="8.875" style="177"/>
    <col min="3" max="3" width="9.55078125" style="177" customWidth="1"/>
    <col min="4" max="4" width="10.76171875" style="177" customWidth="1"/>
    <col min="5" max="16384" width="8.875" style="177"/>
  </cols>
  <sheetData>
    <row r="1" spans="1:6" ht="19.5" x14ac:dyDescent="0.25">
      <c r="A1" s="185" t="s">
        <v>915</v>
      </c>
    </row>
    <row r="2" spans="1:6" ht="19.5" x14ac:dyDescent="0.25">
      <c r="A2" s="185"/>
    </row>
    <row r="3" spans="1:6" x14ac:dyDescent="0.2">
      <c r="A3" s="181" t="s">
        <v>914</v>
      </c>
      <c r="B3" s="181" t="s">
        <v>913</v>
      </c>
    </row>
    <row r="4" spans="1:6" x14ac:dyDescent="0.2">
      <c r="A4" s="195" t="s">
        <v>912</v>
      </c>
      <c r="B4" s="195">
        <v>960</v>
      </c>
    </row>
    <row r="5" spans="1:6" x14ac:dyDescent="0.2">
      <c r="A5" s="195" t="s">
        <v>465</v>
      </c>
      <c r="B5" s="195">
        <v>1329.4</v>
      </c>
    </row>
    <row r="6" spans="1:6" x14ac:dyDescent="0.2">
      <c r="A6" s="195" t="s">
        <v>453</v>
      </c>
      <c r="B6" s="195">
        <v>2094</v>
      </c>
    </row>
    <row r="8" spans="1:6" x14ac:dyDescent="0.2">
      <c r="A8" s="182" t="s">
        <v>911</v>
      </c>
    </row>
    <row r="9" spans="1:6" x14ac:dyDescent="0.2">
      <c r="A9" s="182" t="s">
        <v>774</v>
      </c>
    </row>
    <row r="10" spans="1:6" x14ac:dyDescent="0.2">
      <c r="A10" s="181" t="s">
        <v>910</v>
      </c>
      <c r="B10" s="181" t="s">
        <v>883</v>
      </c>
      <c r="C10" s="181" t="s">
        <v>882</v>
      </c>
      <c r="D10" s="181" t="s">
        <v>770</v>
      </c>
      <c r="E10" s="181" t="s">
        <v>909</v>
      </c>
      <c r="F10" s="178"/>
    </row>
    <row r="11" spans="1:6" x14ac:dyDescent="0.2">
      <c r="A11" s="178" t="s">
        <v>908</v>
      </c>
      <c r="B11" s="178" t="s">
        <v>452</v>
      </c>
      <c r="C11" s="178">
        <v>1</v>
      </c>
      <c r="D11" s="178">
        <v>130</v>
      </c>
      <c r="E11" s="178">
        <v>130</v>
      </c>
      <c r="F11" s="178"/>
    </row>
    <row r="12" spans="1:6" x14ac:dyDescent="0.2">
      <c r="A12" s="178" t="s">
        <v>907</v>
      </c>
      <c r="B12" s="178" t="s">
        <v>890</v>
      </c>
      <c r="C12" s="178">
        <v>1</v>
      </c>
      <c r="D12" s="178"/>
      <c r="E12" s="178">
        <v>10</v>
      </c>
      <c r="F12" s="178"/>
    </row>
    <row r="13" spans="1:6" x14ac:dyDescent="0.2">
      <c r="A13" s="179" t="s">
        <v>746</v>
      </c>
      <c r="B13" s="179"/>
      <c r="C13" s="179"/>
      <c r="D13" s="179"/>
      <c r="E13" s="179">
        <f>E11+E12</f>
        <v>140</v>
      </c>
      <c r="F13" s="179" t="s">
        <v>877</v>
      </c>
    </row>
    <row r="15" spans="1:6" x14ac:dyDescent="0.2">
      <c r="A15" s="182" t="s">
        <v>906</v>
      </c>
    </row>
    <row r="16" spans="1:6" x14ac:dyDescent="0.2">
      <c r="A16" s="178" t="s">
        <v>905</v>
      </c>
      <c r="B16" s="178">
        <v>600</v>
      </c>
      <c r="C16" s="178" t="s">
        <v>743</v>
      </c>
      <c r="D16" s="178">
        <v>40</v>
      </c>
      <c r="E16" s="178" t="s">
        <v>904</v>
      </c>
      <c r="F16" s="178"/>
    </row>
    <row r="17" spans="1:6" x14ac:dyDescent="0.2">
      <c r="A17" s="179" t="s">
        <v>742</v>
      </c>
      <c r="B17" s="179"/>
      <c r="C17" s="179"/>
      <c r="D17" s="179"/>
      <c r="E17" s="179">
        <f>B16/D16</f>
        <v>15</v>
      </c>
      <c r="F17" s="179" t="s">
        <v>877</v>
      </c>
    </row>
    <row r="19" spans="1:6" x14ac:dyDescent="0.2">
      <c r="A19" s="177" t="s">
        <v>903</v>
      </c>
      <c r="E19" s="177">
        <f>E13+E17</f>
        <v>155</v>
      </c>
      <c r="F19" s="177" t="s">
        <v>877</v>
      </c>
    </row>
    <row r="20" spans="1:6" x14ac:dyDescent="0.2">
      <c r="A20" s="194" t="s">
        <v>902</v>
      </c>
      <c r="B20" s="194"/>
      <c r="C20" s="194"/>
      <c r="D20" s="194"/>
      <c r="E20" s="194">
        <f>E19*B4</f>
        <v>148800</v>
      </c>
      <c r="F20" s="194" t="s">
        <v>686</v>
      </c>
    </row>
    <row r="22" spans="1:6" x14ac:dyDescent="0.2">
      <c r="A22" s="182" t="s">
        <v>901</v>
      </c>
    </row>
    <row r="23" spans="1:6" x14ac:dyDescent="0.2">
      <c r="A23" s="177" t="s">
        <v>900</v>
      </c>
    </row>
    <row r="24" spans="1:6" x14ac:dyDescent="0.2">
      <c r="A24" s="177" t="s">
        <v>899</v>
      </c>
      <c r="B24" s="177">
        <v>7</v>
      </c>
      <c r="C24" s="177" t="s">
        <v>898</v>
      </c>
    </row>
    <row r="25" spans="1:6" x14ac:dyDescent="0.2">
      <c r="A25" s="177" t="s">
        <v>897</v>
      </c>
      <c r="B25" s="177" t="s">
        <v>896</v>
      </c>
    </row>
    <row r="26" spans="1:6" x14ac:dyDescent="0.2">
      <c r="A26" s="177" t="s">
        <v>895</v>
      </c>
      <c r="B26" s="177">
        <f>B5/B24</f>
        <v>189.91428571428574</v>
      </c>
      <c r="C26" s="177" t="s">
        <v>346</v>
      </c>
    </row>
    <row r="27" spans="1:6" x14ac:dyDescent="0.2">
      <c r="A27" s="181" t="s">
        <v>713</v>
      </c>
      <c r="B27" s="181" t="s">
        <v>883</v>
      </c>
      <c r="C27" s="181" t="s">
        <v>894</v>
      </c>
      <c r="D27" s="181" t="s">
        <v>893</v>
      </c>
      <c r="E27" s="181" t="s">
        <v>763</v>
      </c>
      <c r="F27" s="178"/>
    </row>
    <row r="28" spans="1:6" x14ac:dyDescent="0.2">
      <c r="A28" s="178" t="s">
        <v>892</v>
      </c>
      <c r="B28" s="178" t="s">
        <v>346</v>
      </c>
      <c r="C28" s="178">
        <v>1</v>
      </c>
      <c r="D28" s="178">
        <v>170</v>
      </c>
      <c r="E28" s="178">
        <v>170</v>
      </c>
      <c r="F28" s="178"/>
    </row>
    <row r="29" spans="1:6" x14ac:dyDescent="0.2">
      <c r="A29" s="178" t="s">
        <v>891</v>
      </c>
      <c r="B29" s="178" t="s">
        <v>890</v>
      </c>
      <c r="C29" s="178">
        <v>1</v>
      </c>
      <c r="D29" s="178"/>
      <c r="E29" s="178">
        <v>15</v>
      </c>
      <c r="F29" s="178"/>
    </row>
    <row r="30" spans="1:6" x14ac:dyDescent="0.2">
      <c r="A30" s="178" t="s">
        <v>889</v>
      </c>
      <c r="B30" s="178" t="s">
        <v>346</v>
      </c>
      <c r="C30" s="178">
        <v>1</v>
      </c>
      <c r="D30" s="178"/>
      <c r="E30" s="178">
        <v>25</v>
      </c>
      <c r="F30" s="178"/>
    </row>
    <row r="31" spans="1:6" x14ac:dyDescent="0.2">
      <c r="A31" s="178" t="s">
        <v>888</v>
      </c>
      <c r="B31" s="178" t="s">
        <v>346</v>
      </c>
      <c r="C31" s="178">
        <v>1</v>
      </c>
      <c r="D31" s="178"/>
      <c r="E31" s="178">
        <v>30</v>
      </c>
      <c r="F31" s="178"/>
    </row>
    <row r="32" spans="1:6" x14ac:dyDescent="0.2">
      <c r="A32" s="178" t="s">
        <v>887</v>
      </c>
      <c r="B32" s="178"/>
      <c r="C32" s="178"/>
      <c r="D32" s="178"/>
      <c r="E32" s="178">
        <f>E28+E29+E30+E31</f>
        <v>240</v>
      </c>
      <c r="F32" s="178" t="s">
        <v>663</v>
      </c>
    </row>
    <row r="33" spans="1:6" x14ac:dyDescent="0.2">
      <c r="A33" s="179" t="s">
        <v>886</v>
      </c>
      <c r="B33" s="179"/>
      <c r="C33" s="179"/>
      <c r="D33" s="179"/>
      <c r="E33" s="179">
        <f>E32*B26</f>
        <v>45579.42857142858</v>
      </c>
      <c r="F33" s="179" t="s">
        <v>572</v>
      </c>
    </row>
    <row r="35" spans="1:6" x14ac:dyDescent="0.2">
      <c r="A35" s="182" t="s">
        <v>885</v>
      </c>
    </row>
    <row r="36" spans="1:6" x14ac:dyDescent="0.2">
      <c r="A36" s="177" t="s">
        <v>884</v>
      </c>
    </row>
    <row r="37" spans="1:6" x14ac:dyDescent="0.2">
      <c r="A37" s="181" t="s">
        <v>713</v>
      </c>
      <c r="B37" s="181" t="s">
        <v>883</v>
      </c>
      <c r="C37" s="181" t="s">
        <v>882</v>
      </c>
      <c r="D37" s="181" t="s">
        <v>770</v>
      </c>
      <c r="E37" s="181" t="s">
        <v>881</v>
      </c>
      <c r="F37" s="178"/>
    </row>
    <row r="38" spans="1:6" x14ac:dyDescent="0.2">
      <c r="A38" s="178" t="s">
        <v>880</v>
      </c>
      <c r="B38" s="178" t="s">
        <v>452</v>
      </c>
      <c r="C38" s="178">
        <v>1</v>
      </c>
      <c r="D38" s="178">
        <v>30</v>
      </c>
      <c r="E38" s="178">
        <v>30</v>
      </c>
      <c r="F38" s="178"/>
    </row>
    <row r="39" spans="1:6" x14ac:dyDescent="0.2">
      <c r="A39" s="178" t="s">
        <v>879</v>
      </c>
      <c r="B39" s="178" t="s">
        <v>452</v>
      </c>
      <c r="C39" s="178">
        <v>1</v>
      </c>
      <c r="D39" s="178"/>
      <c r="E39" s="178">
        <v>10</v>
      </c>
      <c r="F39" s="178"/>
    </row>
    <row r="40" spans="1:6" x14ac:dyDescent="0.2">
      <c r="A40" s="178" t="s">
        <v>878</v>
      </c>
      <c r="B40" s="178"/>
      <c r="C40" s="178"/>
      <c r="D40" s="178"/>
      <c r="E40" s="178">
        <f>E38+E39</f>
        <v>40</v>
      </c>
      <c r="F40" s="178" t="s">
        <v>877</v>
      </c>
    </row>
    <row r="41" spans="1:6" x14ac:dyDescent="0.2">
      <c r="A41" s="179" t="s">
        <v>876</v>
      </c>
      <c r="B41" s="179"/>
      <c r="C41" s="179"/>
      <c r="D41" s="179"/>
      <c r="E41" s="179">
        <f>E40*B6</f>
        <v>83760</v>
      </c>
      <c r="F41" s="179" t="s">
        <v>572</v>
      </c>
    </row>
    <row r="43" spans="1:6" x14ac:dyDescent="0.2">
      <c r="A43" s="194" t="s">
        <v>875</v>
      </c>
      <c r="B43" s="194"/>
      <c r="C43" s="194"/>
      <c r="D43" s="194"/>
      <c r="E43" s="194">
        <f>E41+E33+E20</f>
        <v>278139.42857142858</v>
      </c>
      <c r="F43" s="194" t="s">
        <v>572</v>
      </c>
    </row>
    <row r="44" spans="1:6" x14ac:dyDescent="0.2">
      <c r="A44" s="177" t="s">
        <v>575</v>
      </c>
      <c r="E44" s="177">
        <f>0.05*E43</f>
        <v>13906.971428571429</v>
      </c>
      <c r="F44" s="177" t="s">
        <v>572</v>
      </c>
    </row>
    <row r="45" spans="1:6" x14ac:dyDescent="0.2">
      <c r="A45" s="205" t="s">
        <v>574</v>
      </c>
      <c r="E45" s="177">
        <f>0.1*E43</f>
        <v>27813.942857142858</v>
      </c>
      <c r="F45" s="204" t="s">
        <v>572</v>
      </c>
    </row>
    <row r="46" spans="1:6" x14ac:dyDescent="0.2">
      <c r="A46" s="194" t="s">
        <v>874</v>
      </c>
      <c r="B46" s="194"/>
      <c r="C46" s="194"/>
      <c r="D46" s="194"/>
      <c r="E46" s="194">
        <f>E43+E44+E45</f>
        <v>319860.34285714291</v>
      </c>
      <c r="F46" s="194" t="s">
        <v>572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3"/>
  <sheetViews>
    <sheetView tabSelected="1" topLeftCell="A34" workbookViewId="0">
      <selection activeCell="C43" sqref="C43"/>
    </sheetView>
  </sheetViews>
  <sheetFormatPr defaultColWidth="8.875" defaultRowHeight="15" x14ac:dyDescent="0.2"/>
  <cols>
    <col min="1" max="1" width="39.81640625" style="177" customWidth="1"/>
    <col min="2" max="2" width="29.0546875" style="177" customWidth="1"/>
    <col min="3" max="3" width="11.02734375" style="177" customWidth="1"/>
    <col min="4" max="16384" width="8.875" style="177"/>
  </cols>
  <sheetData>
    <row r="1" spans="1:4" ht="19.5" x14ac:dyDescent="0.25">
      <c r="A1" s="185" t="s">
        <v>942</v>
      </c>
    </row>
    <row r="3" spans="1:4" x14ac:dyDescent="0.2">
      <c r="A3" s="196" t="s">
        <v>939</v>
      </c>
      <c r="B3" s="196">
        <f>0.29+0.708+0.47</f>
        <v>1.468</v>
      </c>
      <c r="C3" s="196" t="s">
        <v>936</v>
      </c>
    </row>
    <row r="4" spans="1:4" x14ac:dyDescent="0.2">
      <c r="A4" s="196" t="s">
        <v>938</v>
      </c>
      <c r="B4" s="196">
        <f>1.83+1.662</f>
        <v>3.492</v>
      </c>
      <c r="C4" s="196" t="s">
        <v>936</v>
      </c>
    </row>
    <row r="6" spans="1:4" x14ac:dyDescent="0.2">
      <c r="A6" s="181" t="s">
        <v>910</v>
      </c>
      <c r="B6" s="181" t="s">
        <v>935</v>
      </c>
      <c r="C6" s="181" t="s">
        <v>770</v>
      </c>
      <c r="D6" s="178"/>
    </row>
    <row r="7" spans="1:4" x14ac:dyDescent="0.2">
      <c r="A7" s="178" t="s">
        <v>934</v>
      </c>
      <c r="B7" s="178" t="s">
        <v>933</v>
      </c>
      <c r="C7" s="178">
        <v>240000</v>
      </c>
      <c r="D7" s="178" t="s">
        <v>923</v>
      </c>
    </row>
    <row r="8" spans="1:4" x14ac:dyDescent="0.2">
      <c r="A8" s="178" t="s">
        <v>932</v>
      </c>
      <c r="B8" s="178" t="s">
        <v>931</v>
      </c>
      <c r="C8" s="178">
        <v>5000</v>
      </c>
      <c r="D8" s="178" t="s">
        <v>923</v>
      </c>
    </row>
    <row r="9" spans="1:4" x14ac:dyDescent="0.2">
      <c r="A9" s="178" t="s">
        <v>930</v>
      </c>
      <c r="B9" s="178" t="s">
        <v>929</v>
      </c>
      <c r="C9" s="178">
        <v>6000</v>
      </c>
      <c r="D9" s="178" t="s">
        <v>923</v>
      </c>
    </row>
    <row r="10" spans="1:4" x14ac:dyDescent="0.2">
      <c r="A10" s="178" t="s">
        <v>928</v>
      </c>
      <c r="B10" s="178" t="s">
        <v>927</v>
      </c>
      <c r="C10" s="178">
        <v>1000</v>
      </c>
      <c r="D10" s="178" t="s">
        <v>923</v>
      </c>
    </row>
    <row r="11" spans="1:4" x14ac:dyDescent="0.2">
      <c r="A11" s="178" t="s">
        <v>926</v>
      </c>
      <c r="B11" s="178" t="s">
        <v>925</v>
      </c>
      <c r="C11" s="178">
        <f>0.02*C7</f>
        <v>4800</v>
      </c>
      <c r="D11" s="178"/>
    </row>
    <row r="12" spans="1:4" x14ac:dyDescent="0.2">
      <c r="A12" s="178" t="s">
        <v>749</v>
      </c>
      <c r="B12" s="178" t="s">
        <v>924</v>
      </c>
      <c r="C12" s="178">
        <v>2000</v>
      </c>
      <c r="D12" s="178" t="s">
        <v>923</v>
      </c>
    </row>
    <row r="13" spans="1:4" x14ac:dyDescent="0.2">
      <c r="A13" s="179" t="s">
        <v>922</v>
      </c>
      <c r="B13" s="179"/>
      <c r="C13" s="179">
        <f>SUM(C7:C12)</f>
        <v>258800</v>
      </c>
      <c r="D13" s="179" t="s">
        <v>921</v>
      </c>
    </row>
    <row r="15" spans="1:4" x14ac:dyDescent="0.2">
      <c r="A15" s="179" t="s">
        <v>920</v>
      </c>
      <c r="B15" s="179"/>
      <c r="C15" s="179">
        <f>C13*B3</f>
        <v>379918.39999999997</v>
      </c>
      <c r="D15" s="179" t="s">
        <v>572</v>
      </c>
    </row>
    <row r="16" spans="1:4" x14ac:dyDescent="0.2">
      <c r="A16" s="179" t="s">
        <v>919</v>
      </c>
      <c r="B16" s="179"/>
      <c r="C16" s="179">
        <f>C13*B4</f>
        <v>903729.6</v>
      </c>
      <c r="D16" s="179" t="s">
        <v>572</v>
      </c>
    </row>
    <row r="17" spans="1:4" x14ac:dyDescent="0.2">
      <c r="A17" s="179" t="s">
        <v>917</v>
      </c>
      <c r="B17" s="179"/>
      <c r="C17" s="179">
        <f>C15+C16</f>
        <v>1283648</v>
      </c>
      <c r="D17" s="179" t="s">
        <v>572</v>
      </c>
    </row>
    <row r="18" spans="1:4" x14ac:dyDescent="0.2">
      <c r="A18" s="206" t="s">
        <v>575</v>
      </c>
      <c r="B18" s="206"/>
      <c r="C18" s="206">
        <f>0.05*C17</f>
        <v>64182.400000000001</v>
      </c>
      <c r="D18" s="206" t="s">
        <v>572</v>
      </c>
    </row>
    <row r="19" spans="1:4" x14ac:dyDescent="0.2">
      <c r="A19" s="206" t="s">
        <v>574</v>
      </c>
      <c r="B19" s="206"/>
      <c r="C19" s="206">
        <f>0.1*C17</f>
        <v>128364.8</v>
      </c>
      <c r="D19" s="206" t="s">
        <v>572</v>
      </c>
    </row>
    <row r="20" spans="1:4" x14ac:dyDescent="0.2">
      <c r="A20" s="179" t="s">
        <v>941</v>
      </c>
      <c r="B20" s="179"/>
      <c r="C20" s="179">
        <f>C19+C18+C17</f>
        <v>1476195.2</v>
      </c>
      <c r="D20" s="179" t="s">
        <v>572</v>
      </c>
    </row>
    <row r="22" spans="1:4" ht="19.5" x14ac:dyDescent="0.25">
      <c r="A22" s="185" t="s">
        <v>940</v>
      </c>
    </row>
    <row r="24" spans="1:4" x14ac:dyDescent="0.2">
      <c r="A24" s="196" t="s">
        <v>939</v>
      </c>
      <c r="B24" s="196">
        <f>0.8+0.595+0.333+2.73</f>
        <v>4.4580000000000002</v>
      </c>
      <c r="C24" s="196" t="s">
        <v>936</v>
      </c>
    </row>
    <row r="25" spans="1:4" x14ac:dyDescent="0.2">
      <c r="A25" s="196" t="s">
        <v>938</v>
      </c>
      <c r="B25" s="196">
        <f>1.71+1.246</f>
        <v>2.956</v>
      </c>
      <c r="C25" s="196" t="s">
        <v>936</v>
      </c>
    </row>
    <row r="26" spans="1:4" x14ac:dyDescent="0.2">
      <c r="A26" s="196" t="s">
        <v>937</v>
      </c>
      <c r="B26" s="196">
        <v>4.3999999999999997E-2</v>
      </c>
      <c r="C26" s="196" t="s">
        <v>936</v>
      </c>
    </row>
    <row r="28" spans="1:4" x14ac:dyDescent="0.2">
      <c r="A28" s="181" t="s">
        <v>910</v>
      </c>
      <c r="B28" s="181" t="s">
        <v>935</v>
      </c>
      <c r="C28" s="181" t="s">
        <v>770</v>
      </c>
      <c r="D28" s="178"/>
    </row>
    <row r="29" spans="1:4" x14ac:dyDescent="0.2">
      <c r="A29" s="178" t="s">
        <v>934</v>
      </c>
      <c r="B29" s="178" t="s">
        <v>933</v>
      </c>
      <c r="C29" s="178">
        <v>240000</v>
      </c>
      <c r="D29" s="178" t="s">
        <v>923</v>
      </c>
    </row>
    <row r="30" spans="1:4" x14ac:dyDescent="0.2">
      <c r="A30" s="178" t="s">
        <v>932</v>
      </c>
      <c r="B30" s="178" t="s">
        <v>931</v>
      </c>
      <c r="C30" s="178">
        <v>5000</v>
      </c>
      <c r="D30" s="178" t="s">
        <v>923</v>
      </c>
    </row>
    <row r="31" spans="1:4" x14ac:dyDescent="0.2">
      <c r="A31" s="178" t="s">
        <v>930</v>
      </c>
      <c r="B31" s="178" t="s">
        <v>929</v>
      </c>
      <c r="C31" s="178">
        <v>6000</v>
      </c>
      <c r="D31" s="178" t="s">
        <v>923</v>
      </c>
    </row>
    <row r="32" spans="1:4" x14ac:dyDescent="0.2">
      <c r="A32" s="178" t="s">
        <v>928</v>
      </c>
      <c r="B32" s="178" t="s">
        <v>927</v>
      </c>
      <c r="C32" s="178">
        <v>1000</v>
      </c>
      <c r="D32" s="178" t="s">
        <v>923</v>
      </c>
    </row>
    <row r="33" spans="1:4" x14ac:dyDescent="0.2">
      <c r="A33" s="178" t="s">
        <v>926</v>
      </c>
      <c r="B33" s="178" t="s">
        <v>925</v>
      </c>
      <c r="C33" s="178">
        <f>0.02*C29</f>
        <v>4800</v>
      </c>
      <c r="D33" s="178"/>
    </row>
    <row r="34" spans="1:4" x14ac:dyDescent="0.2">
      <c r="A34" s="178" t="s">
        <v>749</v>
      </c>
      <c r="B34" s="178" t="s">
        <v>924</v>
      </c>
      <c r="C34" s="178">
        <v>2000</v>
      </c>
      <c r="D34" s="178" t="s">
        <v>923</v>
      </c>
    </row>
    <row r="35" spans="1:4" x14ac:dyDescent="0.2">
      <c r="A35" s="179" t="s">
        <v>922</v>
      </c>
      <c r="B35" s="179"/>
      <c r="C35" s="179">
        <f>SUM(C29:C34)</f>
        <v>258800</v>
      </c>
      <c r="D35" s="179" t="s">
        <v>921</v>
      </c>
    </row>
    <row r="36" spans="1:4" x14ac:dyDescent="0.2">
      <c r="A36" s="178"/>
      <c r="B36" s="178"/>
      <c r="C36" s="178"/>
      <c r="D36" s="178"/>
    </row>
    <row r="37" spans="1:4" x14ac:dyDescent="0.2">
      <c r="A37" s="179" t="s">
        <v>920</v>
      </c>
      <c r="B37" s="179"/>
      <c r="C37" s="179">
        <f>C35*B24</f>
        <v>1153730.4000000001</v>
      </c>
      <c r="D37" s="179" t="s">
        <v>572</v>
      </c>
    </row>
    <row r="38" spans="1:4" x14ac:dyDescent="0.2">
      <c r="A38" s="179" t="s">
        <v>919</v>
      </c>
      <c r="B38" s="179"/>
      <c r="C38" s="179">
        <f>C35*B25</f>
        <v>765012.8</v>
      </c>
      <c r="D38" s="179" t="s">
        <v>572</v>
      </c>
    </row>
    <row r="39" spans="1:4" x14ac:dyDescent="0.2">
      <c r="A39" s="179" t="s">
        <v>918</v>
      </c>
      <c r="B39" s="179"/>
      <c r="C39" s="179">
        <f>C35*B26</f>
        <v>11387.199999999999</v>
      </c>
      <c r="D39" s="179" t="s">
        <v>572</v>
      </c>
    </row>
    <row r="40" spans="1:4" x14ac:dyDescent="0.2">
      <c r="A40" s="179" t="s">
        <v>917</v>
      </c>
      <c r="B40" s="179"/>
      <c r="C40" s="179">
        <f>C37+C38+C39</f>
        <v>1930130.4000000001</v>
      </c>
      <c r="D40" s="179" t="s">
        <v>572</v>
      </c>
    </row>
    <row r="41" spans="1:4" x14ac:dyDescent="0.2">
      <c r="A41" s="178" t="s">
        <v>575</v>
      </c>
      <c r="B41" s="178"/>
      <c r="C41" s="178">
        <f>0.05*C40</f>
        <v>96506.520000000019</v>
      </c>
      <c r="D41" s="178" t="s">
        <v>572</v>
      </c>
    </row>
    <row r="42" spans="1:4" x14ac:dyDescent="0.2">
      <c r="A42" s="178" t="s">
        <v>574</v>
      </c>
      <c r="B42" s="178"/>
      <c r="C42" s="178">
        <f>0.1*C40</f>
        <v>193013.04000000004</v>
      </c>
      <c r="D42" s="178" t="s">
        <v>572</v>
      </c>
    </row>
    <row r="43" spans="1:4" x14ac:dyDescent="0.2">
      <c r="A43" s="179" t="s">
        <v>916</v>
      </c>
      <c r="B43" s="179"/>
      <c r="C43" s="179">
        <f>(C42+C41+C40)*1.1</f>
        <v>2441614.9560000002</v>
      </c>
      <c r="D43" s="179" t="s">
        <v>572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K133"/>
  <sheetViews>
    <sheetView topLeftCell="A74" workbookViewId="0">
      <selection activeCell="G73" sqref="G73"/>
    </sheetView>
  </sheetViews>
  <sheetFormatPr defaultColWidth="9.01171875" defaultRowHeight="15" x14ac:dyDescent="0.2"/>
  <cols>
    <col min="1" max="1" width="25.828125" style="177" customWidth="1"/>
    <col min="2" max="2" width="15.33203125" style="177" customWidth="1"/>
    <col min="3" max="3" width="21.7890625" style="177" customWidth="1"/>
    <col min="4" max="6" width="9.01171875" style="177"/>
    <col min="7" max="7" width="17.890625" style="177" customWidth="1"/>
    <col min="8" max="8" width="14.2578125" style="177" customWidth="1"/>
    <col min="9" max="9" width="12.9140625" style="177" customWidth="1"/>
    <col min="10" max="16384" width="9.01171875" style="177"/>
  </cols>
  <sheetData>
    <row r="2" spans="1:9" ht="19.5" x14ac:dyDescent="0.25">
      <c r="A2" s="185" t="s">
        <v>681</v>
      </c>
      <c r="G2" s="185" t="s">
        <v>680</v>
      </c>
    </row>
    <row r="4" spans="1:9" ht="15.75" x14ac:dyDescent="0.2">
      <c r="A4" s="190" t="s">
        <v>679</v>
      </c>
      <c r="G4" s="190" t="s">
        <v>679</v>
      </c>
    </row>
    <row r="6" spans="1:9" x14ac:dyDescent="0.2">
      <c r="A6" s="189" t="s">
        <v>678</v>
      </c>
      <c r="B6" s="189" t="s">
        <v>611</v>
      </c>
      <c r="C6" s="178"/>
      <c r="G6" s="189" t="s">
        <v>678</v>
      </c>
      <c r="H6" s="189" t="s">
        <v>611</v>
      </c>
      <c r="I6" s="178"/>
    </row>
    <row r="7" spans="1:9" x14ac:dyDescent="0.2">
      <c r="A7" s="178" t="s">
        <v>607</v>
      </c>
      <c r="B7" s="178" t="s">
        <v>608</v>
      </c>
      <c r="C7" s="178"/>
      <c r="G7" s="178" t="s">
        <v>607</v>
      </c>
      <c r="H7" s="178" t="s">
        <v>608</v>
      </c>
      <c r="I7" s="178"/>
    </row>
    <row r="8" spans="1:9" x14ac:dyDescent="0.2">
      <c r="A8" s="178" t="s">
        <v>677</v>
      </c>
      <c r="B8" s="178" t="s">
        <v>676</v>
      </c>
      <c r="C8" s="178"/>
      <c r="G8" s="178" t="s">
        <v>677</v>
      </c>
      <c r="H8" s="178" t="s">
        <v>676</v>
      </c>
      <c r="I8" s="178"/>
    </row>
    <row r="9" spans="1:9" x14ac:dyDescent="0.2">
      <c r="A9" s="178" t="s">
        <v>675</v>
      </c>
      <c r="B9" s="178" t="s">
        <v>605</v>
      </c>
      <c r="C9" s="178"/>
      <c r="G9" s="178" t="s">
        <v>675</v>
      </c>
      <c r="H9" s="178" t="s">
        <v>605</v>
      </c>
      <c r="I9" s="178"/>
    </row>
    <row r="10" spans="1:9" x14ac:dyDescent="0.2">
      <c r="A10" s="178" t="s">
        <v>674</v>
      </c>
      <c r="B10" s="178" t="s">
        <v>599</v>
      </c>
      <c r="C10" s="178"/>
      <c r="G10" s="178" t="s">
        <v>674</v>
      </c>
      <c r="H10" s="178" t="s">
        <v>599</v>
      </c>
      <c r="I10" s="178"/>
    </row>
    <row r="11" spans="1:9" x14ac:dyDescent="0.2">
      <c r="A11" s="178" t="s">
        <v>673</v>
      </c>
      <c r="B11" s="178">
        <v>0.5</v>
      </c>
      <c r="C11" s="178"/>
      <c r="G11" s="178" t="s">
        <v>673</v>
      </c>
      <c r="H11" s="178">
        <v>0.5</v>
      </c>
      <c r="I11" s="178"/>
    </row>
    <row r="12" spans="1:9" x14ac:dyDescent="0.2">
      <c r="A12" s="178" t="s">
        <v>672</v>
      </c>
      <c r="B12" s="178" t="s">
        <v>671</v>
      </c>
      <c r="C12" s="178"/>
      <c r="G12" s="178" t="s">
        <v>672</v>
      </c>
      <c r="H12" s="178" t="s">
        <v>671</v>
      </c>
      <c r="I12" s="178"/>
    </row>
    <row r="13" spans="1:9" x14ac:dyDescent="0.2">
      <c r="A13" s="178" t="s">
        <v>670</v>
      </c>
      <c r="B13" s="178" t="s">
        <v>594</v>
      </c>
      <c r="C13" s="178"/>
      <c r="G13" s="178" t="s">
        <v>670</v>
      </c>
      <c r="H13" s="178" t="s">
        <v>594</v>
      </c>
      <c r="I13" s="178"/>
    </row>
    <row r="14" spans="1:9" x14ac:dyDescent="0.2">
      <c r="A14" s="178" t="s">
        <v>669</v>
      </c>
      <c r="B14" s="178" t="s">
        <v>592</v>
      </c>
      <c r="C14" s="178"/>
      <c r="G14" s="178" t="s">
        <v>669</v>
      </c>
      <c r="H14" s="178" t="s">
        <v>592</v>
      </c>
      <c r="I14" s="178"/>
    </row>
    <row r="15" spans="1:9" x14ac:dyDescent="0.2">
      <c r="A15" s="178" t="s">
        <v>658</v>
      </c>
      <c r="B15" s="178" t="s">
        <v>656</v>
      </c>
      <c r="C15" s="178"/>
      <c r="G15" s="178" t="s">
        <v>658</v>
      </c>
      <c r="H15" s="178" t="s">
        <v>656</v>
      </c>
      <c r="I15" s="178"/>
    </row>
    <row r="16" spans="1:9" x14ac:dyDescent="0.2">
      <c r="A16" s="178" t="s">
        <v>668</v>
      </c>
      <c r="B16" s="178" t="s">
        <v>667</v>
      </c>
      <c r="C16" s="178"/>
      <c r="G16" s="178" t="s">
        <v>668</v>
      </c>
      <c r="H16" s="178" t="s">
        <v>667</v>
      </c>
      <c r="I16" s="178"/>
    </row>
    <row r="17" spans="1:9" x14ac:dyDescent="0.2">
      <c r="A17" s="178" t="s">
        <v>655</v>
      </c>
      <c r="B17" s="178" t="s">
        <v>578</v>
      </c>
      <c r="C17" s="178"/>
      <c r="G17" s="178" t="s">
        <v>655</v>
      </c>
      <c r="H17" s="178" t="s">
        <v>578</v>
      </c>
      <c r="I17" s="178"/>
    </row>
    <row r="18" spans="1:9" x14ac:dyDescent="0.2">
      <c r="A18" s="178" t="s">
        <v>651</v>
      </c>
      <c r="B18" s="188">
        <v>0.05</v>
      </c>
      <c r="C18" s="178"/>
      <c r="G18" s="178" t="s">
        <v>651</v>
      </c>
      <c r="H18" s="188">
        <v>0.05</v>
      </c>
      <c r="I18" s="178"/>
    </row>
    <row r="19" spans="1:9" x14ac:dyDescent="0.2">
      <c r="A19" s="178" t="s">
        <v>666</v>
      </c>
      <c r="B19" s="188">
        <v>0.1</v>
      </c>
      <c r="C19" s="178"/>
      <c r="G19" s="178" t="s">
        <v>666</v>
      </c>
      <c r="H19" s="188">
        <v>0.1</v>
      </c>
      <c r="I19" s="178"/>
    </row>
    <row r="21" spans="1:9" ht="15.75" x14ac:dyDescent="0.2">
      <c r="A21" s="190" t="s">
        <v>647</v>
      </c>
      <c r="G21" s="190" t="s">
        <v>647</v>
      </c>
    </row>
    <row r="23" spans="1:9" x14ac:dyDescent="0.2">
      <c r="A23" s="178" t="s">
        <v>645</v>
      </c>
      <c r="B23" s="178">
        <v>1465.57</v>
      </c>
      <c r="C23" s="178" t="s">
        <v>646</v>
      </c>
      <c r="G23" s="178" t="s">
        <v>645</v>
      </c>
      <c r="H23" s="178">
        <v>931.88</v>
      </c>
      <c r="I23" s="178" t="s">
        <v>646</v>
      </c>
    </row>
    <row r="24" spans="1:9" x14ac:dyDescent="0.2">
      <c r="A24" s="178" t="s">
        <v>645</v>
      </c>
      <c r="B24" s="178">
        <f>B23*1.55</f>
        <v>2271.6334999999999</v>
      </c>
      <c r="C24" s="178" t="s">
        <v>644</v>
      </c>
      <c r="G24" s="178" t="s">
        <v>645</v>
      </c>
      <c r="H24" s="178">
        <f>H23*1.55</f>
        <v>1444.414</v>
      </c>
      <c r="I24" s="178" t="s">
        <v>644</v>
      </c>
    </row>
    <row r="25" spans="1:9" x14ac:dyDescent="0.2">
      <c r="A25" s="178" t="s">
        <v>643</v>
      </c>
      <c r="B25" s="178">
        <f>1/7*B24</f>
        <v>324.51907142857141</v>
      </c>
      <c r="C25" s="178" t="s">
        <v>224</v>
      </c>
      <c r="G25" s="178" t="s">
        <v>643</v>
      </c>
      <c r="H25" s="178">
        <f>(1/10)*H24</f>
        <v>144.44140000000002</v>
      </c>
      <c r="I25" s="178" t="s">
        <v>224</v>
      </c>
    </row>
    <row r="26" spans="1:9" x14ac:dyDescent="0.2">
      <c r="A26" s="178" t="s">
        <v>642</v>
      </c>
      <c r="B26" s="178">
        <v>1.25</v>
      </c>
      <c r="C26" s="178" t="s">
        <v>224</v>
      </c>
      <c r="G26" s="178" t="s">
        <v>642</v>
      </c>
      <c r="H26" s="178">
        <v>1.25</v>
      </c>
      <c r="I26" s="178" t="s">
        <v>224</v>
      </c>
    </row>
    <row r="27" spans="1:9" x14ac:dyDescent="0.2">
      <c r="A27" s="178" t="s">
        <v>641</v>
      </c>
      <c r="B27" s="178">
        <f>B25/B26</f>
        <v>259.6152571428571</v>
      </c>
      <c r="C27" s="178"/>
      <c r="G27" s="178" t="s">
        <v>641</v>
      </c>
      <c r="H27" s="178">
        <f>H25/H26</f>
        <v>115.55312000000001</v>
      </c>
      <c r="I27" s="178"/>
    </row>
    <row r="28" spans="1:9" x14ac:dyDescent="0.2">
      <c r="A28" s="178" t="s">
        <v>641</v>
      </c>
      <c r="B28" s="178">
        <v>260</v>
      </c>
      <c r="C28" s="178" t="s">
        <v>640</v>
      </c>
      <c r="G28" s="178" t="s">
        <v>641</v>
      </c>
      <c r="H28" s="178">
        <f>H27</f>
        <v>115.55312000000001</v>
      </c>
      <c r="I28" s="178" t="s">
        <v>640</v>
      </c>
    </row>
    <row r="30" spans="1:9" ht="16.5" x14ac:dyDescent="0.2">
      <c r="A30" s="183" t="s">
        <v>639</v>
      </c>
      <c r="G30" s="183" t="s">
        <v>639</v>
      </c>
    </row>
    <row r="32" spans="1:9" x14ac:dyDescent="0.2">
      <c r="A32" s="178" t="s">
        <v>638</v>
      </c>
      <c r="B32" s="178">
        <f>2/7*B24</f>
        <v>649.03814285714282</v>
      </c>
      <c r="C32" s="178" t="s">
        <v>224</v>
      </c>
      <c r="G32" s="178" t="s">
        <v>638</v>
      </c>
      <c r="H32" s="178">
        <f>(3/10)*H24</f>
        <v>433.32419999999996</v>
      </c>
      <c r="I32" s="178" t="s">
        <v>224</v>
      </c>
    </row>
    <row r="33" spans="1:9" x14ac:dyDescent="0.2">
      <c r="A33" s="178" t="s">
        <v>637</v>
      </c>
      <c r="B33" s="178">
        <f>4/7*B24</f>
        <v>1298.0762857142856</v>
      </c>
      <c r="C33" s="178" t="s">
        <v>224</v>
      </c>
      <c r="G33" s="178" t="s">
        <v>637</v>
      </c>
      <c r="H33" s="178">
        <f>(6/10)*H24</f>
        <v>866.64839999999992</v>
      </c>
      <c r="I33" s="178" t="s">
        <v>224</v>
      </c>
    </row>
    <row r="34" spans="1:9" x14ac:dyDescent="0.2">
      <c r="A34" s="189" t="s">
        <v>636</v>
      </c>
      <c r="B34" s="178"/>
      <c r="C34" s="178"/>
      <c r="G34" s="189" t="s">
        <v>636</v>
      </c>
      <c r="H34" s="178"/>
      <c r="I34" s="178"/>
    </row>
    <row r="35" spans="1:9" x14ac:dyDescent="0.2">
      <c r="A35" s="178" t="s">
        <v>633</v>
      </c>
      <c r="B35" s="178">
        <f>0.5*B25</f>
        <v>162.2595357142857</v>
      </c>
      <c r="C35" s="178" t="s">
        <v>224</v>
      </c>
      <c r="G35" s="178" t="s">
        <v>633</v>
      </c>
      <c r="H35" s="178">
        <f>0.5*H25</f>
        <v>72.220700000000008</v>
      </c>
      <c r="I35" s="178" t="s">
        <v>224</v>
      </c>
    </row>
    <row r="36" spans="1:9" x14ac:dyDescent="0.2">
      <c r="A36" s="178" t="s">
        <v>635</v>
      </c>
      <c r="B36" s="178">
        <v>7.4180000000000001</v>
      </c>
      <c r="C36" s="178" t="s">
        <v>634</v>
      </c>
      <c r="G36" s="178" t="s">
        <v>635</v>
      </c>
      <c r="H36" s="178">
        <v>7.4180000000000001</v>
      </c>
      <c r="I36" s="178" t="s">
        <v>634</v>
      </c>
    </row>
    <row r="37" spans="1:9" x14ac:dyDescent="0.2">
      <c r="A37" s="178" t="s">
        <v>633</v>
      </c>
      <c r="B37" s="178">
        <f>B35*B36</f>
        <v>1203.6412359285714</v>
      </c>
      <c r="C37" s="178" t="s">
        <v>632</v>
      </c>
      <c r="G37" s="178" t="s">
        <v>633</v>
      </c>
      <c r="H37" s="178">
        <f>H35*H36</f>
        <v>535.73315260000004</v>
      </c>
      <c r="I37" s="178" t="s">
        <v>632</v>
      </c>
    </row>
    <row r="39" spans="1:9" ht="16.5" x14ac:dyDescent="0.2">
      <c r="A39" s="183" t="s">
        <v>631</v>
      </c>
      <c r="G39" s="183" t="s">
        <v>631</v>
      </c>
    </row>
    <row r="41" spans="1:9" x14ac:dyDescent="0.2">
      <c r="A41" s="178" t="s">
        <v>665</v>
      </c>
      <c r="B41" s="178">
        <f>B23*0.5</f>
        <v>732.78499999999997</v>
      </c>
      <c r="C41" s="178" t="s">
        <v>346</v>
      </c>
      <c r="G41" s="178" t="s">
        <v>665</v>
      </c>
      <c r="H41" s="178">
        <f>H23*0.5</f>
        <v>465.94</v>
      </c>
      <c r="I41" s="178" t="s">
        <v>346</v>
      </c>
    </row>
    <row r="42" spans="1:9" x14ac:dyDescent="0.2">
      <c r="A42" s="178" t="s">
        <v>664</v>
      </c>
      <c r="B42" s="178">
        <v>60</v>
      </c>
      <c r="C42" s="178" t="s">
        <v>663</v>
      </c>
      <c r="G42" s="178" t="s">
        <v>664</v>
      </c>
      <c r="H42" s="178">
        <v>60</v>
      </c>
      <c r="I42" s="178" t="s">
        <v>663</v>
      </c>
    </row>
    <row r="44" spans="1:9" ht="16.5" x14ac:dyDescent="0.2">
      <c r="A44" s="183" t="s">
        <v>621</v>
      </c>
      <c r="G44" s="183" t="s">
        <v>621</v>
      </c>
    </row>
    <row r="46" spans="1:9" x14ac:dyDescent="0.2">
      <c r="A46" s="178" t="s">
        <v>620</v>
      </c>
      <c r="B46" s="178"/>
      <c r="C46" s="178"/>
      <c r="G46" s="178" t="s">
        <v>620</v>
      </c>
      <c r="H46" s="178"/>
      <c r="I46" s="178"/>
    </row>
    <row r="47" spans="1:9" x14ac:dyDescent="0.2">
      <c r="A47" s="178" t="s">
        <v>619</v>
      </c>
      <c r="B47" s="178">
        <f>(0.8*B23)/27</f>
        <v>43.424296296296291</v>
      </c>
      <c r="C47" s="178" t="s">
        <v>618</v>
      </c>
      <c r="G47" s="178" t="s">
        <v>619</v>
      </c>
      <c r="H47" s="178">
        <f>(0.8*H23)/27</f>
        <v>27.61125925925926</v>
      </c>
      <c r="I47" s="178" t="s">
        <v>618</v>
      </c>
    </row>
    <row r="48" spans="1:9" x14ac:dyDescent="0.2">
      <c r="A48" s="178" t="s">
        <v>617</v>
      </c>
      <c r="B48" s="178"/>
      <c r="C48" s="178"/>
      <c r="G48" s="178" t="s">
        <v>617</v>
      </c>
      <c r="H48" s="178"/>
      <c r="I48" s="178"/>
    </row>
    <row r="49" spans="1:11" x14ac:dyDescent="0.2">
      <c r="A49" s="178" t="s">
        <v>616</v>
      </c>
      <c r="B49" s="178">
        <f>B47/8</f>
        <v>5.4280370370370363</v>
      </c>
      <c r="C49" s="178" t="s">
        <v>615</v>
      </c>
      <c r="G49" s="178" t="s">
        <v>616</v>
      </c>
      <c r="H49" s="178">
        <f>H47/8</f>
        <v>3.4514074074074075</v>
      </c>
      <c r="I49" s="178" t="s">
        <v>615</v>
      </c>
    </row>
    <row r="51" spans="1:11" x14ac:dyDescent="0.2">
      <c r="A51" s="181" t="s">
        <v>614</v>
      </c>
      <c r="B51" s="181" t="s">
        <v>613</v>
      </c>
      <c r="C51" s="181" t="s">
        <v>612</v>
      </c>
      <c r="D51" s="181" t="s">
        <v>611</v>
      </c>
      <c r="E51" s="178"/>
      <c r="G51" s="181" t="s">
        <v>614</v>
      </c>
      <c r="H51" s="181" t="s">
        <v>613</v>
      </c>
      <c r="I51" s="181" t="s">
        <v>612</v>
      </c>
      <c r="J51" s="181" t="s">
        <v>611</v>
      </c>
      <c r="K51" s="178"/>
    </row>
    <row r="52" spans="1:11" x14ac:dyDescent="0.2">
      <c r="A52" s="180" t="s">
        <v>610</v>
      </c>
      <c r="B52" s="178"/>
      <c r="C52" s="178"/>
      <c r="D52" s="178"/>
      <c r="E52" s="178"/>
      <c r="G52" s="180" t="s">
        <v>610</v>
      </c>
      <c r="H52" s="178"/>
      <c r="I52" s="178"/>
      <c r="J52" s="178"/>
      <c r="K52" s="178"/>
    </row>
    <row r="53" spans="1:11" x14ac:dyDescent="0.2">
      <c r="A53" s="178" t="s">
        <v>607</v>
      </c>
      <c r="B53" s="178" t="s">
        <v>662</v>
      </c>
      <c r="C53" s="178" t="s">
        <v>608</v>
      </c>
      <c r="D53" s="178">
        <f>260*1300</f>
        <v>338000</v>
      </c>
      <c r="E53" s="187" t="s">
        <v>572</v>
      </c>
      <c r="G53" s="178" t="s">
        <v>607</v>
      </c>
      <c r="H53" s="178">
        <f>H28</f>
        <v>115.55312000000001</v>
      </c>
      <c r="I53" s="178">
        <v>1300</v>
      </c>
      <c r="J53" s="178">
        <f>H53*I53</f>
        <v>150219.05600000001</v>
      </c>
      <c r="K53" s="187" t="s">
        <v>572</v>
      </c>
    </row>
    <row r="54" spans="1:11" x14ac:dyDescent="0.2">
      <c r="A54" s="178" t="s">
        <v>604</v>
      </c>
      <c r="B54" s="178" t="s">
        <v>661</v>
      </c>
      <c r="C54" s="178" t="s">
        <v>605</v>
      </c>
      <c r="D54" s="178">
        <f>649.038*30</f>
        <v>19471.14</v>
      </c>
      <c r="E54" s="187" t="s">
        <v>572</v>
      </c>
      <c r="G54" s="178" t="s">
        <v>604</v>
      </c>
      <c r="H54" s="178">
        <f>H32</f>
        <v>433.32419999999996</v>
      </c>
      <c r="I54" s="178">
        <v>30</v>
      </c>
      <c r="J54" s="178">
        <f>H54*I54</f>
        <v>12999.725999999999</v>
      </c>
      <c r="K54" s="187" t="s">
        <v>572</v>
      </c>
    </row>
    <row r="55" spans="1:11" x14ac:dyDescent="0.2">
      <c r="A55" s="178" t="s">
        <v>601</v>
      </c>
      <c r="B55" s="178" t="s">
        <v>660</v>
      </c>
      <c r="C55" s="178" t="s">
        <v>602</v>
      </c>
      <c r="D55" s="178">
        <f>1298.076*55</f>
        <v>71394.180000000008</v>
      </c>
      <c r="E55" s="187" t="s">
        <v>572</v>
      </c>
      <c r="G55" s="178" t="s">
        <v>601</v>
      </c>
      <c r="H55" s="178">
        <f>H33</f>
        <v>866.64839999999992</v>
      </c>
      <c r="I55" s="178">
        <v>55</v>
      </c>
      <c r="J55" s="178">
        <f>I55*H55</f>
        <v>47665.661999999997</v>
      </c>
      <c r="K55" s="187" t="s">
        <v>572</v>
      </c>
    </row>
    <row r="56" spans="1:11" x14ac:dyDescent="0.2">
      <c r="A56" s="178" t="s">
        <v>598</v>
      </c>
      <c r="B56" s="178" t="s">
        <v>659</v>
      </c>
      <c r="C56" s="178" t="s">
        <v>599</v>
      </c>
      <c r="D56" s="178">
        <f>(1560/1000)*1203.64</f>
        <v>1877.6784000000002</v>
      </c>
      <c r="E56" s="187" t="s">
        <v>572</v>
      </c>
      <c r="G56" s="178" t="s">
        <v>598</v>
      </c>
      <c r="H56" s="178">
        <f>H37</f>
        <v>535.73315260000004</v>
      </c>
      <c r="I56" s="178">
        <f>1560/1000</f>
        <v>1.56</v>
      </c>
      <c r="J56" s="178">
        <f>H56*I56</f>
        <v>835.74371805600003</v>
      </c>
      <c r="K56" s="187" t="s">
        <v>572</v>
      </c>
    </row>
    <row r="57" spans="1:11" x14ac:dyDescent="0.2">
      <c r="A57" s="178"/>
      <c r="B57" s="178"/>
      <c r="C57" s="179" t="s">
        <v>597</v>
      </c>
      <c r="D57" s="179">
        <f>SUM(D53:D56)</f>
        <v>430742.99839999998</v>
      </c>
      <c r="E57" s="179" t="s">
        <v>572</v>
      </c>
      <c r="G57" s="178"/>
      <c r="H57" s="178"/>
      <c r="I57" s="179" t="s">
        <v>597</v>
      </c>
      <c r="J57" s="179">
        <f>SUM(J53:J56)</f>
        <v>211720.18771805603</v>
      </c>
      <c r="K57" s="179" t="s">
        <v>572</v>
      </c>
    </row>
    <row r="58" spans="1:11" x14ac:dyDescent="0.2">
      <c r="A58" s="180" t="s">
        <v>596</v>
      </c>
      <c r="B58" s="178"/>
      <c r="C58" s="178"/>
      <c r="D58" s="178"/>
      <c r="E58" s="178"/>
      <c r="G58" s="180" t="s">
        <v>596</v>
      </c>
      <c r="H58" s="178"/>
      <c r="I58" s="178"/>
      <c r="J58" s="178"/>
      <c r="K58" s="178"/>
    </row>
    <row r="59" spans="1:11" x14ac:dyDescent="0.2">
      <c r="A59" s="178" t="s">
        <v>595</v>
      </c>
      <c r="B59" s="178">
        <v>2</v>
      </c>
      <c r="C59" s="178" t="s">
        <v>594</v>
      </c>
      <c r="D59" s="178">
        <f>2*2000*3.3925</f>
        <v>13570</v>
      </c>
      <c r="E59" s="178" t="s">
        <v>572</v>
      </c>
      <c r="G59" s="178" t="s">
        <v>595</v>
      </c>
      <c r="H59" s="178">
        <v>2</v>
      </c>
      <c r="I59" s="178" t="s">
        <v>594</v>
      </c>
      <c r="J59" s="178">
        <f>2*2000*3.3925</f>
        <v>13570</v>
      </c>
      <c r="K59" s="178" t="s">
        <v>572</v>
      </c>
    </row>
    <row r="60" spans="1:11" x14ac:dyDescent="0.2">
      <c r="A60" s="178" t="s">
        <v>593</v>
      </c>
      <c r="B60" s="178">
        <v>4</v>
      </c>
      <c r="C60" s="178" t="s">
        <v>592</v>
      </c>
      <c r="D60" s="178">
        <f>4*1000*3.3925</f>
        <v>13570</v>
      </c>
      <c r="E60" s="178" t="s">
        <v>572</v>
      </c>
      <c r="G60" s="178" t="s">
        <v>593</v>
      </c>
      <c r="H60" s="178">
        <v>4</v>
      </c>
      <c r="I60" s="178" t="s">
        <v>592</v>
      </c>
      <c r="J60" s="178">
        <f>4*1000*3.3925</f>
        <v>13570</v>
      </c>
      <c r="K60" s="178" t="s">
        <v>572</v>
      </c>
    </row>
    <row r="61" spans="1:11" x14ac:dyDescent="0.2">
      <c r="A61" s="178"/>
      <c r="B61" s="178"/>
      <c r="C61" s="179" t="s">
        <v>591</v>
      </c>
      <c r="D61" s="179">
        <f>SUM(D59+D60)</f>
        <v>27140</v>
      </c>
      <c r="E61" s="179" t="s">
        <v>572</v>
      </c>
      <c r="G61" s="178"/>
      <c r="H61" s="178"/>
      <c r="I61" s="179" t="s">
        <v>591</v>
      </c>
      <c r="J61" s="179">
        <f>SUM(J59+J60)</f>
        <v>27140</v>
      </c>
      <c r="K61" s="179" t="s">
        <v>572</v>
      </c>
    </row>
    <row r="62" spans="1:11" x14ac:dyDescent="0.2">
      <c r="A62" s="180" t="s">
        <v>590</v>
      </c>
      <c r="B62" s="178"/>
      <c r="C62" s="178"/>
      <c r="D62" s="178"/>
      <c r="E62" s="178"/>
      <c r="G62" s="180" t="s">
        <v>590</v>
      </c>
      <c r="H62" s="178"/>
      <c r="I62" s="178"/>
      <c r="J62" s="178"/>
      <c r="K62" s="178"/>
    </row>
    <row r="63" spans="1:11" x14ac:dyDescent="0.2">
      <c r="A63" s="178" t="s">
        <v>658</v>
      </c>
      <c r="B63" s="178" t="s">
        <v>657</v>
      </c>
      <c r="C63" s="178" t="s">
        <v>656</v>
      </c>
      <c r="D63" s="178">
        <f>60*732.785</f>
        <v>43967.1</v>
      </c>
      <c r="E63" s="187" t="s">
        <v>572</v>
      </c>
      <c r="G63" s="178" t="s">
        <v>658</v>
      </c>
      <c r="H63" s="178" t="s">
        <v>657</v>
      </c>
      <c r="I63" s="178" t="s">
        <v>656</v>
      </c>
      <c r="J63" s="178">
        <f>60*732.785</f>
        <v>43967.1</v>
      </c>
      <c r="K63" s="187" t="s">
        <v>572</v>
      </c>
    </row>
    <row r="64" spans="1:11" x14ac:dyDescent="0.2">
      <c r="A64" s="178" t="s">
        <v>655</v>
      </c>
      <c r="B64" s="178" t="s">
        <v>579</v>
      </c>
      <c r="C64" s="178" t="s">
        <v>654</v>
      </c>
      <c r="D64" s="178">
        <f>1500*3.3925</f>
        <v>5088.75</v>
      </c>
      <c r="E64" s="187" t="s">
        <v>572</v>
      </c>
      <c r="G64" s="178" t="s">
        <v>655</v>
      </c>
      <c r="H64" s="178" t="s">
        <v>579</v>
      </c>
      <c r="I64" s="178" t="s">
        <v>654</v>
      </c>
      <c r="J64" s="178">
        <f>1500*3.3925</f>
        <v>5088.75</v>
      </c>
      <c r="K64" s="187" t="s">
        <v>572</v>
      </c>
    </row>
    <row r="65" spans="1:11" x14ac:dyDescent="0.2">
      <c r="A65" s="178"/>
      <c r="B65" s="178"/>
      <c r="C65" s="179" t="s">
        <v>653</v>
      </c>
      <c r="D65" s="179">
        <f>D63+D64</f>
        <v>49055.85</v>
      </c>
      <c r="E65" s="179" t="s">
        <v>572</v>
      </c>
      <c r="G65" s="178"/>
      <c r="H65" s="178"/>
      <c r="I65" s="179" t="s">
        <v>653</v>
      </c>
      <c r="J65" s="179">
        <f>J63+J64</f>
        <v>49055.85</v>
      </c>
      <c r="K65" s="179" t="s">
        <v>572</v>
      </c>
    </row>
    <row r="66" spans="1:11" x14ac:dyDescent="0.2">
      <c r="A66" s="178"/>
      <c r="B66" s="178"/>
      <c r="C66" s="179" t="s">
        <v>652</v>
      </c>
      <c r="D66" s="179">
        <f>(D57+D61+D65)</f>
        <v>506938.84839999996</v>
      </c>
      <c r="E66" s="179" t="s">
        <v>572</v>
      </c>
      <c r="G66" s="178"/>
      <c r="H66" s="178"/>
      <c r="I66" s="179" t="s">
        <v>652</v>
      </c>
      <c r="J66" s="179">
        <f>(J57+J61+J65)</f>
        <v>287916.037718056</v>
      </c>
      <c r="K66" s="179" t="s">
        <v>572</v>
      </c>
    </row>
    <row r="67" spans="1:11" x14ac:dyDescent="0.2">
      <c r="A67" s="178" t="s">
        <v>651</v>
      </c>
      <c r="B67" s="178"/>
      <c r="C67" s="188">
        <v>0.05</v>
      </c>
      <c r="D67" s="178">
        <f>0.05*D66</f>
        <v>25346.942419999999</v>
      </c>
      <c r="E67" s="187" t="s">
        <v>572</v>
      </c>
      <c r="G67" s="178" t="s">
        <v>651</v>
      </c>
      <c r="H67" s="178"/>
      <c r="I67" s="188">
        <v>0.05</v>
      </c>
      <c r="J67" s="178">
        <f>0.05*J66</f>
        <v>14395.801885902802</v>
      </c>
      <c r="K67" s="187" t="s">
        <v>572</v>
      </c>
    </row>
    <row r="68" spans="1:11" x14ac:dyDescent="0.2">
      <c r="A68" s="178" t="s">
        <v>650</v>
      </c>
      <c r="B68" s="178"/>
      <c r="C68" s="188">
        <v>0.1</v>
      </c>
      <c r="D68" s="178">
        <f>0.1*D66</f>
        <v>50693.884839999999</v>
      </c>
      <c r="E68" s="187" t="s">
        <v>572</v>
      </c>
      <c r="G68" s="178" t="s">
        <v>650</v>
      </c>
      <c r="H68" s="178"/>
      <c r="I68" s="188">
        <v>0.1</v>
      </c>
      <c r="J68" s="178">
        <f>0.1*J66</f>
        <v>28791.603771805603</v>
      </c>
      <c r="K68" s="187" t="s">
        <v>572</v>
      </c>
    </row>
    <row r="69" spans="1:11" x14ac:dyDescent="0.2">
      <c r="A69" s="179" t="s">
        <v>649</v>
      </c>
      <c r="B69" s="179"/>
      <c r="C69" s="186" t="s">
        <v>572</v>
      </c>
      <c r="D69" s="179">
        <f>D68+D67+D66</f>
        <v>582979.67565999995</v>
      </c>
      <c r="E69" s="179" t="s">
        <v>572</v>
      </c>
      <c r="G69" s="179" t="s">
        <v>649</v>
      </c>
      <c r="H69" s="179"/>
      <c r="I69" s="186" t="s">
        <v>572</v>
      </c>
      <c r="J69" s="179">
        <f>J68+J67+J66</f>
        <v>331103.44337576441</v>
      </c>
      <c r="K69" s="179" t="s">
        <v>572</v>
      </c>
    </row>
    <row r="70" spans="1:11" x14ac:dyDescent="0.2">
      <c r="A70" s="178" t="s">
        <v>571</v>
      </c>
      <c r="B70" s="178"/>
      <c r="C70" s="178"/>
      <c r="D70" s="178">
        <f>D69/1465.57</f>
        <v>397.78357612396542</v>
      </c>
      <c r="E70" s="178"/>
      <c r="G70" s="178" t="s">
        <v>571</v>
      </c>
      <c r="H70" s="178"/>
      <c r="I70" s="178"/>
      <c r="J70" s="178">
        <f>J69/1465.57</f>
        <v>225.92127525520067</v>
      </c>
      <c r="K70" s="178"/>
    </row>
    <row r="73" spans="1:11" ht="19.5" x14ac:dyDescent="0.25">
      <c r="A73" s="185" t="s">
        <v>648</v>
      </c>
      <c r="G73" s="185" t="s">
        <v>976</v>
      </c>
    </row>
    <row r="75" spans="1:11" x14ac:dyDescent="0.2">
      <c r="A75" s="182" t="s">
        <v>647</v>
      </c>
      <c r="G75" s="182" t="s">
        <v>647</v>
      </c>
    </row>
    <row r="77" spans="1:11" x14ac:dyDescent="0.2">
      <c r="A77" s="178" t="s">
        <v>645</v>
      </c>
      <c r="B77" s="178">
        <v>6057.8639999999996</v>
      </c>
      <c r="C77" s="178" t="s">
        <v>646</v>
      </c>
      <c r="G77" s="178" t="s">
        <v>645</v>
      </c>
      <c r="H77" s="178">
        <v>1115.29</v>
      </c>
      <c r="I77" s="178" t="s">
        <v>646</v>
      </c>
    </row>
    <row r="78" spans="1:11" x14ac:dyDescent="0.2">
      <c r="A78" s="178" t="s">
        <v>645</v>
      </c>
      <c r="B78" s="178">
        <f>B77*1.55</f>
        <v>9389.6891999999989</v>
      </c>
      <c r="C78" s="178" t="s">
        <v>644</v>
      </c>
      <c r="G78" s="178" t="s">
        <v>645</v>
      </c>
      <c r="H78" s="178">
        <f>H77*1.55</f>
        <v>1728.6994999999999</v>
      </c>
      <c r="I78" s="178" t="s">
        <v>644</v>
      </c>
    </row>
    <row r="79" spans="1:11" x14ac:dyDescent="0.2">
      <c r="A79" s="178" t="s">
        <v>643</v>
      </c>
      <c r="B79" s="178">
        <f>1/7*B78</f>
        <v>1341.3841714285711</v>
      </c>
      <c r="C79" s="178" t="s">
        <v>224</v>
      </c>
      <c r="G79" s="178" t="s">
        <v>643</v>
      </c>
      <c r="H79" s="178">
        <f>(1/13)*H78</f>
        <v>132.97688461538462</v>
      </c>
      <c r="I79" s="178" t="s">
        <v>224</v>
      </c>
    </row>
    <row r="80" spans="1:11" x14ac:dyDescent="0.2">
      <c r="A80" s="178" t="s">
        <v>642</v>
      </c>
      <c r="B80" s="178">
        <v>1.25</v>
      </c>
      <c r="C80" s="178" t="s">
        <v>224</v>
      </c>
      <c r="G80" s="178" t="s">
        <v>642</v>
      </c>
      <c r="H80" s="178">
        <v>1.25</v>
      </c>
      <c r="I80" s="178" t="s">
        <v>224</v>
      </c>
    </row>
    <row r="81" spans="1:9" x14ac:dyDescent="0.2">
      <c r="A81" s="178" t="s">
        <v>641</v>
      </c>
      <c r="B81" s="178">
        <f>B79/B80</f>
        <v>1073.107337142857</v>
      </c>
      <c r="C81" s="178"/>
      <c r="G81" s="178" t="s">
        <v>641</v>
      </c>
      <c r="H81" s="178">
        <f>H79/H80</f>
        <v>106.38150769230769</v>
      </c>
      <c r="I81" s="178"/>
    </row>
    <row r="82" spans="1:9" x14ac:dyDescent="0.2">
      <c r="A82" s="178" t="s">
        <v>641</v>
      </c>
      <c r="B82" s="178">
        <v>1074</v>
      </c>
      <c r="C82" s="178" t="s">
        <v>640</v>
      </c>
      <c r="G82" s="178" t="s">
        <v>641</v>
      </c>
      <c r="H82" s="178">
        <f>H81</f>
        <v>106.38150769230769</v>
      </c>
      <c r="I82" s="178" t="s">
        <v>640</v>
      </c>
    </row>
    <row r="84" spans="1:9" x14ac:dyDescent="0.2">
      <c r="A84" s="182" t="s">
        <v>639</v>
      </c>
      <c r="G84" s="182" t="s">
        <v>639</v>
      </c>
    </row>
    <row r="86" spans="1:9" x14ac:dyDescent="0.2">
      <c r="A86" s="178" t="s">
        <v>638</v>
      </c>
      <c r="B86" s="178">
        <f>2/7*B78</f>
        <v>2682.7683428571422</v>
      </c>
      <c r="C86" s="178" t="s">
        <v>224</v>
      </c>
      <c r="G86" s="178" t="s">
        <v>638</v>
      </c>
      <c r="H86" s="178">
        <f>(4/13)*H78</f>
        <v>531.90753846153848</v>
      </c>
      <c r="I86" s="178" t="s">
        <v>224</v>
      </c>
    </row>
    <row r="87" spans="1:9" x14ac:dyDescent="0.2">
      <c r="A87" s="178" t="s">
        <v>637</v>
      </c>
      <c r="B87" s="178">
        <f>4/7*B78</f>
        <v>5365.5366857142844</v>
      </c>
      <c r="C87" s="178" t="s">
        <v>224</v>
      </c>
      <c r="G87" s="178" t="s">
        <v>637</v>
      </c>
      <c r="H87" s="178">
        <f>(8/13)*H78</f>
        <v>1063.815076923077</v>
      </c>
      <c r="I87" s="178" t="s">
        <v>224</v>
      </c>
    </row>
    <row r="88" spans="1:9" x14ac:dyDescent="0.2">
      <c r="A88" s="184" t="s">
        <v>636</v>
      </c>
      <c r="B88" s="178"/>
      <c r="C88" s="178"/>
      <c r="G88" s="184" t="s">
        <v>636</v>
      </c>
      <c r="H88" s="178"/>
      <c r="I88" s="178"/>
    </row>
    <row r="89" spans="1:9" x14ac:dyDescent="0.2">
      <c r="A89" s="178" t="s">
        <v>633</v>
      </c>
      <c r="B89" s="178">
        <f>0.5*B79</f>
        <v>670.69208571428555</v>
      </c>
      <c r="C89" s="178" t="s">
        <v>224</v>
      </c>
      <c r="G89" s="178" t="s">
        <v>633</v>
      </c>
      <c r="H89" s="178">
        <f>0.5*H79</f>
        <v>66.48844230769231</v>
      </c>
      <c r="I89" s="178" t="s">
        <v>224</v>
      </c>
    </row>
    <row r="90" spans="1:9" x14ac:dyDescent="0.2">
      <c r="A90" s="178" t="s">
        <v>635</v>
      </c>
      <c r="B90" s="178">
        <v>7.4180000000000001</v>
      </c>
      <c r="C90" s="178" t="s">
        <v>634</v>
      </c>
      <c r="G90" s="178" t="s">
        <v>635</v>
      </c>
      <c r="H90" s="178">
        <v>7.4180000000000001</v>
      </c>
      <c r="I90" s="178" t="s">
        <v>634</v>
      </c>
    </row>
    <row r="91" spans="1:9" x14ac:dyDescent="0.2">
      <c r="A91" s="178" t="s">
        <v>633</v>
      </c>
      <c r="B91" s="178">
        <f>B89*B90</f>
        <v>4975.1938918285705</v>
      </c>
      <c r="C91" s="178" t="s">
        <v>632</v>
      </c>
      <c r="G91" s="178" t="s">
        <v>633</v>
      </c>
      <c r="H91" s="178">
        <f>H89*H90</f>
        <v>493.21126503846159</v>
      </c>
      <c r="I91" s="178" t="s">
        <v>632</v>
      </c>
    </row>
    <row r="93" spans="1:9" ht="16.5" x14ac:dyDescent="0.2">
      <c r="A93" s="183" t="s">
        <v>631</v>
      </c>
      <c r="G93" s="183" t="s">
        <v>631</v>
      </c>
    </row>
    <row r="95" spans="1:9" x14ac:dyDescent="0.2">
      <c r="A95" s="180" t="s">
        <v>630</v>
      </c>
      <c r="B95" s="178"/>
      <c r="C95" s="178"/>
      <c r="G95" s="180" t="s">
        <v>629</v>
      </c>
      <c r="H95" s="178"/>
      <c r="I95" s="178"/>
    </row>
    <row r="96" spans="1:9" x14ac:dyDescent="0.2">
      <c r="A96" s="178" t="s">
        <v>624</v>
      </c>
      <c r="B96" s="178">
        <f>2355.49*7</f>
        <v>16488.43</v>
      </c>
      <c r="C96" s="178" t="s">
        <v>346</v>
      </c>
      <c r="G96" s="178" t="s">
        <v>624</v>
      </c>
      <c r="H96" s="178">
        <f>599.75*0.5</f>
        <v>299.875</v>
      </c>
      <c r="I96" s="178" t="s">
        <v>346</v>
      </c>
    </row>
    <row r="97" spans="1:11" x14ac:dyDescent="0.2">
      <c r="A97" s="178" t="s">
        <v>623</v>
      </c>
      <c r="B97" s="178">
        <v>55</v>
      </c>
      <c r="C97" s="178" t="s">
        <v>622</v>
      </c>
      <c r="G97" s="178" t="s">
        <v>623</v>
      </c>
      <c r="H97" s="178">
        <v>55</v>
      </c>
      <c r="I97" s="178" t="s">
        <v>622</v>
      </c>
    </row>
    <row r="98" spans="1:11" x14ac:dyDescent="0.2">
      <c r="A98" s="180" t="s">
        <v>628</v>
      </c>
      <c r="B98" s="178"/>
      <c r="C98" s="178"/>
      <c r="G98" s="180" t="s">
        <v>627</v>
      </c>
      <c r="H98" s="178"/>
      <c r="I98" s="178"/>
    </row>
    <row r="99" spans="1:11" x14ac:dyDescent="0.2">
      <c r="A99" s="178" t="s">
        <v>624</v>
      </c>
      <c r="B99" s="178">
        <f>1150*4</f>
        <v>4600</v>
      </c>
      <c r="C99" s="178" t="s">
        <v>346</v>
      </c>
      <c r="G99" s="178" t="s">
        <v>624</v>
      </c>
      <c r="H99" s="178">
        <f>22.81*2.25</f>
        <v>51.322499999999998</v>
      </c>
      <c r="I99" s="178" t="s">
        <v>346</v>
      </c>
    </row>
    <row r="100" spans="1:11" x14ac:dyDescent="0.2">
      <c r="A100" s="178" t="s">
        <v>623</v>
      </c>
      <c r="B100" s="178">
        <v>70</v>
      </c>
      <c r="C100" s="178" t="s">
        <v>622</v>
      </c>
      <c r="G100" s="178" t="s">
        <v>623</v>
      </c>
      <c r="H100" s="178">
        <v>70</v>
      </c>
      <c r="I100" s="178" t="s">
        <v>622</v>
      </c>
    </row>
    <row r="101" spans="1:11" x14ac:dyDescent="0.2">
      <c r="A101" s="180" t="s">
        <v>626</v>
      </c>
      <c r="B101" s="178"/>
      <c r="C101" s="178"/>
      <c r="G101" s="180" t="s">
        <v>625</v>
      </c>
      <c r="H101" s="178"/>
      <c r="I101" s="178"/>
    </row>
    <row r="102" spans="1:11" x14ac:dyDescent="0.2">
      <c r="A102" s="178" t="s">
        <v>624</v>
      </c>
      <c r="B102" s="178">
        <f>1400*1.25</f>
        <v>1750</v>
      </c>
      <c r="C102" s="178" t="s">
        <v>346</v>
      </c>
      <c r="G102" s="178" t="s">
        <v>624</v>
      </c>
      <c r="H102" s="178">
        <f>492.73*1.25</f>
        <v>615.91250000000002</v>
      </c>
      <c r="I102" s="178" t="s">
        <v>346</v>
      </c>
    </row>
    <row r="103" spans="1:11" x14ac:dyDescent="0.2">
      <c r="A103" s="178" t="s">
        <v>623</v>
      </c>
      <c r="B103" s="178">
        <v>65</v>
      </c>
      <c r="C103" s="178" t="s">
        <v>622</v>
      </c>
      <c r="G103" s="178" t="s">
        <v>623</v>
      </c>
      <c r="H103" s="178">
        <v>65</v>
      </c>
      <c r="I103" s="178" t="s">
        <v>622</v>
      </c>
    </row>
    <row r="105" spans="1:11" x14ac:dyDescent="0.2">
      <c r="A105" s="182" t="s">
        <v>621</v>
      </c>
      <c r="G105" s="182" t="s">
        <v>621</v>
      </c>
    </row>
    <row r="107" spans="1:11" x14ac:dyDescent="0.2">
      <c r="A107" s="178" t="s">
        <v>620</v>
      </c>
      <c r="B107" s="178"/>
      <c r="C107" s="178"/>
      <c r="G107" s="178" t="s">
        <v>620</v>
      </c>
      <c r="H107" s="178"/>
      <c r="I107" s="178"/>
    </row>
    <row r="108" spans="1:11" x14ac:dyDescent="0.2">
      <c r="A108" s="178" t="s">
        <v>619</v>
      </c>
      <c r="B108" s="178">
        <f>(0.8*B77)/27</f>
        <v>179.49226666666667</v>
      </c>
      <c r="C108" s="178" t="s">
        <v>618</v>
      </c>
      <c r="G108" s="178" t="s">
        <v>619</v>
      </c>
      <c r="H108" s="178">
        <f>(0.8*H77)/27</f>
        <v>33.04562962962963</v>
      </c>
      <c r="I108" s="178" t="s">
        <v>618</v>
      </c>
    </row>
    <row r="109" spans="1:11" x14ac:dyDescent="0.2">
      <c r="A109" s="178" t="s">
        <v>617</v>
      </c>
      <c r="B109" s="178"/>
      <c r="C109" s="178"/>
      <c r="G109" s="178" t="s">
        <v>617</v>
      </c>
      <c r="H109" s="178"/>
      <c r="I109" s="178"/>
    </row>
    <row r="110" spans="1:11" x14ac:dyDescent="0.2">
      <c r="A110" s="178" t="s">
        <v>616</v>
      </c>
      <c r="B110" s="178">
        <f>B108/8</f>
        <v>22.436533333333333</v>
      </c>
      <c r="C110" s="178" t="s">
        <v>615</v>
      </c>
      <c r="G110" s="178" t="s">
        <v>616</v>
      </c>
      <c r="H110" s="178">
        <f>H108/8</f>
        <v>4.1307037037037038</v>
      </c>
      <c r="I110" s="178" t="s">
        <v>615</v>
      </c>
    </row>
    <row r="112" spans="1:11" x14ac:dyDescent="0.2">
      <c r="A112" s="181" t="s">
        <v>614</v>
      </c>
      <c r="B112" s="181" t="s">
        <v>613</v>
      </c>
      <c r="C112" s="181" t="s">
        <v>612</v>
      </c>
      <c r="D112" s="181" t="s">
        <v>611</v>
      </c>
      <c r="E112" s="178"/>
      <c r="G112" s="181" t="s">
        <v>614</v>
      </c>
      <c r="H112" s="181" t="s">
        <v>613</v>
      </c>
      <c r="I112" s="181" t="s">
        <v>612</v>
      </c>
      <c r="J112" s="181" t="s">
        <v>611</v>
      </c>
      <c r="K112" s="178"/>
    </row>
    <row r="113" spans="1:11" x14ac:dyDescent="0.2">
      <c r="A113" s="180" t="s">
        <v>610</v>
      </c>
      <c r="B113" s="178"/>
      <c r="C113" s="178"/>
      <c r="D113" s="178"/>
      <c r="E113" s="178"/>
      <c r="G113" s="180" t="s">
        <v>610</v>
      </c>
      <c r="H113" s="178"/>
      <c r="I113" s="178"/>
      <c r="J113" s="178"/>
      <c r="K113" s="178"/>
    </row>
    <row r="114" spans="1:11" x14ac:dyDescent="0.2">
      <c r="A114" s="178" t="s">
        <v>607</v>
      </c>
      <c r="B114" s="178" t="s">
        <v>609</v>
      </c>
      <c r="C114" s="178" t="s">
        <v>608</v>
      </c>
      <c r="D114" s="178">
        <f>1074*1300</f>
        <v>1396200</v>
      </c>
      <c r="E114" s="178" t="s">
        <v>572</v>
      </c>
      <c r="G114" s="178" t="s">
        <v>607</v>
      </c>
      <c r="H114" s="178">
        <f>H82</f>
        <v>106.38150769230769</v>
      </c>
      <c r="I114" s="178">
        <v>1300</v>
      </c>
      <c r="J114" s="178">
        <f>H114*I114</f>
        <v>138295.96</v>
      </c>
      <c r="K114" s="178" t="s">
        <v>572</v>
      </c>
    </row>
    <row r="115" spans="1:11" x14ac:dyDescent="0.2">
      <c r="A115" s="178" t="s">
        <v>604</v>
      </c>
      <c r="B115" s="178" t="s">
        <v>606</v>
      </c>
      <c r="C115" s="178" t="s">
        <v>605</v>
      </c>
      <c r="D115" s="178">
        <f>B86*30</f>
        <v>80483.050285714271</v>
      </c>
      <c r="E115" s="178" t="s">
        <v>572</v>
      </c>
      <c r="G115" s="178" t="s">
        <v>604</v>
      </c>
      <c r="H115" s="178">
        <f>H86</f>
        <v>531.90753846153848</v>
      </c>
      <c r="I115" s="178">
        <v>30</v>
      </c>
      <c r="J115" s="178">
        <f>H115*I115</f>
        <v>15957.226153846153</v>
      </c>
      <c r="K115" s="178" t="s">
        <v>572</v>
      </c>
    </row>
    <row r="116" spans="1:11" x14ac:dyDescent="0.2">
      <c r="A116" s="178" t="s">
        <v>601</v>
      </c>
      <c r="B116" s="178" t="s">
        <v>603</v>
      </c>
      <c r="C116" s="178" t="s">
        <v>602</v>
      </c>
      <c r="D116" s="178">
        <f>B87*55</f>
        <v>295104.51771428564</v>
      </c>
      <c r="E116" s="178" t="s">
        <v>572</v>
      </c>
      <c r="G116" s="178" t="s">
        <v>601</v>
      </c>
      <c r="H116" s="178">
        <f>H87</f>
        <v>1063.815076923077</v>
      </c>
      <c r="I116" s="178">
        <v>55</v>
      </c>
      <c r="J116" s="178">
        <f>H116*I116</f>
        <v>58509.829230769232</v>
      </c>
      <c r="K116" s="178" t="s">
        <v>572</v>
      </c>
    </row>
    <row r="117" spans="1:11" x14ac:dyDescent="0.2">
      <c r="A117" s="178" t="s">
        <v>598</v>
      </c>
      <c r="B117" s="178" t="s">
        <v>600</v>
      </c>
      <c r="C117" s="178" t="s">
        <v>599</v>
      </c>
      <c r="D117" s="178">
        <f>(1560/1000)*B91</f>
        <v>7761.3024712525703</v>
      </c>
      <c r="E117" s="178" t="s">
        <v>572</v>
      </c>
      <c r="G117" s="178" t="s">
        <v>598</v>
      </c>
      <c r="H117" s="178">
        <f>H91</f>
        <v>493.21126503846159</v>
      </c>
      <c r="I117" s="178">
        <f>1560/1000</f>
        <v>1.56</v>
      </c>
      <c r="J117" s="178">
        <f>H117*I117</f>
        <v>769.40957346000016</v>
      </c>
      <c r="K117" s="178" t="s">
        <v>572</v>
      </c>
    </row>
    <row r="118" spans="1:11" x14ac:dyDescent="0.2">
      <c r="A118" s="178"/>
      <c r="B118" s="178"/>
      <c r="C118" s="179" t="s">
        <v>597</v>
      </c>
      <c r="D118" s="179">
        <f>SUM(D114:D117)</f>
        <v>1779548.8704712526</v>
      </c>
      <c r="E118" s="179" t="s">
        <v>572</v>
      </c>
      <c r="G118" s="178"/>
      <c r="H118" s="178"/>
      <c r="I118" s="179" t="s">
        <v>597</v>
      </c>
      <c r="J118" s="179">
        <f>SUM(J114:J117)</f>
        <v>213532.4249580754</v>
      </c>
      <c r="K118" s="179" t="s">
        <v>572</v>
      </c>
    </row>
    <row r="119" spans="1:11" x14ac:dyDescent="0.2">
      <c r="A119" s="180" t="s">
        <v>596</v>
      </c>
      <c r="B119" s="178"/>
      <c r="C119" s="178"/>
      <c r="D119" s="178"/>
      <c r="E119" s="178"/>
      <c r="G119" s="180" t="s">
        <v>596</v>
      </c>
      <c r="H119" s="178"/>
      <c r="I119" s="178"/>
      <c r="J119" s="178"/>
      <c r="K119" s="178"/>
    </row>
    <row r="120" spans="1:11" x14ac:dyDescent="0.2">
      <c r="A120" s="178" t="s">
        <v>595</v>
      </c>
      <c r="B120" s="178">
        <v>2</v>
      </c>
      <c r="C120" s="178" t="s">
        <v>594</v>
      </c>
      <c r="D120" s="178">
        <f>2*2000*B110</f>
        <v>89746.133333333331</v>
      </c>
      <c r="E120" s="178" t="s">
        <v>572</v>
      </c>
      <c r="G120" s="178" t="s">
        <v>595</v>
      </c>
      <c r="H120" s="178">
        <v>2</v>
      </c>
      <c r="I120" s="178" t="s">
        <v>594</v>
      </c>
      <c r="J120" s="178">
        <f>2*2000*H110</f>
        <v>16522.814814814814</v>
      </c>
      <c r="K120" s="178" t="s">
        <v>572</v>
      </c>
    </row>
    <row r="121" spans="1:11" x14ac:dyDescent="0.2">
      <c r="A121" s="178" t="s">
        <v>593</v>
      </c>
      <c r="B121" s="178">
        <v>5</v>
      </c>
      <c r="C121" s="178" t="s">
        <v>592</v>
      </c>
      <c r="D121" s="178">
        <f>5*1000*B110</f>
        <v>112182.66666666667</v>
      </c>
      <c r="E121" s="178" t="s">
        <v>572</v>
      </c>
      <c r="G121" s="178" t="s">
        <v>593</v>
      </c>
      <c r="H121" s="178">
        <v>5</v>
      </c>
      <c r="I121" s="178" t="s">
        <v>592</v>
      </c>
      <c r="J121" s="178">
        <f>5*1000*H110</f>
        <v>20653.518518518518</v>
      </c>
      <c r="K121" s="178" t="s">
        <v>572</v>
      </c>
    </row>
    <row r="122" spans="1:11" x14ac:dyDescent="0.2">
      <c r="A122" s="178"/>
      <c r="B122" s="178"/>
      <c r="C122" s="179" t="s">
        <v>591</v>
      </c>
      <c r="D122" s="179">
        <f>SUM(D120+D121)</f>
        <v>201928.8</v>
      </c>
      <c r="E122" s="179" t="s">
        <v>572</v>
      </c>
      <c r="G122" s="178"/>
      <c r="H122" s="178"/>
      <c r="I122" s="179" t="s">
        <v>591</v>
      </c>
      <c r="J122" s="179">
        <f>SUM(J120+J121)</f>
        <v>37176.333333333328</v>
      </c>
      <c r="K122" s="179" t="s">
        <v>572</v>
      </c>
    </row>
    <row r="123" spans="1:11" x14ac:dyDescent="0.2">
      <c r="A123" s="180" t="s">
        <v>590</v>
      </c>
      <c r="B123" s="178"/>
      <c r="C123" s="178"/>
      <c r="D123" s="178"/>
      <c r="E123" s="178"/>
      <c r="G123" s="180" t="s">
        <v>590</v>
      </c>
      <c r="H123" s="178"/>
      <c r="I123" s="178"/>
      <c r="J123" s="178"/>
      <c r="K123" s="178"/>
    </row>
    <row r="124" spans="1:11" x14ac:dyDescent="0.2">
      <c r="A124" s="178" t="s">
        <v>589</v>
      </c>
      <c r="B124" s="178" t="s">
        <v>588</v>
      </c>
      <c r="C124" s="178" t="s">
        <v>587</v>
      </c>
      <c r="D124" s="178">
        <f>B96*B97</f>
        <v>906863.65</v>
      </c>
      <c r="E124" s="178" t="s">
        <v>572</v>
      </c>
      <c r="G124" s="178" t="s">
        <v>589</v>
      </c>
      <c r="H124" s="178" t="s">
        <v>588</v>
      </c>
      <c r="I124" s="178" t="s">
        <v>587</v>
      </c>
      <c r="J124" s="178">
        <f>H96*H97</f>
        <v>16493.125</v>
      </c>
      <c r="K124" s="178" t="s">
        <v>572</v>
      </c>
    </row>
    <row r="125" spans="1:11" x14ac:dyDescent="0.2">
      <c r="A125" s="178" t="s">
        <v>586</v>
      </c>
      <c r="B125" s="178" t="s">
        <v>585</v>
      </c>
      <c r="C125" s="178" t="s">
        <v>584</v>
      </c>
      <c r="D125" s="178">
        <f>B99*B100</f>
        <v>322000</v>
      </c>
      <c r="E125" s="178" t="s">
        <v>572</v>
      </c>
      <c r="G125" s="178" t="s">
        <v>586</v>
      </c>
      <c r="H125" s="178" t="s">
        <v>585</v>
      </c>
      <c r="I125" s="178" t="s">
        <v>584</v>
      </c>
      <c r="J125" s="178">
        <f>H99*H100</f>
        <v>3592.5749999999998</v>
      </c>
      <c r="K125" s="178" t="s">
        <v>572</v>
      </c>
    </row>
    <row r="126" spans="1:11" x14ac:dyDescent="0.2">
      <c r="A126" s="178" t="s">
        <v>583</v>
      </c>
      <c r="B126" s="178" t="s">
        <v>582</v>
      </c>
      <c r="C126" s="178" t="s">
        <v>581</v>
      </c>
      <c r="D126" s="178">
        <f>B102*B103</f>
        <v>113750</v>
      </c>
      <c r="E126" s="178" t="s">
        <v>572</v>
      </c>
      <c r="G126" s="178" t="s">
        <v>583</v>
      </c>
      <c r="H126" s="178" t="s">
        <v>582</v>
      </c>
      <c r="I126" s="178" t="s">
        <v>581</v>
      </c>
      <c r="J126" s="178">
        <f>H102*H103</f>
        <v>40034.3125</v>
      </c>
      <c r="K126" s="178" t="s">
        <v>572</v>
      </c>
    </row>
    <row r="127" spans="1:11" x14ac:dyDescent="0.2">
      <c r="A127" s="178" t="s">
        <v>580</v>
      </c>
      <c r="B127" s="178" t="s">
        <v>579</v>
      </c>
      <c r="C127" s="178" t="s">
        <v>578</v>
      </c>
      <c r="D127" s="178">
        <f>1500*B110</f>
        <v>33654.800000000003</v>
      </c>
      <c r="E127" s="178" t="s">
        <v>572</v>
      </c>
      <c r="G127" s="178" t="s">
        <v>580</v>
      </c>
      <c r="H127" s="178" t="s">
        <v>579</v>
      </c>
      <c r="I127" s="178" t="s">
        <v>578</v>
      </c>
      <c r="J127" s="178">
        <f>1500*H110</f>
        <v>6196.0555555555557</v>
      </c>
      <c r="K127" s="178" t="s">
        <v>572</v>
      </c>
    </row>
    <row r="128" spans="1:11" x14ac:dyDescent="0.2">
      <c r="A128" s="178"/>
      <c r="B128" s="178"/>
      <c r="C128" s="179" t="s">
        <v>577</v>
      </c>
      <c r="D128" s="179">
        <f>D124+D125+D126+D127</f>
        <v>1376268.45</v>
      </c>
      <c r="E128" s="179" t="s">
        <v>572</v>
      </c>
      <c r="G128" s="178"/>
      <c r="H128" s="178"/>
      <c r="I128" s="179" t="s">
        <v>577</v>
      </c>
      <c r="J128" s="179">
        <f>J124+J125+J126+J127</f>
        <v>66316.068055555559</v>
      </c>
      <c r="K128" s="179" t="s">
        <v>572</v>
      </c>
    </row>
    <row r="129" spans="1:11" x14ac:dyDescent="0.2">
      <c r="A129" s="179" t="s">
        <v>576</v>
      </c>
      <c r="B129" s="179"/>
      <c r="C129" s="179"/>
      <c r="D129" s="179">
        <f>D128+D122+D118</f>
        <v>3357746.1204712526</v>
      </c>
      <c r="E129" s="179" t="s">
        <v>572</v>
      </c>
      <c r="G129" s="179" t="s">
        <v>576</v>
      </c>
      <c r="H129" s="179"/>
      <c r="I129" s="179"/>
      <c r="J129" s="179">
        <f>J128+J122+J118</f>
        <v>317024.82634696428</v>
      </c>
      <c r="K129" s="179" t="s">
        <v>572</v>
      </c>
    </row>
    <row r="130" spans="1:11" x14ac:dyDescent="0.2">
      <c r="A130" s="178" t="s">
        <v>575</v>
      </c>
      <c r="B130" s="178"/>
      <c r="C130" s="178"/>
      <c r="D130" s="178">
        <f>0.05*D129</f>
        <v>167887.30602356265</v>
      </c>
      <c r="E130" s="178" t="s">
        <v>572</v>
      </c>
      <c r="G130" s="178" t="s">
        <v>575</v>
      </c>
      <c r="H130" s="178"/>
      <c r="I130" s="178"/>
      <c r="J130" s="178">
        <f>0.05*J129</f>
        <v>15851.241317348215</v>
      </c>
      <c r="K130" s="178" t="s">
        <v>572</v>
      </c>
    </row>
    <row r="131" spans="1:11" x14ac:dyDescent="0.2">
      <c r="A131" s="178" t="s">
        <v>574</v>
      </c>
      <c r="B131" s="178"/>
      <c r="C131" s="178"/>
      <c r="D131" s="178">
        <f>0.1*D129</f>
        <v>335774.61204712529</v>
      </c>
      <c r="E131" s="178" t="s">
        <v>572</v>
      </c>
      <c r="G131" s="178" t="s">
        <v>574</v>
      </c>
      <c r="H131" s="178"/>
      <c r="I131" s="178"/>
      <c r="J131" s="178">
        <f>0.1*J129</f>
        <v>31702.482634696429</v>
      </c>
      <c r="K131" s="178" t="s">
        <v>572</v>
      </c>
    </row>
    <row r="132" spans="1:11" x14ac:dyDescent="0.2">
      <c r="A132" s="179" t="s">
        <v>573</v>
      </c>
      <c r="B132" s="179"/>
      <c r="C132" s="179"/>
      <c r="D132" s="179">
        <f>D131+D130+D129</f>
        <v>3861408.0385419405</v>
      </c>
      <c r="E132" s="179" t="s">
        <v>572</v>
      </c>
      <c r="G132" s="179" t="s">
        <v>573</v>
      </c>
      <c r="H132" s="179"/>
      <c r="I132" s="179"/>
      <c r="J132" s="179">
        <f>J131+J130+J129</f>
        <v>364578.55029900896</v>
      </c>
      <c r="K132" s="179" t="s">
        <v>572</v>
      </c>
    </row>
    <row r="133" spans="1:11" x14ac:dyDescent="0.2">
      <c r="A133" s="178" t="s">
        <v>571</v>
      </c>
      <c r="B133" s="178"/>
      <c r="C133" s="178"/>
      <c r="D133" s="178">
        <f>D132/B77</f>
        <v>637.42072099042514</v>
      </c>
      <c r="E133" s="178" t="s">
        <v>570</v>
      </c>
      <c r="G133" s="178" t="s">
        <v>571</v>
      </c>
      <c r="H133" s="178"/>
      <c r="I133" s="178"/>
      <c r="J133" s="178">
        <f>J132/H77</f>
        <v>326.89125725058864</v>
      </c>
      <c r="K133" s="178" t="s">
        <v>570</v>
      </c>
    </row>
  </sheetData>
  <autoFilter ref="G23:I28" xr:uid="{00000000-0009-0000-0000-000016000000}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7BCFD6AE-E24A-4039-8983-B0608CD07B4D}">
  <ds:schemaRefs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MS (Sub Structure)</vt:lpstr>
      <vt:lpstr>MS (Super Structure)</vt:lpstr>
      <vt:lpstr> BBS (Footings,Columns,Slab,St)</vt:lpstr>
      <vt:lpstr>BBS OF TANKS</vt:lpstr>
      <vt:lpstr>MS (Wooden Works)</vt:lpstr>
      <vt:lpstr>BBS PB</vt:lpstr>
      <vt:lpstr>BBS FB</vt:lpstr>
      <vt:lpstr>BBS RB</vt:lpstr>
      <vt:lpstr>BBS Tanks</vt:lpstr>
      <vt:lpstr>MS (Masonary and Finishing)</vt:lpstr>
      <vt:lpstr>MS (Flooring And Marble)</vt:lpstr>
      <vt:lpstr>MS (Plaster Quantities)</vt:lpstr>
      <vt:lpstr>Rate Site</vt:lpstr>
      <vt:lpstr>Rate Excavation</vt:lpstr>
      <vt:lpstr>Rate Earth fill</vt:lpstr>
      <vt:lpstr>Rate Termite</vt:lpstr>
      <vt:lpstr>Rate Block Masonary</vt:lpstr>
      <vt:lpstr>Rate Plaster</vt:lpstr>
      <vt:lpstr>Rate Marble</vt:lpstr>
      <vt:lpstr>Rate Tile</vt:lpstr>
      <vt:lpstr>Rate Wooden Work</vt:lpstr>
      <vt:lpstr>Rate Rf in sub structure</vt:lpstr>
      <vt:lpstr>Concrete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Zaryab</dc:creator>
  <cp:lastModifiedBy>Zaryab</cp:lastModifiedBy>
  <cp:lastPrinted>2025-03-27T18:59:00Z</cp:lastPrinted>
  <dcterms:created xsi:type="dcterms:W3CDTF">2025-03-26T13:17:00Z</dcterms:created>
  <dcterms:modified xsi:type="dcterms:W3CDTF">2025-05-18T18:35:25Z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{7BCFD6AE-E24A-4039-8983-B0608CD07B4D}</vt:lpwstr>
  </property>
  <property fmtid="{D5CDD505-2E9C-101B-9397-08002B2CF9AE}" pid="5" name="ICV">
    <vt:lpwstr>8F2F52DFC4444D65BD9FE0826FA8894A_12</vt:lpwstr>
  </property>
  <property fmtid="{D5CDD505-2E9C-101B-9397-08002B2CF9AE}" pid="6" name="KSOProductBuildVer">
    <vt:lpwstr>1033-12.2.0.20795</vt:lpwstr>
  </property>
</Properties>
</file>